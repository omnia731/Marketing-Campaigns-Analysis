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University\Digitera\Session 1 Task\"/>
    </mc:Choice>
  </mc:AlternateContent>
  <xr:revisionPtr revIDLastSave="0" documentId="13_ncr:1_{2F9ABD08-0406-4EEC-95A3-EABE0B9ED6CD}" xr6:coauthVersionLast="47" xr6:coauthVersionMax="47" xr10:uidLastSave="{00000000-0000-0000-0000-000000000000}"/>
  <bookViews>
    <workbookView xWindow="-103" yWindow="-103" windowWidth="22149" windowHeight="11949" activeTab="1" xr2:uid="{00000000-000D-0000-FFFF-FFFF00000000}"/>
  </bookViews>
  <sheets>
    <sheet name="Data" sheetId="1" r:id="rId1"/>
    <sheet name="Performance Analysis" sheetId="3" r:id="rId2"/>
    <sheet name="Dashboard" sheetId="5" r:id="rId3"/>
  </sheets>
  <definedNames>
    <definedName name="Slicer_Age_Group">#N/A</definedName>
    <definedName name="Slicer_Gender">#N/A</definedName>
    <definedName name="Slicer_Location">#N/A</definedName>
    <definedName name="Slicer_Marketing_Channel">#N/A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001" i="1" l="1"/>
  <c r="R2001" i="1"/>
  <c r="Q2001" i="1"/>
  <c r="P2001" i="1"/>
  <c r="O2001" i="1"/>
  <c r="N2001" i="1"/>
  <c r="S2000" i="1"/>
  <c r="R2000" i="1"/>
  <c r="Q2000" i="1"/>
  <c r="P2000" i="1"/>
  <c r="O2000" i="1"/>
  <c r="N2000" i="1"/>
  <c r="S1999" i="1"/>
  <c r="R1999" i="1"/>
  <c r="Q1999" i="1"/>
  <c r="P1999" i="1"/>
  <c r="O1999" i="1"/>
  <c r="N1999" i="1"/>
  <c r="S1998" i="1"/>
  <c r="R1998" i="1"/>
  <c r="Q1998" i="1"/>
  <c r="P1998" i="1"/>
  <c r="O1998" i="1"/>
  <c r="N1998" i="1"/>
  <c r="S1997" i="1"/>
  <c r="R1997" i="1"/>
  <c r="Q1997" i="1"/>
  <c r="P1997" i="1"/>
  <c r="O1997" i="1"/>
  <c r="N1997" i="1"/>
  <c r="S1996" i="1"/>
  <c r="R1996" i="1"/>
  <c r="Q1996" i="1"/>
  <c r="P1996" i="1"/>
  <c r="O1996" i="1"/>
  <c r="N1996" i="1"/>
  <c r="S1995" i="1"/>
  <c r="R1995" i="1"/>
  <c r="Q1995" i="1"/>
  <c r="P1995" i="1"/>
  <c r="O1995" i="1"/>
  <c r="N1995" i="1"/>
  <c r="S1994" i="1"/>
  <c r="R1994" i="1"/>
  <c r="Q1994" i="1"/>
  <c r="P1994" i="1"/>
  <c r="O1994" i="1"/>
  <c r="N1994" i="1"/>
  <c r="S1993" i="1"/>
  <c r="R1993" i="1"/>
  <c r="Q1993" i="1"/>
  <c r="P1993" i="1"/>
  <c r="O1993" i="1"/>
  <c r="N1993" i="1"/>
  <c r="S1992" i="1"/>
  <c r="R1992" i="1"/>
  <c r="Q1992" i="1"/>
  <c r="P1992" i="1"/>
  <c r="O1992" i="1"/>
  <c r="N1992" i="1"/>
  <c r="S1991" i="1"/>
  <c r="R1991" i="1"/>
  <c r="Q1991" i="1"/>
  <c r="P1991" i="1"/>
  <c r="O1991" i="1"/>
  <c r="N1991" i="1"/>
  <c r="S1990" i="1"/>
  <c r="R1990" i="1"/>
  <c r="Q1990" i="1"/>
  <c r="P1990" i="1"/>
  <c r="O1990" i="1"/>
  <c r="N1990" i="1"/>
  <c r="S1989" i="1"/>
  <c r="R1989" i="1"/>
  <c r="Q1989" i="1"/>
  <c r="P1989" i="1"/>
  <c r="O1989" i="1"/>
  <c r="N1989" i="1"/>
  <c r="S1988" i="1"/>
  <c r="R1988" i="1"/>
  <c r="Q1988" i="1"/>
  <c r="P1988" i="1"/>
  <c r="O1988" i="1"/>
  <c r="N1988" i="1"/>
  <c r="S1987" i="1"/>
  <c r="R1987" i="1"/>
  <c r="Q1987" i="1"/>
  <c r="P1987" i="1"/>
  <c r="O1987" i="1"/>
  <c r="N1987" i="1"/>
  <c r="S1986" i="1"/>
  <c r="R1986" i="1"/>
  <c r="Q1986" i="1"/>
  <c r="P1986" i="1"/>
  <c r="O1986" i="1"/>
  <c r="N1986" i="1"/>
  <c r="S1985" i="1"/>
  <c r="R1985" i="1"/>
  <c r="Q1985" i="1"/>
  <c r="P1985" i="1"/>
  <c r="O1985" i="1"/>
  <c r="N1985" i="1"/>
  <c r="S1984" i="1"/>
  <c r="R1984" i="1"/>
  <c r="Q1984" i="1"/>
  <c r="P1984" i="1"/>
  <c r="O1984" i="1"/>
  <c r="N1984" i="1"/>
  <c r="S1983" i="1"/>
  <c r="R1983" i="1"/>
  <c r="Q1983" i="1"/>
  <c r="P1983" i="1"/>
  <c r="O1983" i="1"/>
  <c r="N1983" i="1"/>
  <c r="S1982" i="1"/>
  <c r="R1982" i="1"/>
  <c r="Q1982" i="1"/>
  <c r="P1982" i="1"/>
  <c r="O1982" i="1"/>
  <c r="N1982" i="1"/>
  <c r="S1981" i="1"/>
  <c r="R1981" i="1"/>
  <c r="Q1981" i="1"/>
  <c r="P1981" i="1"/>
  <c r="O1981" i="1"/>
  <c r="N1981" i="1"/>
  <c r="S1980" i="1"/>
  <c r="R1980" i="1"/>
  <c r="Q1980" i="1"/>
  <c r="P1980" i="1"/>
  <c r="O1980" i="1"/>
  <c r="N1980" i="1"/>
  <c r="S1979" i="1"/>
  <c r="R1979" i="1"/>
  <c r="Q1979" i="1"/>
  <c r="P1979" i="1"/>
  <c r="O1979" i="1"/>
  <c r="N1979" i="1"/>
  <c r="S1978" i="1"/>
  <c r="R1978" i="1"/>
  <c r="Q1978" i="1"/>
  <c r="P1978" i="1"/>
  <c r="O1978" i="1"/>
  <c r="N1978" i="1"/>
  <c r="S1977" i="1"/>
  <c r="R1977" i="1"/>
  <c r="Q1977" i="1"/>
  <c r="P1977" i="1"/>
  <c r="O1977" i="1"/>
  <c r="N1977" i="1"/>
  <c r="S1976" i="1"/>
  <c r="R1976" i="1"/>
  <c r="Q1976" i="1"/>
  <c r="P1976" i="1"/>
  <c r="O1976" i="1"/>
  <c r="N1976" i="1"/>
  <c r="S1975" i="1"/>
  <c r="R1975" i="1"/>
  <c r="Q1975" i="1"/>
  <c r="P1975" i="1"/>
  <c r="O1975" i="1"/>
  <c r="N1975" i="1"/>
  <c r="S1974" i="1"/>
  <c r="R1974" i="1"/>
  <c r="Q1974" i="1"/>
  <c r="P1974" i="1"/>
  <c r="O1974" i="1"/>
  <c r="N1974" i="1"/>
  <c r="S1973" i="1"/>
  <c r="R1973" i="1"/>
  <c r="Q1973" i="1"/>
  <c r="P1973" i="1"/>
  <c r="O1973" i="1"/>
  <c r="N1973" i="1"/>
  <c r="S1972" i="1"/>
  <c r="R1972" i="1"/>
  <c r="Q1972" i="1"/>
  <c r="P1972" i="1"/>
  <c r="O1972" i="1"/>
  <c r="N1972" i="1"/>
  <c r="S1971" i="1"/>
  <c r="R1971" i="1"/>
  <c r="Q1971" i="1"/>
  <c r="P1971" i="1"/>
  <c r="O1971" i="1"/>
  <c r="N1971" i="1"/>
  <c r="S1970" i="1"/>
  <c r="R1970" i="1"/>
  <c r="Q1970" i="1"/>
  <c r="P1970" i="1"/>
  <c r="O1970" i="1"/>
  <c r="N1970" i="1"/>
  <c r="S1969" i="1"/>
  <c r="R1969" i="1"/>
  <c r="Q1969" i="1"/>
  <c r="P1969" i="1"/>
  <c r="O1969" i="1"/>
  <c r="N1969" i="1"/>
  <c r="S1968" i="1"/>
  <c r="R1968" i="1"/>
  <c r="Q1968" i="1"/>
  <c r="P1968" i="1"/>
  <c r="O1968" i="1"/>
  <c r="N1968" i="1"/>
  <c r="S1967" i="1"/>
  <c r="R1967" i="1"/>
  <c r="Q1967" i="1"/>
  <c r="P1967" i="1"/>
  <c r="O1967" i="1"/>
  <c r="N1967" i="1"/>
  <c r="S1966" i="1"/>
  <c r="R1966" i="1"/>
  <c r="Q1966" i="1"/>
  <c r="P1966" i="1"/>
  <c r="O1966" i="1"/>
  <c r="N1966" i="1"/>
  <c r="S1965" i="1"/>
  <c r="R1965" i="1"/>
  <c r="Q1965" i="1"/>
  <c r="P1965" i="1"/>
  <c r="O1965" i="1"/>
  <c r="N1965" i="1"/>
  <c r="S1964" i="1"/>
  <c r="R1964" i="1"/>
  <c r="Q1964" i="1"/>
  <c r="P1964" i="1"/>
  <c r="O1964" i="1"/>
  <c r="N1964" i="1"/>
  <c r="S1963" i="1"/>
  <c r="R1963" i="1"/>
  <c r="Q1963" i="1"/>
  <c r="P1963" i="1"/>
  <c r="O1963" i="1"/>
  <c r="N1963" i="1"/>
  <c r="S1962" i="1"/>
  <c r="R1962" i="1"/>
  <c r="Q1962" i="1"/>
  <c r="P1962" i="1"/>
  <c r="O1962" i="1"/>
  <c r="N1962" i="1"/>
  <c r="S1961" i="1"/>
  <c r="R1961" i="1"/>
  <c r="Q1961" i="1"/>
  <c r="P1961" i="1"/>
  <c r="O1961" i="1"/>
  <c r="N1961" i="1"/>
  <c r="S1960" i="1"/>
  <c r="R1960" i="1"/>
  <c r="Q1960" i="1"/>
  <c r="P1960" i="1"/>
  <c r="O1960" i="1"/>
  <c r="N1960" i="1"/>
  <c r="S1959" i="1"/>
  <c r="R1959" i="1"/>
  <c r="Q1959" i="1"/>
  <c r="P1959" i="1"/>
  <c r="O1959" i="1"/>
  <c r="N1959" i="1"/>
  <c r="S1958" i="1"/>
  <c r="R1958" i="1"/>
  <c r="Q1958" i="1"/>
  <c r="P1958" i="1"/>
  <c r="O1958" i="1"/>
  <c r="N1958" i="1"/>
  <c r="S1957" i="1"/>
  <c r="R1957" i="1"/>
  <c r="Q1957" i="1"/>
  <c r="P1957" i="1"/>
  <c r="O1957" i="1"/>
  <c r="N1957" i="1"/>
  <c r="S1956" i="1"/>
  <c r="R1956" i="1"/>
  <c r="Q1956" i="1"/>
  <c r="P1956" i="1"/>
  <c r="O1956" i="1"/>
  <c r="N1956" i="1"/>
  <c r="S1955" i="1"/>
  <c r="R1955" i="1"/>
  <c r="Q1955" i="1"/>
  <c r="P1955" i="1"/>
  <c r="O1955" i="1"/>
  <c r="N1955" i="1"/>
  <c r="S1954" i="1"/>
  <c r="R1954" i="1"/>
  <c r="Q1954" i="1"/>
  <c r="P1954" i="1"/>
  <c r="O1954" i="1"/>
  <c r="N1954" i="1"/>
  <c r="S1953" i="1"/>
  <c r="R1953" i="1"/>
  <c r="Q1953" i="1"/>
  <c r="P1953" i="1"/>
  <c r="O1953" i="1"/>
  <c r="N1953" i="1"/>
  <c r="S1952" i="1"/>
  <c r="R1952" i="1"/>
  <c r="Q1952" i="1"/>
  <c r="P1952" i="1"/>
  <c r="O1952" i="1"/>
  <c r="N1952" i="1"/>
  <c r="S1951" i="1"/>
  <c r="R1951" i="1"/>
  <c r="Q1951" i="1"/>
  <c r="P1951" i="1"/>
  <c r="O1951" i="1"/>
  <c r="N1951" i="1"/>
  <c r="S1950" i="1"/>
  <c r="R1950" i="1"/>
  <c r="Q1950" i="1"/>
  <c r="P1950" i="1"/>
  <c r="O1950" i="1"/>
  <c r="N1950" i="1"/>
  <c r="S1949" i="1"/>
  <c r="R1949" i="1"/>
  <c r="Q1949" i="1"/>
  <c r="P1949" i="1"/>
  <c r="O1949" i="1"/>
  <c r="N1949" i="1"/>
  <c r="S1948" i="1"/>
  <c r="R1948" i="1"/>
  <c r="Q1948" i="1"/>
  <c r="P1948" i="1"/>
  <c r="O1948" i="1"/>
  <c r="N1948" i="1"/>
  <c r="S1947" i="1"/>
  <c r="R1947" i="1"/>
  <c r="Q1947" i="1"/>
  <c r="P1947" i="1"/>
  <c r="O1947" i="1"/>
  <c r="N1947" i="1"/>
  <c r="S1946" i="1"/>
  <c r="R1946" i="1"/>
  <c r="Q1946" i="1"/>
  <c r="P1946" i="1"/>
  <c r="O1946" i="1"/>
  <c r="N1946" i="1"/>
  <c r="S1945" i="1"/>
  <c r="R1945" i="1"/>
  <c r="Q1945" i="1"/>
  <c r="P1945" i="1"/>
  <c r="O1945" i="1"/>
  <c r="N1945" i="1"/>
  <c r="S1944" i="1"/>
  <c r="R1944" i="1"/>
  <c r="Q1944" i="1"/>
  <c r="P1944" i="1"/>
  <c r="O1944" i="1"/>
  <c r="N1944" i="1"/>
  <c r="S1943" i="1"/>
  <c r="R1943" i="1"/>
  <c r="Q1943" i="1"/>
  <c r="P1943" i="1"/>
  <c r="O1943" i="1"/>
  <c r="N1943" i="1"/>
  <c r="S1942" i="1"/>
  <c r="R1942" i="1"/>
  <c r="Q1942" i="1"/>
  <c r="P1942" i="1"/>
  <c r="O1942" i="1"/>
  <c r="N1942" i="1"/>
  <c r="S1941" i="1"/>
  <c r="R1941" i="1"/>
  <c r="Q1941" i="1"/>
  <c r="P1941" i="1"/>
  <c r="O1941" i="1"/>
  <c r="N1941" i="1"/>
  <c r="S1940" i="1"/>
  <c r="R1940" i="1"/>
  <c r="Q1940" i="1"/>
  <c r="P1940" i="1"/>
  <c r="O1940" i="1"/>
  <c r="N1940" i="1"/>
  <c r="S1939" i="1"/>
  <c r="R1939" i="1"/>
  <c r="Q1939" i="1"/>
  <c r="P1939" i="1"/>
  <c r="O1939" i="1"/>
  <c r="N1939" i="1"/>
  <c r="S1938" i="1"/>
  <c r="R1938" i="1"/>
  <c r="Q1938" i="1"/>
  <c r="P1938" i="1"/>
  <c r="O1938" i="1"/>
  <c r="N1938" i="1"/>
  <c r="S1937" i="1"/>
  <c r="R1937" i="1"/>
  <c r="Q1937" i="1"/>
  <c r="P1937" i="1"/>
  <c r="O1937" i="1"/>
  <c r="N1937" i="1"/>
  <c r="S1936" i="1"/>
  <c r="R1936" i="1"/>
  <c r="Q1936" i="1"/>
  <c r="P1936" i="1"/>
  <c r="O1936" i="1"/>
  <c r="N1936" i="1"/>
  <c r="S1935" i="1"/>
  <c r="R1935" i="1"/>
  <c r="Q1935" i="1"/>
  <c r="P1935" i="1"/>
  <c r="O1935" i="1"/>
  <c r="N1935" i="1"/>
  <c r="S1934" i="1"/>
  <c r="R1934" i="1"/>
  <c r="Q1934" i="1"/>
  <c r="P1934" i="1"/>
  <c r="O1934" i="1"/>
  <c r="N1934" i="1"/>
  <c r="S1933" i="1"/>
  <c r="R1933" i="1"/>
  <c r="Q1933" i="1"/>
  <c r="P1933" i="1"/>
  <c r="O1933" i="1"/>
  <c r="N1933" i="1"/>
  <c r="S1932" i="1"/>
  <c r="R1932" i="1"/>
  <c r="Q1932" i="1"/>
  <c r="P1932" i="1"/>
  <c r="O1932" i="1"/>
  <c r="N1932" i="1"/>
  <c r="S1931" i="1"/>
  <c r="R1931" i="1"/>
  <c r="Q1931" i="1"/>
  <c r="P1931" i="1"/>
  <c r="O1931" i="1"/>
  <c r="N1931" i="1"/>
  <c r="S1930" i="1"/>
  <c r="R1930" i="1"/>
  <c r="Q1930" i="1"/>
  <c r="P1930" i="1"/>
  <c r="O1930" i="1"/>
  <c r="N1930" i="1"/>
  <c r="S1929" i="1"/>
  <c r="R1929" i="1"/>
  <c r="Q1929" i="1"/>
  <c r="P1929" i="1"/>
  <c r="O1929" i="1"/>
  <c r="N1929" i="1"/>
  <c r="S1928" i="1"/>
  <c r="R1928" i="1"/>
  <c r="Q1928" i="1"/>
  <c r="P1928" i="1"/>
  <c r="O1928" i="1"/>
  <c r="N1928" i="1"/>
  <c r="S1927" i="1"/>
  <c r="R1927" i="1"/>
  <c r="Q1927" i="1"/>
  <c r="P1927" i="1"/>
  <c r="O1927" i="1"/>
  <c r="N1927" i="1"/>
  <c r="S1926" i="1"/>
  <c r="R1926" i="1"/>
  <c r="Q1926" i="1"/>
  <c r="P1926" i="1"/>
  <c r="O1926" i="1"/>
  <c r="N1926" i="1"/>
  <c r="S1925" i="1"/>
  <c r="R1925" i="1"/>
  <c r="Q1925" i="1"/>
  <c r="P1925" i="1"/>
  <c r="O1925" i="1"/>
  <c r="N1925" i="1"/>
  <c r="S1924" i="1"/>
  <c r="R1924" i="1"/>
  <c r="Q1924" i="1"/>
  <c r="P1924" i="1"/>
  <c r="O1924" i="1"/>
  <c r="N1924" i="1"/>
  <c r="S1923" i="1"/>
  <c r="R1923" i="1"/>
  <c r="Q1923" i="1"/>
  <c r="P1923" i="1"/>
  <c r="O1923" i="1"/>
  <c r="N1923" i="1"/>
  <c r="S1922" i="1"/>
  <c r="R1922" i="1"/>
  <c r="Q1922" i="1"/>
  <c r="P1922" i="1"/>
  <c r="O1922" i="1"/>
  <c r="N1922" i="1"/>
  <c r="S1921" i="1"/>
  <c r="R1921" i="1"/>
  <c r="Q1921" i="1"/>
  <c r="P1921" i="1"/>
  <c r="O1921" i="1"/>
  <c r="N1921" i="1"/>
  <c r="S1920" i="1"/>
  <c r="R1920" i="1"/>
  <c r="Q1920" i="1"/>
  <c r="P1920" i="1"/>
  <c r="O1920" i="1"/>
  <c r="N1920" i="1"/>
  <c r="S1919" i="1"/>
  <c r="R1919" i="1"/>
  <c r="Q1919" i="1"/>
  <c r="P1919" i="1"/>
  <c r="O1919" i="1"/>
  <c r="N1919" i="1"/>
  <c r="S1918" i="1"/>
  <c r="R1918" i="1"/>
  <c r="Q1918" i="1"/>
  <c r="P1918" i="1"/>
  <c r="O1918" i="1"/>
  <c r="N1918" i="1"/>
  <c r="S1917" i="1"/>
  <c r="R1917" i="1"/>
  <c r="Q1917" i="1"/>
  <c r="P1917" i="1"/>
  <c r="O1917" i="1"/>
  <c r="N1917" i="1"/>
  <c r="S1916" i="1"/>
  <c r="R1916" i="1"/>
  <c r="Q1916" i="1"/>
  <c r="P1916" i="1"/>
  <c r="O1916" i="1"/>
  <c r="N1916" i="1"/>
  <c r="S1915" i="1"/>
  <c r="R1915" i="1"/>
  <c r="Q1915" i="1"/>
  <c r="P1915" i="1"/>
  <c r="O1915" i="1"/>
  <c r="N1915" i="1"/>
  <c r="S1914" i="1"/>
  <c r="R1914" i="1"/>
  <c r="Q1914" i="1"/>
  <c r="P1914" i="1"/>
  <c r="O1914" i="1"/>
  <c r="N1914" i="1"/>
  <c r="S1913" i="1"/>
  <c r="R1913" i="1"/>
  <c r="Q1913" i="1"/>
  <c r="P1913" i="1"/>
  <c r="O1913" i="1"/>
  <c r="N1913" i="1"/>
  <c r="S1912" i="1"/>
  <c r="R1912" i="1"/>
  <c r="Q1912" i="1"/>
  <c r="P1912" i="1"/>
  <c r="O1912" i="1"/>
  <c r="N1912" i="1"/>
  <c r="S1911" i="1"/>
  <c r="R1911" i="1"/>
  <c r="Q1911" i="1"/>
  <c r="P1911" i="1"/>
  <c r="O1911" i="1"/>
  <c r="N1911" i="1"/>
  <c r="S1910" i="1"/>
  <c r="R1910" i="1"/>
  <c r="Q1910" i="1"/>
  <c r="P1910" i="1"/>
  <c r="O1910" i="1"/>
  <c r="N1910" i="1"/>
  <c r="S1909" i="1"/>
  <c r="R1909" i="1"/>
  <c r="Q1909" i="1"/>
  <c r="P1909" i="1"/>
  <c r="O1909" i="1"/>
  <c r="N1909" i="1"/>
  <c r="S1908" i="1"/>
  <c r="R1908" i="1"/>
  <c r="Q1908" i="1"/>
  <c r="P1908" i="1"/>
  <c r="O1908" i="1"/>
  <c r="N1908" i="1"/>
  <c r="S1907" i="1"/>
  <c r="R1907" i="1"/>
  <c r="Q1907" i="1"/>
  <c r="P1907" i="1"/>
  <c r="O1907" i="1"/>
  <c r="N1907" i="1"/>
  <c r="S1906" i="1"/>
  <c r="R1906" i="1"/>
  <c r="Q1906" i="1"/>
  <c r="P1906" i="1"/>
  <c r="O1906" i="1"/>
  <c r="N1906" i="1"/>
  <c r="S1905" i="1"/>
  <c r="R1905" i="1"/>
  <c r="Q1905" i="1"/>
  <c r="P1905" i="1"/>
  <c r="O1905" i="1"/>
  <c r="N1905" i="1"/>
  <c r="S1904" i="1"/>
  <c r="R1904" i="1"/>
  <c r="Q1904" i="1"/>
  <c r="P1904" i="1"/>
  <c r="O1904" i="1"/>
  <c r="N1904" i="1"/>
  <c r="S1903" i="1"/>
  <c r="R1903" i="1"/>
  <c r="Q1903" i="1"/>
  <c r="P1903" i="1"/>
  <c r="O1903" i="1"/>
  <c r="N1903" i="1"/>
  <c r="S1902" i="1"/>
  <c r="R1902" i="1"/>
  <c r="Q1902" i="1"/>
  <c r="P1902" i="1"/>
  <c r="O1902" i="1"/>
  <c r="N1902" i="1"/>
  <c r="S1901" i="1"/>
  <c r="R1901" i="1"/>
  <c r="Q1901" i="1"/>
  <c r="P1901" i="1"/>
  <c r="O1901" i="1"/>
  <c r="N1901" i="1"/>
  <c r="S1900" i="1"/>
  <c r="R1900" i="1"/>
  <c r="Q1900" i="1"/>
  <c r="P1900" i="1"/>
  <c r="O1900" i="1"/>
  <c r="N1900" i="1"/>
  <c r="S1899" i="1"/>
  <c r="R1899" i="1"/>
  <c r="Q1899" i="1"/>
  <c r="P1899" i="1"/>
  <c r="O1899" i="1"/>
  <c r="N1899" i="1"/>
  <c r="S1898" i="1"/>
  <c r="R1898" i="1"/>
  <c r="Q1898" i="1"/>
  <c r="P1898" i="1"/>
  <c r="O1898" i="1"/>
  <c r="N1898" i="1"/>
  <c r="S1897" i="1"/>
  <c r="R1897" i="1"/>
  <c r="Q1897" i="1"/>
  <c r="P1897" i="1"/>
  <c r="O1897" i="1"/>
  <c r="N1897" i="1"/>
  <c r="S1896" i="1"/>
  <c r="R1896" i="1"/>
  <c r="Q1896" i="1"/>
  <c r="P1896" i="1"/>
  <c r="O1896" i="1"/>
  <c r="N1896" i="1"/>
  <c r="S1895" i="1"/>
  <c r="R1895" i="1"/>
  <c r="Q1895" i="1"/>
  <c r="P1895" i="1"/>
  <c r="O1895" i="1"/>
  <c r="N1895" i="1"/>
  <c r="S1894" i="1"/>
  <c r="R1894" i="1"/>
  <c r="Q1894" i="1"/>
  <c r="P1894" i="1"/>
  <c r="O1894" i="1"/>
  <c r="N1894" i="1"/>
  <c r="S1893" i="1"/>
  <c r="R1893" i="1"/>
  <c r="Q1893" i="1"/>
  <c r="P1893" i="1"/>
  <c r="O1893" i="1"/>
  <c r="N1893" i="1"/>
  <c r="S1892" i="1"/>
  <c r="R1892" i="1"/>
  <c r="Q1892" i="1"/>
  <c r="P1892" i="1"/>
  <c r="O1892" i="1"/>
  <c r="N1892" i="1"/>
  <c r="S1891" i="1"/>
  <c r="R1891" i="1"/>
  <c r="Q1891" i="1"/>
  <c r="P1891" i="1"/>
  <c r="O1891" i="1"/>
  <c r="N1891" i="1"/>
  <c r="S1890" i="1"/>
  <c r="R1890" i="1"/>
  <c r="Q1890" i="1"/>
  <c r="P1890" i="1"/>
  <c r="O1890" i="1"/>
  <c r="N1890" i="1"/>
  <c r="S1889" i="1"/>
  <c r="R1889" i="1"/>
  <c r="Q1889" i="1"/>
  <c r="P1889" i="1"/>
  <c r="O1889" i="1"/>
  <c r="N1889" i="1"/>
  <c r="S1888" i="1"/>
  <c r="R1888" i="1"/>
  <c r="Q1888" i="1"/>
  <c r="P1888" i="1"/>
  <c r="O1888" i="1"/>
  <c r="N1888" i="1"/>
  <c r="S1887" i="1"/>
  <c r="R1887" i="1"/>
  <c r="Q1887" i="1"/>
  <c r="P1887" i="1"/>
  <c r="O1887" i="1"/>
  <c r="N1887" i="1"/>
  <c r="S1886" i="1"/>
  <c r="R1886" i="1"/>
  <c r="Q1886" i="1"/>
  <c r="P1886" i="1"/>
  <c r="O1886" i="1"/>
  <c r="N1886" i="1"/>
  <c r="S1885" i="1"/>
  <c r="R1885" i="1"/>
  <c r="Q1885" i="1"/>
  <c r="P1885" i="1"/>
  <c r="O1885" i="1"/>
  <c r="N1885" i="1"/>
  <c r="S1884" i="1"/>
  <c r="R1884" i="1"/>
  <c r="Q1884" i="1"/>
  <c r="P1884" i="1"/>
  <c r="O1884" i="1"/>
  <c r="N1884" i="1"/>
  <c r="S1883" i="1"/>
  <c r="R1883" i="1"/>
  <c r="Q1883" i="1"/>
  <c r="P1883" i="1"/>
  <c r="O1883" i="1"/>
  <c r="N1883" i="1"/>
  <c r="S1882" i="1"/>
  <c r="R1882" i="1"/>
  <c r="Q1882" i="1"/>
  <c r="P1882" i="1"/>
  <c r="O1882" i="1"/>
  <c r="N1882" i="1"/>
  <c r="S1881" i="1"/>
  <c r="R1881" i="1"/>
  <c r="Q1881" i="1"/>
  <c r="P1881" i="1"/>
  <c r="O1881" i="1"/>
  <c r="N1881" i="1"/>
  <c r="S1880" i="1"/>
  <c r="R1880" i="1"/>
  <c r="Q1880" i="1"/>
  <c r="P1880" i="1"/>
  <c r="O1880" i="1"/>
  <c r="N1880" i="1"/>
  <c r="S1879" i="1"/>
  <c r="R1879" i="1"/>
  <c r="Q1879" i="1"/>
  <c r="P1879" i="1"/>
  <c r="O1879" i="1"/>
  <c r="N1879" i="1"/>
  <c r="S1878" i="1"/>
  <c r="R1878" i="1"/>
  <c r="Q1878" i="1"/>
  <c r="P1878" i="1"/>
  <c r="O1878" i="1"/>
  <c r="N1878" i="1"/>
  <c r="S1877" i="1"/>
  <c r="R1877" i="1"/>
  <c r="Q1877" i="1"/>
  <c r="P1877" i="1"/>
  <c r="O1877" i="1"/>
  <c r="N1877" i="1"/>
  <c r="S1876" i="1"/>
  <c r="R1876" i="1"/>
  <c r="Q1876" i="1"/>
  <c r="P1876" i="1"/>
  <c r="O1876" i="1"/>
  <c r="N1876" i="1"/>
  <c r="S1875" i="1"/>
  <c r="R1875" i="1"/>
  <c r="Q1875" i="1"/>
  <c r="P1875" i="1"/>
  <c r="O1875" i="1"/>
  <c r="N1875" i="1"/>
  <c r="S1874" i="1"/>
  <c r="R1874" i="1"/>
  <c r="Q1874" i="1"/>
  <c r="P1874" i="1"/>
  <c r="O1874" i="1"/>
  <c r="N1874" i="1"/>
  <c r="S1873" i="1"/>
  <c r="R1873" i="1"/>
  <c r="Q1873" i="1"/>
  <c r="P1873" i="1"/>
  <c r="O1873" i="1"/>
  <c r="N1873" i="1"/>
  <c r="S1872" i="1"/>
  <c r="R1872" i="1"/>
  <c r="Q1872" i="1"/>
  <c r="P1872" i="1"/>
  <c r="O1872" i="1"/>
  <c r="N1872" i="1"/>
  <c r="S1871" i="1"/>
  <c r="R1871" i="1"/>
  <c r="Q1871" i="1"/>
  <c r="P1871" i="1"/>
  <c r="O1871" i="1"/>
  <c r="N1871" i="1"/>
  <c r="S1870" i="1"/>
  <c r="R1870" i="1"/>
  <c r="Q1870" i="1"/>
  <c r="P1870" i="1"/>
  <c r="O1870" i="1"/>
  <c r="N1870" i="1"/>
  <c r="S1869" i="1"/>
  <c r="R1869" i="1"/>
  <c r="Q1869" i="1"/>
  <c r="P1869" i="1"/>
  <c r="O1869" i="1"/>
  <c r="N1869" i="1"/>
  <c r="S1868" i="1"/>
  <c r="R1868" i="1"/>
  <c r="Q1868" i="1"/>
  <c r="P1868" i="1"/>
  <c r="O1868" i="1"/>
  <c r="N1868" i="1"/>
  <c r="S1867" i="1"/>
  <c r="R1867" i="1"/>
  <c r="Q1867" i="1"/>
  <c r="P1867" i="1"/>
  <c r="O1867" i="1"/>
  <c r="N1867" i="1"/>
  <c r="S1866" i="1"/>
  <c r="R1866" i="1"/>
  <c r="Q1866" i="1"/>
  <c r="P1866" i="1"/>
  <c r="O1866" i="1"/>
  <c r="N1866" i="1"/>
  <c r="S1865" i="1"/>
  <c r="R1865" i="1"/>
  <c r="Q1865" i="1"/>
  <c r="P1865" i="1"/>
  <c r="O1865" i="1"/>
  <c r="N1865" i="1"/>
  <c r="S1864" i="1"/>
  <c r="R1864" i="1"/>
  <c r="Q1864" i="1"/>
  <c r="P1864" i="1"/>
  <c r="O1864" i="1"/>
  <c r="N1864" i="1"/>
  <c r="S1863" i="1"/>
  <c r="R1863" i="1"/>
  <c r="Q1863" i="1"/>
  <c r="P1863" i="1"/>
  <c r="O1863" i="1"/>
  <c r="N1863" i="1"/>
  <c r="S1862" i="1"/>
  <c r="R1862" i="1"/>
  <c r="Q1862" i="1"/>
  <c r="P1862" i="1"/>
  <c r="O1862" i="1"/>
  <c r="N1862" i="1"/>
  <c r="S1861" i="1"/>
  <c r="R1861" i="1"/>
  <c r="Q1861" i="1"/>
  <c r="P1861" i="1"/>
  <c r="O1861" i="1"/>
  <c r="N1861" i="1"/>
  <c r="S1860" i="1"/>
  <c r="R1860" i="1"/>
  <c r="Q1860" i="1"/>
  <c r="P1860" i="1"/>
  <c r="O1860" i="1"/>
  <c r="N1860" i="1"/>
  <c r="S1859" i="1"/>
  <c r="R1859" i="1"/>
  <c r="Q1859" i="1"/>
  <c r="P1859" i="1"/>
  <c r="O1859" i="1"/>
  <c r="N1859" i="1"/>
  <c r="S1858" i="1"/>
  <c r="R1858" i="1"/>
  <c r="Q1858" i="1"/>
  <c r="P1858" i="1"/>
  <c r="O1858" i="1"/>
  <c r="N1858" i="1"/>
  <c r="S1857" i="1"/>
  <c r="R1857" i="1"/>
  <c r="Q1857" i="1"/>
  <c r="P1857" i="1"/>
  <c r="O1857" i="1"/>
  <c r="N1857" i="1"/>
  <c r="S1856" i="1"/>
  <c r="R1856" i="1"/>
  <c r="Q1856" i="1"/>
  <c r="P1856" i="1"/>
  <c r="O1856" i="1"/>
  <c r="N1856" i="1"/>
  <c r="S1855" i="1"/>
  <c r="R1855" i="1"/>
  <c r="Q1855" i="1"/>
  <c r="P1855" i="1"/>
  <c r="O1855" i="1"/>
  <c r="N1855" i="1"/>
  <c r="S1854" i="1"/>
  <c r="R1854" i="1"/>
  <c r="Q1854" i="1"/>
  <c r="P1854" i="1"/>
  <c r="O1854" i="1"/>
  <c r="N1854" i="1"/>
  <c r="S1853" i="1"/>
  <c r="R1853" i="1"/>
  <c r="Q1853" i="1"/>
  <c r="P1853" i="1"/>
  <c r="O1853" i="1"/>
  <c r="N1853" i="1"/>
  <c r="S1852" i="1"/>
  <c r="R1852" i="1"/>
  <c r="Q1852" i="1"/>
  <c r="P1852" i="1"/>
  <c r="O1852" i="1"/>
  <c r="N1852" i="1"/>
  <c r="S1851" i="1"/>
  <c r="R1851" i="1"/>
  <c r="Q1851" i="1"/>
  <c r="P1851" i="1"/>
  <c r="O1851" i="1"/>
  <c r="N1851" i="1"/>
  <c r="S1850" i="1"/>
  <c r="R1850" i="1"/>
  <c r="Q1850" i="1"/>
  <c r="P1850" i="1"/>
  <c r="O1850" i="1"/>
  <c r="N1850" i="1"/>
  <c r="S1849" i="1"/>
  <c r="R1849" i="1"/>
  <c r="Q1849" i="1"/>
  <c r="P1849" i="1"/>
  <c r="O1849" i="1"/>
  <c r="N1849" i="1"/>
  <c r="S1848" i="1"/>
  <c r="R1848" i="1"/>
  <c r="Q1848" i="1"/>
  <c r="P1848" i="1"/>
  <c r="O1848" i="1"/>
  <c r="N1848" i="1"/>
  <c r="S1847" i="1"/>
  <c r="R1847" i="1"/>
  <c r="Q1847" i="1"/>
  <c r="P1847" i="1"/>
  <c r="O1847" i="1"/>
  <c r="N1847" i="1"/>
  <c r="S1846" i="1"/>
  <c r="R1846" i="1"/>
  <c r="Q1846" i="1"/>
  <c r="P1846" i="1"/>
  <c r="O1846" i="1"/>
  <c r="N1846" i="1"/>
  <c r="S1845" i="1"/>
  <c r="R1845" i="1"/>
  <c r="Q1845" i="1"/>
  <c r="P1845" i="1"/>
  <c r="O1845" i="1"/>
  <c r="N1845" i="1"/>
  <c r="S1844" i="1"/>
  <c r="R1844" i="1"/>
  <c r="Q1844" i="1"/>
  <c r="P1844" i="1"/>
  <c r="O1844" i="1"/>
  <c r="N1844" i="1"/>
  <c r="S1843" i="1"/>
  <c r="R1843" i="1"/>
  <c r="Q1843" i="1"/>
  <c r="P1843" i="1"/>
  <c r="O1843" i="1"/>
  <c r="N1843" i="1"/>
  <c r="S1842" i="1"/>
  <c r="R1842" i="1"/>
  <c r="Q1842" i="1"/>
  <c r="P1842" i="1"/>
  <c r="O1842" i="1"/>
  <c r="N1842" i="1"/>
  <c r="S1841" i="1"/>
  <c r="R1841" i="1"/>
  <c r="Q1841" i="1"/>
  <c r="P1841" i="1"/>
  <c r="O1841" i="1"/>
  <c r="N1841" i="1"/>
  <c r="S1840" i="1"/>
  <c r="R1840" i="1"/>
  <c r="Q1840" i="1"/>
  <c r="P1840" i="1"/>
  <c r="O1840" i="1"/>
  <c r="N1840" i="1"/>
  <c r="S1839" i="1"/>
  <c r="R1839" i="1"/>
  <c r="Q1839" i="1"/>
  <c r="P1839" i="1"/>
  <c r="O1839" i="1"/>
  <c r="N1839" i="1"/>
  <c r="S1838" i="1"/>
  <c r="R1838" i="1"/>
  <c r="Q1838" i="1"/>
  <c r="P1838" i="1"/>
  <c r="O1838" i="1"/>
  <c r="N1838" i="1"/>
  <c r="S1837" i="1"/>
  <c r="R1837" i="1"/>
  <c r="Q1837" i="1"/>
  <c r="P1837" i="1"/>
  <c r="O1837" i="1"/>
  <c r="N1837" i="1"/>
  <c r="S1836" i="1"/>
  <c r="R1836" i="1"/>
  <c r="Q1836" i="1"/>
  <c r="P1836" i="1"/>
  <c r="O1836" i="1"/>
  <c r="N1836" i="1"/>
  <c r="S1835" i="1"/>
  <c r="R1835" i="1"/>
  <c r="Q1835" i="1"/>
  <c r="P1835" i="1"/>
  <c r="O1835" i="1"/>
  <c r="N1835" i="1"/>
  <c r="S1834" i="1"/>
  <c r="R1834" i="1"/>
  <c r="Q1834" i="1"/>
  <c r="P1834" i="1"/>
  <c r="O1834" i="1"/>
  <c r="N1834" i="1"/>
  <c r="S1833" i="1"/>
  <c r="R1833" i="1"/>
  <c r="Q1833" i="1"/>
  <c r="P1833" i="1"/>
  <c r="O1833" i="1"/>
  <c r="N1833" i="1"/>
  <c r="S1832" i="1"/>
  <c r="R1832" i="1"/>
  <c r="Q1832" i="1"/>
  <c r="P1832" i="1"/>
  <c r="O1832" i="1"/>
  <c r="N1832" i="1"/>
  <c r="S1831" i="1"/>
  <c r="R1831" i="1"/>
  <c r="Q1831" i="1"/>
  <c r="P1831" i="1"/>
  <c r="O1831" i="1"/>
  <c r="N1831" i="1"/>
  <c r="S1830" i="1"/>
  <c r="R1830" i="1"/>
  <c r="Q1830" i="1"/>
  <c r="P1830" i="1"/>
  <c r="O1830" i="1"/>
  <c r="N1830" i="1"/>
  <c r="S1829" i="1"/>
  <c r="R1829" i="1"/>
  <c r="Q1829" i="1"/>
  <c r="P1829" i="1"/>
  <c r="O1829" i="1"/>
  <c r="N1829" i="1"/>
  <c r="S1828" i="1"/>
  <c r="R1828" i="1"/>
  <c r="Q1828" i="1"/>
  <c r="P1828" i="1"/>
  <c r="O1828" i="1"/>
  <c r="N1828" i="1"/>
  <c r="S1827" i="1"/>
  <c r="R1827" i="1"/>
  <c r="Q1827" i="1"/>
  <c r="P1827" i="1"/>
  <c r="O1827" i="1"/>
  <c r="N1827" i="1"/>
  <c r="S1826" i="1"/>
  <c r="R1826" i="1"/>
  <c r="Q1826" i="1"/>
  <c r="P1826" i="1"/>
  <c r="O1826" i="1"/>
  <c r="N1826" i="1"/>
  <c r="S1825" i="1"/>
  <c r="R1825" i="1"/>
  <c r="Q1825" i="1"/>
  <c r="P1825" i="1"/>
  <c r="O1825" i="1"/>
  <c r="N1825" i="1"/>
  <c r="S1824" i="1"/>
  <c r="R1824" i="1"/>
  <c r="Q1824" i="1"/>
  <c r="P1824" i="1"/>
  <c r="O1824" i="1"/>
  <c r="N1824" i="1"/>
  <c r="S1823" i="1"/>
  <c r="R1823" i="1"/>
  <c r="Q1823" i="1"/>
  <c r="P1823" i="1"/>
  <c r="O1823" i="1"/>
  <c r="N1823" i="1"/>
  <c r="S1822" i="1"/>
  <c r="R1822" i="1"/>
  <c r="Q1822" i="1"/>
  <c r="P1822" i="1"/>
  <c r="O1822" i="1"/>
  <c r="N1822" i="1"/>
  <c r="S1821" i="1"/>
  <c r="R1821" i="1"/>
  <c r="Q1821" i="1"/>
  <c r="P1821" i="1"/>
  <c r="O1821" i="1"/>
  <c r="N1821" i="1"/>
  <c r="S1820" i="1"/>
  <c r="R1820" i="1"/>
  <c r="Q1820" i="1"/>
  <c r="P1820" i="1"/>
  <c r="O1820" i="1"/>
  <c r="N1820" i="1"/>
  <c r="S1819" i="1"/>
  <c r="R1819" i="1"/>
  <c r="Q1819" i="1"/>
  <c r="P1819" i="1"/>
  <c r="O1819" i="1"/>
  <c r="N1819" i="1"/>
  <c r="S1818" i="1"/>
  <c r="R1818" i="1"/>
  <c r="Q1818" i="1"/>
  <c r="P1818" i="1"/>
  <c r="O1818" i="1"/>
  <c r="N1818" i="1"/>
  <c r="S1817" i="1"/>
  <c r="R1817" i="1"/>
  <c r="Q1817" i="1"/>
  <c r="P1817" i="1"/>
  <c r="O1817" i="1"/>
  <c r="N1817" i="1"/>
  <c r="S1816" i="1"/>
  <c r="R1816" i="1"/>
  <c r="Q1816" i="1"/>
  <c r="P1816" i="1"/>
  <c r="O1816" i="1"/>
  <c r="N1816" i="1"/>
  <c r="S1815" i="1"/>
  <c r="R1815" i="1"/>
  <c r="Q1815" i="1"/>
  <c r="P1815" i="1"/>
  <c r="O1815" i="1"/>
  <c r="N1815" i="1"/>
  <c r="S1814" i="1"/>
  <c r="R1814" i="1"/>
  <c r="Q1814" i="1"/>
  <c r="P1814" i="1"/>
  <c r="O1814" i="1"/>
  <c r="N1814" i="1"/>
  <c r="S1813" i="1"/>
  <c r="R1813" i="1"/>
  <c r="Q1813" i="1"/>
  <c r="P1813" i="1"/>
  <c r="O1813" i="1"/>
  <c r="N1813" i="1"/>
  <c r="S1812" i="1"/>
  <c r="R1812" i="1"/>
  <c r="Q1812" i="1"/>
  <c r="P1812" i="1"/>
  <c r="O1812" i="1"/>
  <c r="N1812" i="1"/>
  <c r="S1811" i="1"/>
  <c r="R1811" i="1"/>
  <c r="Q1811" i="1"/>
  <c r="P1811" i="1"/>
  <c r="O1811" i="1"/>
  <c r="N1811" i="1"/>
  <c r="S1810" i="1"/>
  <c r="R1810" i="1"/>
  <c r="Q1810" i="1"/>
  <c r="P1810" i="1"/>
  <c r="O1810" i="1"/>
  <c r="N1810" i="1"/>
  <c r="S1809" i="1"/>
  <c r="R1809" i="1"/>
  <c r="Q1809" i="1"/>
  <c r="P1809" i="1"/>
  <c r="O1809" i="1"/>
  <c r="N1809" i="1"/>
  <c r="S1808" i="1"/>
  <c r="R1808" i="1"/>
  <c r="Q1808" i="1"/>
  <c r="P1808" i="1"/>
  <c r="O1808" i="1"/>
  <c r="N1808" i="1"/>
  <c r="S1807" i="1"/>
  <c r="R1807" i="1"/>
  <c r="Q1807" i="1"/>
  <c r="P1807" i="1"/>
  <c r="O1807" i="1"/>
  <c r="N1807" i="1"/>
  <c r="S1806" i="1"/>
  <c r="R1806" i="1"/>
  <c r="Q1806" i="1"/>
  <c r="P1806" i="1"/>
  <c r="O1806" i="1"/>
  <c r="N1806" i="1"/>
  <c r="S1805" i="1"/>
  <c r="R1805" i="1"/>
  <c r="Q1805" i="1"/>
  <c r="P1805" i="1"/>
  <c r="O1805" i="1"/>
  <c r="N1805" i="1"/>
  <c r="S1804" i="1"/>
  <c r="R1804" i="1"/>
  <c r="Q1804" i="1"/>
  <c r="P1804" i="1"/>
  <c r="O1804" i="1"/>
  <c r="N1804" i="1"/>
  <c r="S1803" i="1"/>
  <c r="R1803" i="1"/>
  <c r="Q1803" i="1"/>
  <c r="P1803" i="1"/>
  <c r="O1803" i="1"/>
  <c r="N1803" i="1"/>
  <c r="S1802" i="1"/>
  <c r="R1802" i="1"/>
  <c r="Q1802" i="1"/>
  <c r="P1802" i="1"/>
  <c r="O1802" i="1"/>
  <c r="N1802" i="1"/>
  <c r="S1801" i="1"/>
  <c r="R1801" i="1"/>
  <c r="Q1801" i="1"/>
  <c r="P1801" i="1"/>
  <c r="O1801" i="1"/>
  <c r="N1801" i="1"/>
  <c r="S1800" i="1"/>
  <c r="R1800" i="1"/>
  <c r="Q1800" i="1"/>
  <c r="P1800" i="1"/>
  <c r="O1800" i="1"/>
  <c r="N1800" i="1"/>
  <c r="S1799" i="1"/>
  <c r="R1799" i="1"/>
  <c r="Q1799" i="1"/>
  <c r="P1799" i="1"/>
  <c r="O1799" i="1"/>
  <c r="N1799" i="1"/>
  <c r="S1798" i="1"/>
  <c r="R1798" i="1"/>
  <c r="Q1798" i="1"/>
  <c r="P1798" i="1"/>
  <c r="O1798" i="1"/>
  <c r="N1798" i="1"/>
  <c r="S1797" i="1"/>
  <c r="R1797" i="1"/>
  <c r="Q1797" i="1"/>
  <c r="P1797" i="1"/>
  <c r="O1797" i="1"/>
  <c r="N1797" i="1"/>
  <c r="S1796" i="1"/>
  <c r="R1796" i="1"/>
  <c r="Q1796" i="1"/>
  <c r="P1796" i="1"/>
  <c r="O1796" i="1"/>
  <c r="N1796" i="1"/>
  <c r="S1795" i="1"/>
  <c r="R1795" i="1"/>
  <c r="Q1795" i="1"/>
  <c r="P1795" i="1"/>
  <c r="O1795" i="1"/>
  <c r="N1795" i="1"/>
  <c r="S1794" i="1"/>
  <c r="R1794" i="1"/>
  <c r="Q1794" i="1"/>
  <c r="P1794" i="1"/>
  <c r="O1794" i="1"/>
  <c r="N1794" i="1"/>
  <c r="S1793" i="1"/>
  <c r="R1793" i="1"/>
  <c r="Q1793" i="1"/>
  <c r="P1793" i="1"/>
  <c r="O1793" i="1"/>
  <c r="N1793" i="1"/>
  <c r="S1792" i="1"/>
  <c r="R1792" i="1"/>
  <c r="Q1792" i="1"/>
  <c r="P1792" i="1"/>
  <c r="O1792" i="1"/>
  <c r="N1792" i="1"/>
  <c r="S1791" i="1"/>
  <c r="R1791" i="1"/>
  <c r="Q1791" i="1"/>
  <c r="P1791" i="1"/>
  <c r="O1791" i="1"/>
  <c r="N1791" i="1"/>
  <c r="S1790" i="1"/>
  <c r="R1790" i="1"/>
  <c r="Q1790" i="1"/>
  <c r="P1790" i="1"/>
  <c r="O1790" i="1"/>
  <c r="N1790" i="1"/>
  <c r="S1789" i="1"/>
  <c r="R1789" i="1"/>
  <c r="Q1789" i="1"/>
  <c r="P1789" i="1"/>
  <c r="O1789" i="1"/>
  <c r="N1789" i="1"/>
  <c r="S1788" i="1"/>
  <c r="R1788" i="1"/>
  <c r="Q1788" i="1"/>
  <c r="P1788" i="1"/>
  <c r="O1788" i="1"/>
  <c r="N1788" i="1"/>
  <c r="S1787" i="1"/>
  <c r="R1787" i="1"/>
  <c r="Q1787" i="1"/>
  <c r="P1787" i="1"/>
  <c r="O1787" i="1"/>
  <c r="N1787" i="1"/>
  <c r="S1786" i="1"/>
  <c r="R1786" i="1"/>
  <c r="Q1786" i="1"/>
  <c r="P1786" i="1"/>
  <c r="O1786" i="1"/>
  <c r="N1786" i="1"/>
  <c r="S1785" i="1"/>
  <c r="R1785" i="1"/>
  <c r="Q1785" i="1"/>
  <c r="P1785" i="1"/>
  <c r="O1785" i="1"/>
  <c r="N1785" i="1"/>
  <c r="S1784" i="1"/>
  <c r="R1784" i="1"/>
  <c r="Q1784" i="1"/>
  <c r="P1784" i="1"/>
  <c r="O1784" i="1"/>
  <c r="N1784" i="1"/>
  <c r="S1783" i="1"/>
  <c r="R1783" i="1"/>
  <c r="Q1783" i="1"/>
  <c r="P1783" i="1"/>
  <c r="O1783" i="1"/>
  <c r="N1783" i="1"/>
  <c r="S1782" i="1"/>
  <c r="R1782" i="1"/>
  <c r="Q1782" i="1"/>
  <c r="P1782" i="1"/>
  <c r="O1782" i="1"/>
  <c r="N1782" i="1"/>
  <c r="S1781" i="1"/>
  <c r="R1781" i="1"/>
  <c r="Q1781" i="1"/>
  <c r="P1781" i="1"/>
  <c r="O1781" i="1"/>
  <c r="N1781" i="1"/>
  <c r="S1780" i="1"/>
  <c r="R1780" i="1"/>
  <c r="Q1780" i="1"/>
  <c r="P1780" i="1"/>
  <c r="O1780" i="1"/>
  <c r="N1780" i="1"/>
  <c r="S1779" i="1"/>
  <c r="R1779" i="1"/>
  <c r="Q1779" i="1"/>
  <c r="P1779" i="1"/>
  <c r="O1779" i="1"/>
  <c r="N1779" i="1"/>
  <c r="S1778" i="1"/>
  <c r="R1778" i="1"/>
  <c r="Q1778" i="1"/>
  <c r="P1778" i="1"/>
  <c r="O1778" i="1"/>
  <c r="N1778" i="1"/>
  <c r="S1777" i="1"/>
  <c r="R1777" i="1"/>
  <c r="Q1777" i="1"/>
  <c r="P1777" i="1"/>
  <c r="O1777" i="1"/>
  <c r="N1777" i="1"/>
  <c r="S1776" i="1"/>
  <c r="R1776" i="1"/>
  <c r="Q1776" i="1"/>
  <c r="P1776" i="1"/>
  <c r="O1776" i="1"/>
  <c r="N1776" i="1"/>
  <c r="S1775" i="1"/>
  <c r="R1775" i="1"/>
  <c r="Q1775" i="1"/>
  <c r="P1775" i="1"/>
  <c r="O1775" i="1"/>
  <c r="N1775" i="1"/>
  <c r="S1774" i="1"/>
  <c r="R1774" i="1"/>
  <c r="Q1774" i="1"/>
  <c r="P1774" i="1"/>
  <c r="O1774" i="1"/>
  <c r="N1774" i="1"/>
  <c r="S1773" i="1"/>
  <c r="R1773" i="1"/>
  <c r="Q1773" i="1"/>
  <c r="P1773" i="1"/>
  <c r="O1773" i="1"/>
  <c r="N1773" i="1"/>
  <c r="S1772" i="1"/>
  <c r="R1772" i="1"/>
  <c r="Q1772" i="1"/>
  <c r="P1772" i="1"/>
  <c r="O1772" i="1"/>
  <c r="N1772" i="1"/>
  <c r="S1771" i="1"/>
  <c r="R1771" i="1"/>
  <c r="Q1771" i="1"/>
  <c r="P1771" i="1"/>
  <c r="O1771" i="1"/>
  <c r="N1771" i="1"/>
  <c r="S1770" i="1"/>
  <c r="R1770" i="1"/>
  <c r="Q1770" i="1"/>
  <c r="P1770" i="1"/>
  <c r="O1770" i="1"/>
  <c r="N1770" i="1"/>
  <c r="S1769" i="1"/>
  <c r="R1769" i="1"/>
  <c r="Q1769" i="1"/>
  <c r="P1769" i="1"/>
  <c r="O1769" i="1"/>
  <c r="N1769" i="1"/>
  <c r="S1768" i="1"/>
  <c r="R1768" i="1"/>
  <c r="Q1768" i="1"/>
  <c r="P1768" i="1"/>
  <c r="O1768" i="1"/>
  <c r="N1768" i="1"/>
  <c r="S1767" i="1"/>
  <c r="R1767" i="1"/>
  <c r="Q1767" i="1"/>
  <c r="P1767" i="1"/>
  <c r="O1767" i="1"/>
  <c r="N1767" i="1"/>
  <c r="S1766" i="1"/>
  <c r="R1766" i="1"/>
  <c r="Q1766" i="1"/>
  <c r="P1766" i="1"/>
  <c r="O1766" i="1"/>
  <c r="N1766" i="1"/>
  <c r="S1765" i="1"/>
  <c r="R1765" i="1"/>
  <c r="Q1765" i="1"/>
  <c r="P1765" i="1"/>
  <c r="O1765" i="1"/>
  <c r="N1765" i="1"/>
  <c r="S1764" i="1"/>
  <c r="R1764" i="1"/>
  <c r="Q1764" i="1"/>
  <c r="P1764" i="1"/>
  <c r="O1764" i="1"/>
  <c r="N1764" i="1"/>
  <c r="S1763" i="1"/>
  <c r="R1763" i="1"/>
  <c r="Q1763" i="1"/>
  <c r="P1763" i="1"/>
  <c r="O1763" i="1"/>
  <c r="N1763" i="1"/>
  <c r="S1762" i="1"/>
  <c r="R1762" i="1"/>
  <c r="Q1762" i="1"/>
  <c r="P1762" i="1"/>
  <c r="O1762" i="1"/>
  <c r="N1762" i="1"/>
  <c r="S1761" i="1"/>
  <c r="R1761" i="1"/>
  <c r="Q1761" i="1"/>
  <c r="P1761" i="1"/>
  <c r="O1761" i="1"/>
  <c r="N1761" i="1"/>
  <c r="S1760" i="1"/>
  <c r="R1760" i="1"/>
  <c r="Q1760" i="1"/>
  <c r="P1760" i="1"/>
  <c r="O1760" i="1"/>
  <c r="N1760" i="1"/>
  <c r="S1759" i="1"/>
  <c r="R1759" i="1"/>
  <c r="Q1759" i="1"/>
  <c r="P1759" i="1"/>
  <c r="O1759" i="1"/>
  <c r="N1759" i="1"/>
  <c r="S1758" i="1"/>
  <c r="R1758" i="1"/>
  <c r="Q1758" i="1"/>
  <c r="P1758" i="1"/>
  <c r="O1758" i="1"/>
  <c r="N1758" i="1"/>
  <c r="S1757" i="1"/>
  <c r="R1757" i="1"/>
  <c r="Q1757" i="1"/>
  <c r="P1757" i="1"/>
  <c r="O1757" i="1"/>
  <c r="N1757" i="1"/>
  <c r="S1756" i="1"/>
  <c r="R1756" i="1"/>
  <c r="Q1756" i="1"/>
  <c r="P1756" i="1"/>
  <c r="O1756" i="1"/>
  <c r="N1756" i="1"/>
  <c r="S1755" i="1"/>
  <c r="R1755" i="1"/>
  <c r="Q1755" i="1"/>
  <c r="P1755" i="1"/>
  <c r="O1755" i="1"/>
  <c r="N1755" i="1"/>
  <c r="S1754" i="1"/>
  <c r="R1754" i="1"/>
  <c r="Q1754" i="1"/>
  <c r="P1754" i="1"/>
  <c r="O1754" i="1"/>
  <c r="N1754" i="1"/>
  <c r="S1753" i="1"/>
  <c r="R1753" i="1"/>
  <c r="Q1753" i="1"/>
  <c r="P1753" i="1"/>
  <c r="O1753" i="1"/>
  <c r="N1753" i="1"/>
  <c r="S1752" i="1"/>
  <c r="R1752" i="1"/>
  <c r="Q1752" i="1"/>
  <c r="P1752" i="1"/>
  <c r="O1752" i="1"/>
  <c r="N1752" i="1"/>
  <c r="S1751" i="1"/>
  <c r="R1751" i="1"/>
  <c r="Q1751" i="1"/>
  <c r="P1751" i="1"/>
  <c r="O1751" i="1"/>
  <c r="N1751" i="1"/>
  <c r="S1750" i="1"/>
  <c r="R1750" i="1"/>
  <c r="Q1750" i="1"/>
  <c r="P1750" i="1"/>
  <c r="O1750" i="1"/>
  <c r="N1750" i="1"/>
  <c r="S1749" i="1"/>
  <c r="R1749" i="1"/>
  <c r="Q1749" i="1"/>
  <c r="P1749" i="1"/>
  <c r="O1749" i="1"/>
  <c r="N1749" i="1"/>
  <c r="S1748" i="1"/>
  <c r="R1748" i="1"/>
  <c r="Q1748" i="1"/>
  <c r="P1748" i="1"/>
  <c r="O1748" i="1"/>
  <c r="N1748" i="1"/>
  <c r="S1747" i="1"/>
  <c r="R1747" i="1"/>
  <c r="Q1747" i="1"/>
  <c r="P1747" i="1"/>
  <c r="O1747" i="1"/>
  <c r="N1747" i="1"/>
  <c r="S1746" i="1"/>
  <c r="R1746" i="1"/>
  <c r="Q1746" i="1"/>
  <c r="P1746" i="1"/>
  <c r="O1746" i="1"/>
  <c r="N1746" i="1"/>
  <c r="S1745" i="1"/>
  <c r="R1745" i="1"/>
  <c r="Q1745" i="1"/>
  <c r="P1745" i="1"/>
  <c r="O1745" i="1"/>
  <c r="N1745" i="1"/>
  <c r="S1744" i="1"/>
  <c r="R1744" i="1"/>
  <c r="Q1744" i="1"/>
  <c r="P1744" i="1"/>
  <c r="O1744" i="1"/>
  <c r="N1744" i="1"/>
  <c r="S1743" i="1"/>
  <c r="R1743" i="1"/>
  <c r="Q1743" i="1"/>
  <c r="P1743" i="1"/>
  <c r="O1743" i="1"/>
  <c r="N1743" i="1"/>
  <c r="S1742" i="1"/>
  <c r="R1742" i="1"/>
  <c r="Q1742" i="1"/>
  <c r="P1742" i="1"/>
  <c r="O1742" i="1"/>
  <c r="N1742" i="1"/>
  <c r="S1741" i="1"/>
  <c r="R1741" i="1"/>
  <c r="Q1741" i="1"/>
  <c r="P1741" i="1"/>
  <c r="O1741" i="1"/>
  <c r="N1741" i="1"/>
  <c r="S1740" i="1"/>
  <c r="R1740" i="1"/>
  <c r="Q1740" i="1"/>
  <c r="P1740" i="1"/>
  <c r="O1740" i="1"/>
  <c r="N1740" i="1"/>
  <c r="S1739" i="1"/>
  <c r="R1739" i="1"/>
  <c r="Q1739" i="1"/>
  <c r="P1739" i="1"/>
  <c r="O1739" i="1"/>
  <c r="N1739" i="1"/>
  <c r="S1738" i="1"/>
  <c r="R1738" i="1"/>
  <c r="Q1738" i="1"/>
  <c r="P1738" i="1"/>
  <c r="O1738" i="1"/>
  <c r="N1738" i="1"/>
  <c r="S1737" i="1"/>
  <c r="R1737" i="1"/>
  <c r="Q1737" i="1"/>
  <c r="P1737" i="1"/>
  <c r="O1737" i="1"/>
  <c r="N1737" i="1"/>
  <c r="S1736" i="1"/>
  <c r="R1736" i="1"/>
  <c r="Q1736" i="1"/>
  <c r="P1736" i="1"/>
  <c r="O1736" i="1"/>
  <c r="N1736" i="1"/>
  <c r="S1735" i="1"/>
  <c r="R1735" i="1"/>
  <c r="Q1735" i="1"/>
  <c r="P1735" i="1"/>
  <c r="O1735" i="1"/>
  <c r="N1735" i="1"/>
  <c r="S1734" i="1"/>
  <c r="R1734" i="1"/>
  <c r="Q1734" i="1"/>
  <c r="P1734" i="1"/>
  <c r="O1734" i="1"/>
  <c r="N1734" i="1"/>
  <c r="S1733" i="1"/>
  <c r="R1733" i="1"/>
  <c r="Q1733" i="1"/>
  <c r="P1733" i="1"/>
  <c r="O1733" i="1"/>
  <c r="N1733" i="1"/>
  <c r="S1732" i="1"/>
  <c r="R1732" i="1"/>
  <c r="Q1732" i="1"/>
  <c r="P1732" i="1"/>
  <c r="O1732" i="1"/>
  <c r="N1732" i="1"/>
  <c r="S1731" i="1"/>
  <c r="R1731" i="1"/>
  <c r="Q1731" i="1"/>
  <c r="P1731" i="1"/>
  <c r="O1731" i="1"/>
  <c r="N1731" i="1"/>
  <c r="S1730" i="1"/>
  <c r="R1730" i="1"/>
  <c r="Q1730" i="1"/>
  <c r="P1730" i="1"/>
  <c r="O1730" i="1"/>
  <c r="N1730" i="1"/>
  <c r="S1729" i="1"/>
  <c r="R1729" i="1"/>
  <c r="Q1729" i="1"/>
  <c r="P1729" i="1"/>
  <c r="O1729" i="1"/>
  <c r="N1729" i="1"/>
  <c r="S1728" i="1"/>
  <c r="R1728" i="1"/>
  <c r="Q1728" i="1"/>
  <c r="P1728" i="1"/>
  <c r="O1728" i="1"/>
  <c r="N1728" i="1"/>
  <c r="S1727" i="1"/>
  <c r="R1727" i="1"/>
  <c r="Q1727" i="1"/>
  <c r="P1727" i="1"/>
  <c r="O1727" i="1"/>
  <c r="N1727" i="1"/>
  <c r="S1726" i="1"/>
  <c r="R1726" i="1"/>
  <c r="Q1726" i="1"/>
  <c r="P1726" i="1"/>
  <c r="O1726" i="1"/>
  <c r="N1726" i="1"/>
  <c r="S1725" i="1"/>
  <c r="R1725" i="1"/>
  <c r="Q1725" i="1"/>
  <c r="P1725" i="1"/>
  <c r="O1725" i="1"/>
  <c r="N1725" i="1"/>
  <c r="S1724" i="1"/>
  <c r="R1724" i="1"/>
  <c r="Q1724" i="1"/>
  <c r="P1724" i="1"/>
  <c r="O1724" i="1"/>
  <c r="N1724" i="1"/>
  <c r="S1723" i="1"/>
  <c r="R1723" i="1"/>
  <c r="Q1723" i="1"/>
  <c r="P1723" i="1"/>
  <c r="O1723" i="1"/>
  <c r="N1723" i="1"/>
  <c r="S1722" i="1"/>
  <c r="R1722" i="1"/>
  <c r="Q1722" i="1"/>
  <c r="P1722" i="1"/>
  <c r="O1722" i="1"/>
  <c r="N1722" i="1"/>
  <c r="S1721" i="1"/>
  <c r="R1721" i="1"/>
  <c r="Q1721" i="1"/>
  <c r="P1721" i="1"/>
  <c r="O1721" i="1"/>
  <c r="N1721" i="1"/>
  <c r="S1720" i="1"/>
  <c r="R1720" i="1"/>
  <c r="Q1720" i="1"/>
  <c r="P1720" i="1"/>
  <c r="O1720" i="1"/>
  <c r="N1720" i="1"/>
  <c r="S1719" i="1"/>
  <c r="R1719" i="1"/>
  <c r="Q1719" i="1"/>
  <c r="P1719" i="1"/>
  <c r="O1719" i="1"/>
  <c r="N1719" i="1"/>
  <c r="S1718" i="1"/>
  <c r="R1718" i="1"/>
  <c r="Q1718" i="1"/>
  <c r="P1718" i="1"/>
  <c r="O1718" i="1"/>
  <c r="N1718" i="1"/>
  <c r="S1717" i="1"/>
  <c r="R1717" i="1"/>
  <c r="Q1717" i="1"/>
  <c r="P1717" i="1"/>
  <c r="O1717" i="1"/>
  <c r="N1717" i="1"/>
  <c r="S1716" i="1"/>
  <c r="R1716" i="1"/>
  <c r="Q1716" i="1"/>
  <c r="P1716" i="1"/>
  <c r="O1716" i="1"/>
  <c r="N1716" i="1"/>
  <c r="S1715" i="1"/>
  <c r="R1715" i="1"/>
  <c r="Q1715" i="1"/>
  <c r="P1715" i="1"/>
  <c r="O1715" i="1"/>
  <c r="N1715" i="1"/>
  <c r="S1714" i="1"/>
  <c r="R1714" i="1"/>
  <c r="Q1714" i="1"/>
  <c r="P1714" i="1"/>
  <c r="O1714" i="1"/>
  <c r="N1714" i="1"/>
  <c r="S1713" i="1"/>
  <c r="R1713" i="1"/>
  <c r="Q1713" i="1"/>
  <c r="P1713" i="1"/>
  <c r="O1713" i="1"/>
  <c r="N1713" i="1"/>
  <c r="S1712" i="1"/>
  <c r="R1712" i="1"/>
  <c r="Q1712" i="1"/>
  <c r="P1712" i="1"/>
  <c r="O1712" i="1"/>
  <c r="N1712" i="1"/>
  <c r="S1711" i="1"/>
  <c r="R1711" i="1"/>
  <c r="Q1711" i="1"/>
  <c r="P1711" i="1"/>
  <c r="O1711" i="1"/>
  <c r="N1711" i="1"/>
  <c r="S1710" i="1"/>
  <c r="R1710" i="1"/>
  <c r="Q1710" i="1"/>
  <c r="P1710" i="1"/>
  <c r="O1710" i="1"/>
  <c r="N1710" i="1"/>
  <c r="S1709" i="1"/>
  <c r="R1709" i="1"/>
  <c r="Q1709" i="1"/>
  <c r="P1709" i="1"/>
  <c r="O1709" i="1"/>
  <c r="N1709" i="1"/>
  <c r="S1708" i="1"/>
  <c r="R1708" i="1"/>
  <c r="Q1708" i="1"/>
  <c r="P1708" i="1"/>
  <c r="O1708" i="1"/>
  <c r="N1708" i="1"/>
  <c r="S1707" i="1"/>
  <c r="R1707" i="1"/>
  <c r="Q1707" i="1"/>
  <c r="P1707" i="1"/>
  <c r="O1707" i="1"/>
  <c r="N1707" i="1"/>
  <c r="S1706" i="1"/>
  <c r="R1706" i="1"/>
  <c r="Q1706" i="1"/>
  <c r="P1706" i="1"/>
  <c r="O1706" i="1"/>
  <c r="N1706" i="1"/>
  <c r="S1705" i="1"/>
  <c r="R1705" i="1"/>
  <c r="Q1705" i="1"/>
  <c r="P1705" i="1"/>
  <c r="O1705" i="1"/>
  <c r="N1705" i="1"/>
  <c r="S1704" i="1"/>
  <c r="R1704" i="1"/>
  <c r="Q1704" i="1"/>
  <c r="P1704" i="1"/>
  <c r="O1704" i="1"/>
  <c r="N1704" i="1"/>
  <c r="S1703" i="1"/>
  <c r="R1703" i="1"/>
  <c r="Q1703" i="1"/>
  <c r="P1703" i="1"/>
  <c r="O1703" i="1"/>
  <c r="N1703" i="1"/>
  <c r="S1702" i="1"/>
  <c r="R1702" i="1"/>
  <c r="Q1702" i="1"/>
  <c r="P1702" i="1"/>
  <c r="O1702" i="1"/>
  <c r="N1702" i="1"/>
  <c r="S1701" i="1"/>
  <c r="R1701" i="1"/>
  <c r="Q1701" i="1"/>
  <c r="P1701" i="1"/>
  <c r="O1701" i="1"/>
  <c r="N1701" i="1"/>
  <c r="S1700" i="1"/>
  <c r="R1700" i="1"/>
  <c r="Q1700" i="1"/>
  <c r="P1700" i="1"/>
  <c r="O1700" i="1"/>
  <c r="N1700" i="1"/>
  <c r="S1699" i="1"/>
  <c r="R1699" i="1"/>
  <c r="Q1699" i="1"/>
  <c r="P1699" i="1"/>
  <c r="O1699" i="1"/>
  <c r="N1699" i="1"/>
  <c r="S1698" i="1"/>
  <c r="R1698" i="1"/>
  <c r="Q1698" i="1"/>
  <c r="P1698" i="1"/>
  <c r="O1698" i="1"/>
  <c r="N1698" i="1"/>
  <c r="S1697" i="1"/>
  <c r="R1697" i="1"/>
  <c r="Q1697" i="1"/>
  <c r="P1697" i="1"/>
  <c r="O1697" i="1"/>
  <c r="N1697" i="1"/>
  <c r="S1696" i="1"/>
  <c r="R1696" i="1"/>
  <c r="Q1696" i="1"/>
  <c r="P1696" i="1"/>
  <c r="O1696" i="1"/>
  <c r="N1696" i="1"/>
  <c r="S1695" i="1"/>
  <c r="R1695" i="1"/>
  <c r="Q1695" i="1"/>
  <c r="P1695" i="1"/>
  <c r="O1695" i="1"/>
  <c r="N1695" i="1"/>
  <c r="S1694" i="1"/>
  <c r="R1694" i="1"/>
  <c r="Q1694" i="1"/>
  <c r="P1694" i="1"/>
  <c r="O1694" i="1"/>
  <c r="N1694" i="1"/>
  <c r="S1693" i="1"/>
  <c r="R1693" i="1"/>
  <c r="Q1693" i="1"/>
  <c r="P1693" i="1"/>
  <c r="O1693" i="1"/>
  <c r="N1693" i="1"/>
  <c r="S1692" i="1"/>
  <c r="R1692" i="1"/>
  <c r="Q1692" i="1"/>
  <c r="P1692" i="1"/>
  <c r="O1692" i="1"/>
  <c r="N1692" i="1"/>
  <c r="S1691" i="1"/>
  <c r="R1691" i="1"/>
  <c r="Q1691" i="1"/>
  <c r="P1691" i="1"/>
  <c r="O1691" i="1"/>
  <c r="N1691" i="1"/>
  <c r="S1690" i="1"/>
  <c r="R1690" i="1"/>
  <c r="Q1690" i="1"/>
  <c r="P1690" i="1"/>
  <c r="O1690" i="1"/>
  <c r="N1690" i="1"/>
  <c r="S1689" i="1"/>
  <c r="R1689" i="1"/>
  <c r="Q1689" i="1"/>
  <c r="P1689" i="1"/>
  <c r="O1689" i="1"/>
  <c r="N1689" i="1"/>
  <c r="S1688" i="1"/>
  <c r="R1688" i="1"/>
  <c r="Q1688" i="1"/>
  <c r="P1688" i="1"/>
  <c r="O1688" i="1"/>
  <c r="N1688" i="1"/>
  <c r="S1687" i="1"/>
  <c r="R1687" i="1"/>
  <c r="Q1687" i="1"/>
  <c r="P1687" i="1"/>
  <c r="O1687" i="1"/>
  <c r="N1687" i="1"/>
  <c r="S1686" i="1"/>
  <c r="R1686" i="1"/>
  <c r="Q1686" i="1"/>
  <c r="P1686" i="1"/>
  <c r="O1686" i="1"/>
  <c r="N1686" i="1"/>
  <c r="S1685" i="1"/>
  <c r="R1685" i="1"/>
  <c r="Q1685" i="1"/>
  <c r="P1685" i="1"/>
  <c r="O1685" i="1"/>
  <c r="N1685" i="1"/>
  <c r="S1684" i="1"/>
  <c r="R1684" i="1"/>
  <c r="Q1684" i="1"/>
  <c r="P1684" i="1"/>
  <c r="O1684" i="1"/>
  <c r="N1684" i="1"/>
  <c r="S1683" i="1"/>
  <c r="R1683" i="1"/>
  <c r="Q1683" i="1"/>
  <c r="P1683" i="1"/>
  <c r="O1683" i="1"/>
  <c r="N1683" i="1"/>
  <c r="S1682" i="1"/>
  <c r="R1682" i="1"/>
  <c r="Q1682" i="1"/>
  <c r="P1682" i="1"/>
  <c r="O1682" i="1"/>
  <c r="N1682" i="1"/>
  <c r="S1681" i="1"/>
  <c r="R1681" i="1"/>
  <c r="Q1681" i="1"/>
  <c r="P1681" i="1"/>
  <c r="O1681" i="1"/>
  <c r="N1681" i="1"/>
  <c r="S1680" i="1"/>
  <c r="R1680" i="1"/>
  <c r="Q1680" i="1"/>
  <c r="P1680" i="1"/>
  <c r="O1680" i="1"/>
  <c r="N1680" i="1"/>
  <c r="S1679" i="1"/>
  <c r="R1679" i="1"/>
  <c r="Q1679" i="1"/>
  <c r="P1679" i="1"/>
  <c r="O1679" i="1"/>
  <c r="N1679" i="1"/>
  <c r="S1678" i="1"/>
  <c r="R1678" i="1"/>
  <c r="Q1678" i="1"/>
  <c r="P1678" i="1"/>
  <c r="O1678" i="1"/>
  <c r="N1678" i="1"/>
  <c r="S1677" i="1"/>
  <c r="R1677" i="1"/>
  <c r="Q1677" i="1"/>
  <c r="P1677" i="1"/>
  <c r="O1677" i="1"/>
  <c r="N1677" i="1"/>
  <c r="S1676" i="1"/>
  <c r="R1676" i="1"/>
  <c r="Q1676" i="1"/>
  <c r="P1676" i="1"/>
  <c r="O1676" i="1"/>
  <c r="N1676" i="1"/>
  <c r="S1675" i="1"/>
  <c r="R1675" i="1"/>
  <c r="Q1675" i="1"/>
  <c r="P1675" i="1"/>
  <c r="O1675" i="1"/>
  <c r="N1675" i="1"/>
  <c r="S1674" i="1"/>
  <c r="R1674" i="1"/>
  <c r="Q1674" i="1"/>
  <c r="P1674" i="1"/>
  <c r="O1674" i="1"/>
  <c r="N1674" i="1"/>
  <c r="S1673" i="1"/>
  <c r="R1673" i="1"/>
  <c r="Q1673" i="1"/>
  <c r="P1673" i="1"/>
  <c r="O1673" i="1"/>
  <c r="N1673" i="1"/>
  <c r="S1672" i="1"/>
  <c r="R1672" i="1"/>
  <c r="Q1672" i="1"/>
  <c r="P1672" i="1"/>
  <c r="O1672" i="1"/>
  <c r="N1672" i="1"/>
  <c r="S1671" i="1"/>
  <c r="R1671" i="1"/>
  <c r="Q1671" i="1"/>
  <c r="P1671" i="1"/>
  <c r="O1671" i="1"/>
  <c r="N1671" i="1"/>
  <c r="S1670" i="1"/>
  <c r="R1670" i="1"/>
  <c r="Q1670" i="1"/>
  <c r="P1670" i="1"/>
  <c r="O1670" i="1"/>
  <c r="N1670" i="1"/>
  <c r="S1669" i="1"/>
  <c r="R1669" i="1"/>
  <c r="Q1669" i="1"/>
  <c r="P1669" i="1"/>
  <c r="O1669" i="1"/>
  <c r="N1669" i="1"/>
  <c r="S1668" i="1"/>
  <c r="R1668" i="1"/>
  <c r="Q1668" i="1"/>
  <c r="P1668" i="1"/>
  <c r="O1668" i="1"/>
  <c r="N1668" i="1"/>
  <c r="S1667" i="1"/>
  <c r="R1667" i="1"/>
  <c r="Q1667" i="1"/>
  <c r="P1667" i="1"/>
  <c r="O1667" i="1"/>
  <c r="N1667" i="1"/>
  <c r="S1666" i="1"/>
  <c r="R1666" i="1"/>
  <c r="Q1666" i="1"/>
  <c r="P1666" i="1"/>
  <c r="O1666" i="1"/>
  <c r="N1666" i="1"/>
  <c r="S1665" i="1"/>
  <c r="R1665" i="1"/>
  <c r="Q1665" i="1"/>
  <c r="P1665" i="1"/>
  <c r="O1665" i="1"/>
  <c r="N1665" i="1"/>
  <c r="S1664" i="1"/>
  <c r="R1664" i="1"/>
  <c r="Q1664" i="1"/>
  <c r="P1664" i="1"/>
  <c r="O1664" i="1"/>
  <c r="N1664" i="1"/>
  <c r="S1663" i="1"/>
  <c r="R1663" i="1"/>
  <c r="Q1663" i="1"/>
  <c r="P1663" i="1"/>
  <c r="O1663" i="1"/>
  <c r="N1663" i="1"/>
  <c r="S1662" i="1"/>
  <c r="R1662" i="1"/>
  <c r="Q1662" i="1"/>
  <c r="P1662" i="1"/>
  <c r="O1662" i="1"/>
  <c r="N1662" i="1"/>
  <c r="S1661" i="1"/>
  <c r="R1661" i="1"/>
  <c r="Q1661" i="1"/>
  <c r="P1661" i="1"/>
  <c r="O1661" i="1"/>
  <c r="N1661" i="1"/>
  <c r="S1660" i="1"/>
  <c r="R1660" i="1"/>
  <c r="Q1660" i="1"/>
  <c r="P1660" i="1"/>
  <c r="O1660" i="1"/>
  <c r="N1660" i="1"/>
  <c r="S1659" i="1"/>
  <c r="R1659" i="1"/>
  <c r="Q1659" i="1"/>
  <c r="P1659" i="1"/>
  <c r="O1659" i="1"/>
  <c r="N1659" i="1"/>
  <c r="S1658" i="1"/>
  <c r="R1658" i="1"/>
  <c r="Q1658" i="1"/>
  <c r="P1658" i="1"/>
  <c r="O1658" i="1"/>
  <c r="N1658" i="1"/>
  <c r="S1657" i="1"/>
  <c r="R1657" i="1"/>
  <c r="Q1657" i="1"/>
  <c r="P1657" i="1"/>
  <c r="O1657" i="1"/>
  <c r="N1657" i="1"/>
  <c r="S1656" i="1"/>
  <c r="R1656" i="1"/>
  <c r="Q1656" i="1"/>
  <c r="P1656" i="1"/>
  <c r="O1656" i="1"/>
  <c r="N1656" i="1"/>
  <c r="S1655" i="1"/>
  <c r="R1655" i="1"/>
  <c r="Q1655" i="1"/>
  <c r="P1655" i="1"/>
  <c r="O1655" i="1"/>
  <c r="N1655" i="1"/>
  <c r="S1654" i="1"/>
  <c r="R1654" i="1"/>
  <c r="Q1654" i="1"/>
  <c r="P1654" i="1"/>
  <c r="O1654" i="1"/>
  <c r="N1654" i="1"/>
  <c r="S1653" i="1"/>
  <c r="R1653" i="1"/>
  <c r="Q1653" i="1"/>
  <c r="P1653" i="1"/>
  <c r="O1653" i="1"/>
  <c r="N1653" i="1"/>
  <c r="S1652" i="1"/>
  <c r="R1652" i="1"/>
  <c r="Q1652" i="1"/>
  <c r="P1652" i="1"/>
  <c r="O1652" i="1"/>
  <c r="N1652" i="1"/>
  <c r="S1651" i="1"/>
  <c r="R1651" i="1"/>
  <c r="Q1651" i="1"/>
  <c r="P1651" i="1"/>
  <c r="O1651" i="1"/>
  <c r="N1651" i="1"/>
  <c r="S1650" i="1"/>
  <c r="R1650" i="1"/>
  <c r="Q1650" i="1"/>
  <c r="P1650" i="1"/>
  <c r="O1650" i="1"/>
  <c r="N1650" i="1"/>
  <c r="S1649" i="1"/>
  <c r="R1649" i="1"/>
  <c r="Q1649" i="1"/>
  <c r="P1649" i="1"/>
  <c r="O1649" i="1"/>
  <c r="N1649" i="1"/>
  <c r="S1648" i="1"/>
  <c r="R1648" i="1"/>
  <c r="Q1648" i="1"/>
  <c r="P1648" i="1"/>
  <c r="O1648" i="1"/>
  <c r="N1648" i="1"/>
  <c r="S1647" i="1"/>
  <c r="R1647" i="1"/>
  <c r="Q1647" i="1"/>
  <c r="P1647" i="1"/>
  <c r="O1647" i="1"/>
  <c r="N1647" i="1"/>
  <c r="S1646" i="1"/>
  <c r="R1646" i="1"/>
  <c r="Q1646" i="1"/>
  <c r="P1646" i="1"/>
  <c r="O1646" i="1"/>
  <c r="N1646" i="1"/>
  <c r="S1645" i="1"/>
  <c r="R1645" i="1"/>
  <c r="Q1645" i="1"/>
  <c r="P1645" i="1"/>
  <c r="O1645" i="1"/>
  <c r="N1645" i="1"/>
  <c r="S1644" i="1"/>
  <c r="R1644" i="1"/>
  <c r="Q1644" i="1"/>
  <c r="P1644" i="1"/>
  <c r="O1644" i="1"/>
  <c r="N1644" i="1"/>
  <c r="S1643" i="1"/>
  <c r="R1643" i="1"/>
  <c r="Q1643" i="1"/>
  <c r="P1643" i="1"/>
  <c r="O1643" i="1"/>
  <c r="N1643" i="1"/>
  <c r="S1642" i="1"/>
  <c r="R1642" i="1"/>
  <c r="Q1642" i="1"/>
  <c r="P1642" i="1"/>
  <c r="O1642" i="1"/>
  <c r="N1642" i="1"/>
  <c r="S1641" i="1"/>
  <c r="R1641" i="1"/>
  <c r="Q1641" i="1"/>
  <c r="P1641" i="1"/>
  <c r="O1641" i="1"/>
  <c r="N1641" i="1"/>
  <c r="S1640" i="1"/>
  <c r="R1640" i="1"/>
  <c r="Q1640" i="1"/>
  <c r="P1640" i="1"/>
  <c r="O1640" i="1"/>
  <c r="N1640" i="1"/>
  <c r="S1639" i="1"/>
  <c r="R1639" i="1"/>
  <c r="Q1639" i="1"/>
  <c r="P1639" i="1"/>
  <c r="O1639" i="1"/>
  <c r="N1639" i="1"/>
  <c r="S1638" i="1"/>
  <c r="R1638" i="1"/>
  <c r="Q1638" i="1"/>
  <c r="P1638" i="1"/>
  <c r="O1638" i="1"/>
  <c r="N1638" i="1"/>
  <c r="S1637" i="1"/>
  <c r="R1637" i="1"/>
  <c r="Q1637" i="1"/>
  <c r="P1637" i="1"/>
  <c r="O1637" i="1"/>
  <c r="N1637" i="1"/>
  <c r="S1636" i="1"/>
  <c r="R1636" i="1"/>
  <c r="Q1636" i="1"/>
  <c r="P1636" i="1"/>
  <c r="O1636" i="1"/>
  <c r="N1636" i="1"/>
  <c r="S1635" i="1"/>
  <c r="R1635" i="1"/>
  <c r="Q1635" i="1"/>
  <c r="P1635" i="1"/>
  <c r="O1635" i="1"/>
  <c r="N1635" i="1"/>
  <c r="S1634" i="1"/>
  <c r="R1634" i="1"/>
  <c r="Q1634" i="1"/>
  <c r="P1634" i="1"/>
  <c r="O1634" i="1"/>
  <c r="N1634" i="1"/>
  <c r="S1633" i="1"/>
  <c r="R1633" i="1"/>
  <c r="Q1633" i="1"/>
  <c r="P1633" i="1"/>
  <c r="O1633" i="1"/>
  <c r="N1633" i="1"/>
  <c r="S1632" i="1"/>
  <c r="R1632" i="1"/>
  <c r="Q1632" i="1"/>
  <c r="P1632" i="1"/>
  <c r="O1632" i="1"/>
  <c r="N1632" i="1"/>
  <c r="S1631" i="1"/>
  <c r="R1631" i="1"/>
  <c r="Q1631" i="1"/>
  <c r="P1631" i="1"/>
  <c r="O1631" i="1"/>
  <c r="N1631" i="1"/>
  <c r="S1630" i="1"/>
  <c r="R1630" i="1"/>
  <c r="Q1630" i="1"/>
  <c r="P1630" i="1"/>
  <c r="O1630" i="1"/>
  <c r="N1630" i="1"/>
  <c r="S1629" i="1"/>
  <c r="R1629" i="1"/>
  <c r="Q1629" i="1"/>
  <c r="P1629" i="1"/>
  <c r="O1629" i="1"/>
  <c r="N1629" i="1"/>
  <c r="S1628" i="1"/>
  <c r="R1628" i="1"/>
  <c r="Q1628" i="1"/>
  <c r="P1628" i="1"/>
  <c r="O1628" i="1"/>
  <c r="N1628" i="1"/>
  <c r="S1627" i="1"/>
  <c r="R1627" i="1"/>
  <c r="Q1627" i="1"/>
  <c r="P1627" i="1"/>
  <c r="O1627" i="1"/>
  <c r="N1627" i="1"/>
  <c r="S1626" i="1"/>
  <c r="R1626" i="1"/>
  <c r="Q1626" i="1"/>
  <c r="P1626" i="1"/>
  <c r="O1626" i="1"/>
  <c r="N1626" i="1"/>
  <c r="S1625" i="1"/>
  <c r="R1625" i="1"/>
  <c r="Q1625" i="1"/>
  <c r="P1625" i="1"/>
  <c r="O1625" i="1"/>
  <c r="N1625" i="1"/>
  <c r="S1624" i="1"/>
  <c r="R1624" i="1"/>
  <c r="Q1624" i="1"/>
  <c r="P1624" i="1"/>
  <c r="O1624" i="1"/>
  <c r="N1624" i="1"/>
  <c r="S1623" i="1"/>
  <c r="R1623" i="1"/>
  <c r="Q1623" i="1"/>
  <c r="P1623" i="1"/>
  <c r="O1623" i="1"/>
  <c r="N1623" i="1"/>
  <c r="S1622" i="1"/>
  <c r="R1622" i="1"/>
  <c r="Q1622" i="1"/>
  <c r="P1622" i="1"/>
  <c r="O1622" i="1"/>
  <c r="N1622" i="1"/>
  <c r="S1621" i="1"/>
  <c r="R1621" i="1"/>
  <c r="Q1621" i="1"/>
  <c r="P1621" i="1"/>
  <c r="O1621" i="1"/>
  <c r="N1621" i="1"/>
  <c r="S1620" i="1"/>
  <c r="R1620" i="1"/>
  <c r="Q1620" i="1"/>
  <c r="P1620" i="1"/>
  <c r="O1620" i="1"/>
  <c r="N1620" i="1"/>
  <c r="S1619" i="1"/>
  <c r="R1619" i="1"/>
  <c r="Q1619" i="1"/>
  <c r="P1619" i="1"/>
  <c r="O1619" i="1"/>
  <c r="N1619" i="1"/>
  <c r="S1618" i="1"/>
  <c r="R1618" i="1"/>
  <c r="Q1618" i="1"/>
  <c r="P1618" i="1"/>
  <c r="O1618" i="1"/>
  <c r="N1618" i="1"/>
  <c r="S1617" i="1"/>
  <c r="R1617" i="1"/>
  <c r="Q1617" i="1"/>
  <c r="P1617" i="1"/>
  <c r="O1617" i="1"/>
  <c r="N1617" i="1"/>
  <c r="S1616" i="1"/>
  <c r="R1616" i="1"/>
  <c r="Q1616" i="1"/>
  <c r="P1616" i="1"/>
  <c r="O1616" i="1"/>
  <c r="N1616" i="1"/>
  <c r="S1615" i="1"/>
  <c r="R1615" i="1"/>
  <c r="Q1615" i="1"/>
  <c r="P1615" i="1"/>
  <c r="O1615" i="1"/>
  <c r="N1615" i="1"/>
  <c r="S1614" i="1"/>
  <c r="R1614" i="1"/>
  <c r="Q1614" i="1"/>
  <c r="P1614" i="1"/>
  <c r="O1614" i="1"/>
  <c r="N1614" i="1"/>
  <c r="S1613" i="1"/>
  <c r="R1613" i="1"/>
  <c r="Q1613" i="1"/>
  <c r="P1613" i="1"/>
  <c r="O1613" i="1"/>
  <c r="N1613" i="1"/>
  <c r="S1612" i="1"/>
  <c r="R1612" i="1"/>
  <c r="Q1612" i="1"/>
  <c r="P1612" i="1"/>
  <c r="O1612" i="1"/>
  <c r="N1612" i="1"/>
  <c r="S1611" i="1"/>
  <c r="R1611" i="1"/>
  <c r="Q1611" i="1"/>
  <c r="P1611" i="1"/>
  <c r="O1611" i="1"/>
  <c r="N1611" i="1"/>
  <c r="S1610" i="1"/>
  <c r="R1610" i="1"/>
  <c r="Q1610" i="1"/>
  <c r="P1610" i="1"/>
  <c r="O1610" i="1"/>
  <c r="N1610" i="1"/>
  <c r="S1609" i="1"/>
  <c r="R1609" i="1"/>
  <c r="Q1609" i="1"/>
  <c r="P1609" i="1"/>
  <c r="O1609" i="1"/>
  <c r="N1609" i="1"/>
  <c r="S1608" i="1"/>
  <c r="R1608" i="1"/>
  <c r="Q1608" i="1"/>
  <c r="P1608" i="1"/>
  <c r="O1608" i="1"/>
  <c r="N1608" i="1"/>
  <c r="S1607" i="1"/>
  <c r="R1607" i="1"/>
  <c r="Q1607" i="1"/>
  <c r="P1607" i="1"/>
  <c r="O1607" i="1"/>
  <c r="N1607" i="1"/>
  <c r="S1606" i="1"/>
  <c r="R1606" i="1"/>
  <c r="Q1606" i="1"/>
  <c r="P1606" i="1"/>
  <c r="O1606" i="1"/>
  <c r="N1606" i="1"/>
  <c r="S1605" i="1"/>
  <c r="R1605" i="1"/>
  <c r="Q1605" i="1"/>
  <c r="P1605" i="1"/>
  <c r="O1605" i="1"/>
  <c r="N1605" i="1"/>
  <c r="S1604" i="1"/>
  <c r="R1604" i="1"/>
  <c r="Q1604" i="1"/>
  <c r="P1604" i="1"/>
  <c r="O1604" i="1"/>
  <c r="N1604" i="1"/>
  <c r="S1603" i="1"/>
  <c r="R1603" i="1"/>
  <c r="Q1603" i="1"/>
  <c r="P1603" i="1"/>
  <c r="O1603" i="1"/>
  <c r="N1603" i="1"/>
  <c r="S1602" i="1"/>
  <c r="R1602" i="1"/>
  <c r="Q1602" i="1"/>
  <c r="P1602" i="1"/>
  <c r="O1602" i="1"/>
  <c r="N1602" i="1"/>
  <c r="S1601" i="1"/>
  <c r="R1601" i="1"/>
  <c r="Q1601" i="1"/>
  <c r="P1601" i="1"/>
  <c r="O1601" i="1"/>
  <c r="N1601" i="1"/>
  <c r="S1600" i="1"/>
  <c r="R1600" i="1"/>
  <c r="Q1600" i="1"/>
  <c r="P1600" i="1"/>
  <c r="O1600" i="1"/>
  <c r="N1600" i="1"/>
  <c r="S1599" i="1"/>
  <c r="R1599" i="1"/>
  <c r="Q1599" i="1"/>
  <c r="P1599" i="1"/>
  <c r="O1599" i="1"/>
  <c r="N1599" i="1"/>
  <c r="S1598" i="1"/>
  <c r="R1598" i="1"/>
  <c r="Q1598" i="1"/>
  <c r="P1598" i="1"/>
  <c r="O1598" i="1"/>
  <c r="N1598" i="1"/>
  <c r="S1597" i="1"/>
  <c r="R1597" i="1"/>
  <c r="Q1597" i="1"/>
  <c r="P1597" i="1"/>
  <c r="O1597" i="1"/>
  <c r="N1597" i="1"/>
  <c r="S1596" i="1"/>
  <c r="R1596" i="1"/>
  <c r="Q1596" i="1"/>
  <c r="P1596" i="1"/>
  <c r="O1596" i="1"/>
  <c r="N1596" i="1"/>
  <c r="S1595" i="1"/>
  <c r="R1595" i="1"/>
  <c r="Q1595" i="1"/>
  <c r="P1595" i="1"/>
  <c r="O1595" i="1"/>
  <c r="N1595" i="1"/>
  <c r="S1594" i="1"/>
  <c r="R1594" i="1"/>
  <c r="Q1594" i="1"/>
  <c r="P1594" i="1"/>
  <c r="O1594" i="1"/>
  <c r="N1594" i="1"/>
  <c r="S1593" i="1"/>
  <c r="R1593" i="1"/>
  <c r="Q1593" i="1"/>
  <c r="P1593" i="1"/>
  <c r="O1593" i="1"/>
  <c r="N1593" i="1"/>
  <c r="S1592" i="1"/>
  <c r="R1592" i="1"/>
  <c r="Q1592" i="1"/>
  <c r="P1592" i="1"/>
  <c r="O1592" i="1"/>
  <c r="N1592" i="1"/>
  <c r="S1591" i="1"/>
  <c r="R1591" i="1"/>
  <c r="Q1591" i="1"/>
  <c r="P1591" i="1"/>
  <c r="O1591" i="1"/>
  <c r="N1591" i="1"/>
  <c r="S1590" i="1"/>
  <c r="R1590" i="1"/>
  <c r="Q1590" i="1"/>
  <c r="P1590" i="1"/>
  <c r="O1590" i="1"/>
  <c r="N1590" i="1"/>
  <c r="S1589" i="1"/>
  <c r="R1589" i="1"/>
  <c r="Q1589" i="1"/>
  <c r="P1589" i="1"/>
  <c r="O1589" i="1"/>
  <c r="N1589" i="1"/>
  <c r="S1588" i="1"/>
  <c r="R1588" i="1"/>
  <c r="Q1588" i="1"/>
  <c r="P1588" i="1"/>
  <c r="O1588" i="1"/>
  <c r="N1588" i="1"/>
  <c r="S1587" i="1"/>
  <c r="R1587" i="1"/>
  <c r="Q1587" i="1"/>
  <c r="P1587" i="1"/>
  <c r="O1587" i="1"/>
  <c r="N1587" i="1"/>
  <c r="S1586" i="1"/>
  <c r="R1586" i="1"/>
  <c r="Q1586" i="1"/>
  <c r="P1586" i="1"/>
  <c r="O1586" i="1"/>
  <c r="N1586" i="1"/>
  <c r="S1585" i="1"/>
  <c r="R1585" i="1"/>
  <c r="Q1585" i="1"/>
  <c r="P1585" i="1"/>
  <c r="O1585" i="1"/>
  <c r="N1585" i="1"/>
  <c r="S1584" i="1"/>
  <c r="R1584" i="1"/>
  <c r="Q1584" i="1"/>
  <c r="P1584" i="1"/>
  <c r="O1584" i="1"/>
  <c r="N1584" i="1"/>
  <c r="S1583" i="1"/>
  <c r="R1583" i="1"/>
  <c r="Q1583" i="1"/>
  <c r="P1583" i="1"/>
  <c r="O1583" i="1"/>
  <c r="N1583" i="1"/>
  <c r="S1582" i="1"/>
  <c r="R1582" i="1"/>
  <c r="Q1582" i="1"/>
  <c r="P1582" i="1"/>
  <c r="O1582" i="1"/>
  <c r="N1582" i="1"/>
  <c r="S1581" i="1"/>
  <c r="R1581" i="1"/>
  <c r="Q1581" i="1"/>
  <c r="P1581" i="1"/>
  <c r="O1581" i="1"/>
  <c r="N1581" i="1"/>
  <c r="S1580" i="1"/>
  <c r="R1580" i="1"/>
  <c r="Q1580" i="1"/>
  <c r="P1580" i="1"/>
  <c r="O1580" i="1"/>
  <c r="N1580" i="1"/>
  <c r="S1579" i="1"/>
  <c r="R1579" i="1"/>
  <c r="Q1579" i="1"/>
  <c r="P1579" i="1"/>
  <c r="O1579" i="1"/>
  <c r="N1579" i="1"/>
  <c r="S1578" i="1"/>
  <c r="R1578" i="1"/>
  <c r="Q1578" i="1"/>
  <c r="P1578" i="1"/>
  <c r="O1578" i="1"/>
  <c r="N1578" i="1"/>
  <c r="S1577" i="1"/>
  <c r="R1577" i="1"/>
  <c r="Q1577" i="1"/>
  <c r="P1577" i="1"/>
  <c r="O1577" i="1"/>
  <c r="N1577" i="1"/>
  <c r="S1576" i="1"/>
  <c r="R1576" i="1"/>
  <c r="Q1576" i="1"/>
  <c r="P1576" i="1"/>
  <c r="O1576" i="1"/>
  <c r="N1576" i="1"/>
  <c r="S1575" i="1"/>
  <c r="R1575" i="1"/>
  <c r="Q1575" i="1"/>
  <c r="P1575" i="1"/>
  <c r="O1575" i="1"/>
  <c r="N1575" i="1"/>
  <c r="S1574" i="1"/>
  <c r="R1574" i="1"/>
  <c r="Q1574" i="1"/>
  <c r="P1574" i="1"/>
  <c r="O1574" i="1"/>
  <c r="N1574" i="1"/>
  <c r="S1573" i="1"/>
  <c r="R1573" i="1"/>
  <c r="Q1573" i="1"/>
  <c r="P1573" i="1"/>
  <c r="O1573" i="1"/>
  <c r="N1573" i="1"/>
  <c r="S1572" i="1"/>
  <c r="R1572" i="1"/>
  <c r="Q1572" i="1"/>
  <c r="P1572" i="1"/>
  <c r="O1572" i="1"/>
  <c r="N1572" i="1"/>
  <c r="S1571" i="1"/>
  <c r="R1571" i="1"/>
  <c r="Q1571" i="1"/>
  <c r="P1571" i="1"/>
  <c r="O1571" i="1"/>
  <c r="N1571" i="1"/>
  <c r="S1570" i="1"/>
  <c r="R1570" i="1"/>
  <c r="Q1570" i="1"/>
  <c r="P1570" i="1"/>
  <c r="O1570" i="1"/>
  <c r="N1570" i="1"/>
  <c r="S1569" i="1"/>
  <c r="R1569" i="1"/>
  <c r="Q1569" i="1"/>
  <c r="P1569" i="1"/>
  <c r="O1569" i="1"/>
  <c r="N1569" i="1"/>
  <c r="S1568" i="1"/>
  <c r="R1568" i="1"/>
  <c r="Q1568" i="1"/>
  <c r="P1568" i="1"/>
  <c r="O1568" i="1"/>
  <c r="N1568" i="1"/>
  <c r="S1567" i="1"/>
  <c r="R1567" i="1"/>
  <c r="Q1567" i="1"/>
  <c r="P1567" i="1"/>
  <c r="O1567" i="1"/>
  <c r="N1567" i="1"/>
  <c r="S1566" i="1"/>
  <c r="R1566" i="1"/>
  <c r="Q1566" i="1"/>
  <c r="P1566" i="1"/>
  <c r="O1566" i="1"/>
  <c r="N1566" i="1"/>
  <c r="S1565" i="1"/>
  <c r="R1565" i="1"/>
  <c r="Q1565" i="1"/>
  <c r="P1565" i="1"/>
  <c r="O1565" i="1"/>
  <c r="N1565" i="1"/>
  <c r="S1564" i="1"/>
  <c r="R1564" i="1"/>
  <c r="Q1564" i="1"/>
  <c r="P1564" i="1"/>
  <c r="O1564" i="1"/>
  <c r="N1564" i="1"/>
  <c r="S1563" i="1"/>
  <c r="R1563" i="1"/>
  <c r="Q1563" i="1"/>
  <c r="P1563" i="1"/>
  <c r="O1563" i="1"/>
  <c r="N1563" i="1"/>
  <c r="S1562" i="1"/>
  <c r="R1562" i="1"/>
  <c r="Q1562" i="1"/>
  <c r="P1562" i="1"/>
  <c r="O1562" i="1"/>
  <c r="N1562" i="1"/>
  <c r="S1561" i="1"/>
  <c r="R1561" i="1"/>
  <c r="Q1561" i="1"/>
  <c r="P1561" i="1"/>
  <c r="O1561" i="1"/>
  <c r="N1561" i="1"/>
  <c r="S1560" i="1"/>
  <c r="R1560" i="1"/>
  <c r="Q1560" i="1"/>
  <c r="P1560" i="1"/>
  <c r="O1560" i="1"/>
  <c r="N1560" i="1"/>
  <c r="S1559" i="1"/>
  <c r="R1559" i="1"/>
  <c r="Q1559" i="1"/>
  <c r="P1559" i="1"/>
  <c r="O1559" i="1"/>
  <c r="N1559" i="1"/>
  <c r="S1558" i="1"/>
  <c r="R1558" i="1"/>
  <c r="Q1558" i="1"/>
  <c r="P1558" i="1"/>
  <c r="O1558" i="1"/>
  <c r="N1558" i="1"/>
  <c r="S1557" i="1"/>
  <c r="R1557" i="1"/>
  <c r="Q1557" i="1"/>
  <c r="P1557" i="1"/>
  <c r="O1557" i="1"/>
  <c r="N1557" i="1"/>
  <c r="S1556" i="1"/>
  <c r="R1556" i="1"/>
  <c r="Q1556" i="1"/>
  <c r="P1556" i="1"/>
  <c r="O1556" i="1"/>
  <c r="N1556" i="1"/>
  <c r="S1555" i="1"/>
  <c r="R1555" i="1"/>
  <c r="Q1555" i="1"/>
  <c r="P1555" i="1"/>
  <c r="O1555" i="1"/>
  <c r="N1555" i="1"/>
  <c r="S1554" i="1"/>
  <c r="R1554" i="1"/>
  <c r="Q1554" i="1"/>
  <c r="P1554" i="1"/>
  <c r="O1554" i="1"/>
  <c r="N1554" i="1"/>
  <c r="S1553" i="1"/>
  <c r="R1553" i="1"/>
  <c r="Q1553" i="1"/>
  <c r="P1553" i="1"/>
  <c r="O1553" i="1"/>
  <c r="N1553" i="1"/>
  <c r="S1552" i="1"/>
  <c r="R1552" i="1"/>
  <c r="Q1552" i="1"/>
  <c r="P1552" i="1"/>
  <c r="O1552" i="1"/>
  <c r="N1552" i="1"/>
  <c r="S1551" i="1"/>
  <c r="R1551" i="1"/>
  <c r="Q1551" i="1"/>
  <c r="P1551" i="1"/>
  <c r="O1551" i="1"/>
  <c r="N1551" i="1"/>
  <c r="S1550" i="1"/>
  <c r="R1550" i="1"/>
  <c r="Q1550" i="1"/>
  <c r="P1550" i="1"/>
  <c r="O1550" i="1"/>
  <c r="N1550" i="1"/>
  <c r="S1549" i="1"/>
  <c r="R1549" i="1"/>
  <c r="Q1549" i="1"/>
  <c r="P1549" i="1"/>
  <c r="O1549" i="1"/>
  <c r="N1549" i="1"/>
  <c r="S1548" i="1"/>
  <c r="R1548" i="1"/>
  <c r="Q1548" i="1"/>
  <c r="P1548" i="1"/>
  <c r="O1548" i="1"/>
  <c r="N1548" i="1"/>
  <c r="S1547" i="1"/>
  <c r="R1547" i="1"/>
  <c r="Q1547" i="1"/>
  <c r="P1547" i="1"/>
  <c r="O1547" i="1"/>
  <c r="N1547" i="1"/>
  <c r="S1546" i="1"/>
  <c r="R1546" i="1"/>
  <c r="Q1546" i="1"/>
  <c r="P1546" i="1"/>
  <c r="O1546" i="1"/>
  <c r="N1546" i="1"/>
  <c r="S1545" i="1"/>
  <c r="R1545" i="1"/>
  <c r="Q1545" i="1"/>
  <c r="P1545" i="1"/>
  <c r="O1545" i="1"/>
  <c r="N1545" i="1"/>
  <c r="S1544" i="1"/>
  <c r="R1544" i="1"/>
  <c r="Q1544" i="1"/>
  <c r="P1544" i="1"/>
  <c r="O1544" i="1"/>
  <c r="N1544" i="1"/>
  <c r="S1543" i="1"/>
  <c r="R1543" i="1"/>
  <c r="Q1543" i="1"/>
  <c r="P1543" i="1"/>
  <c r="O1543" i="1"/>
  <c r="N1543" i="1"/>
  <c r="S1542" i="1"/>
  <c r="R1542" i="1"/>
  <c r="Q1542" i="1"/>
  <c r="P1542" i="1"/>
  <c r="O1542" i="1"/>
  <c r="N1542" i="1"/>
  <c r="S1541" i="1"/>
  <c r="R1541" i="1"/>
  <c r="Q1541" i="1"/>
  <c r="P1541" i="1"/>
  <c r="O1541" i="1"/>
  <c r="N1541" i="1"/>
  <c r="S1540" i="1"/>
  <c r="R1540" i="1"/>
  <c r="Q1540" i="1"/>
  <c r="P1540" i="1"/>
  <c r="O1540" i="1"/>
  <c r="N1540" i="1"/>
  <c r="S1539" i="1"/>
  <c r="R1539" i="1"/>
  <c r="Q1539" i="1"/>
  <c r="P1539" i="1"/>
  <c r="O1539" i="1"/>
  <c r="N1539" i="1"/>
  <c r="S1538" i="1"/>
  <c r="R1538" i="1"/>
  <c r="Q1538" i="1"/>
  <c r="P1538" i="1"/>
  <c r="O1538" i="1"/>
  <c r="N1538" i="1"/>
  <c r="S1537" i="1"/>
  <c r="R1537" i="1"/>
  <c r="Q1537" i="1"/>
  <c r="P1537" i="1"/>
  <c r="O1537" i="1"/>
  <c r="N1537" i="1"/>
  <c r="S1536" i="1"/>
  <c r="R1536" i="1"/>
  <c r="Q1536" i="1"/>
  <c r="P1536" i="1"/>
  <c r="O1536" i="1"/>
  <c r="N1536" i="1"/>
  <c r="S1535" i="1"/>
  <c r="R1535" i="1"/>
  <c r="Q1535" i="1"/>
  <c r="P1535" i="1"/>
  <c r="O1535" i="1"/>
  <c r="N1535" i="1"/>
  <c r="S1534" i="1"/>
  <c r="R1534" i="1"/>
  <c r="Q1534" i="1"/>
  <c r="P1534" i="1"/>
  <c r="O1534" i="1"/>
  <c r="N1534" i="1"/>
  <c r="S1533" i="1"/>
  <c r="R1533" i="1"/>
  <c r="Q1533" i="1"/>
  <c r="P1533" i="1"/>
  <c r="O1533" i="1"/>
  <c r="N1533" i="1"/>
  <c r="S1532" i="1"/>
  <c r="R1532" i="1"/>
  <c r="Q1532" i="1"/>
  <c r="P1532" i="1"/>
  <c r="O1532" i="1"/>
  <c r="N1532" i="1"/>
  <c r="S1531" i="1"/>
  <c r="R1531" i="1"/>
  <c r="Q1531" i="1"/>
  <c r="P1531" i="1"/>
  <c r="O1531" i="1"/>
  <c r="N1531" i="1"/>
  <c r="S1530" i="1"/>
  <c r="R1530" i="1"/>
  <c r="Q1530" i="1"/>
  <c r="P1530" i="1"/>
  <c r="O1530" i="1"/>
  <c r="N1530" i="1"/>
  <c r="S1529" i="1"/>
  <c r="R1529" i="1"/>
  <c r="Q1529" i="1"/>
  <c r="P1529" i="1"/>
  <c r="O1529" i="1"/>
  <c r="N1529" i="1"/>
  <c r="S1528" i="1"/>
  <c r="R1528" i="1"/>
  <c r="Q1528" i="1"/>
  <c r="P1528" i="1"/>
  <c r="O1528" i="1"/>
  <c r="N1528" i="1"/>
  <c r="S1527" i="1"/>
  <c r="R1527" i="1"/>
  <c r="Q1527" i="1"/>
  <c r="P1527" i="1"/>
  <c r="O1527" i="1"/>
  <c r="N1527" i="1"/>
  <c r="S1526" i="1"/>
  <c r="R1526" i="1"/>
  <c r="Q1526" i="1"/>
  <c r="P1526" i="1"/>
  <c r="O1526" i="1"/>
  <c r="N1526" i="1"/>
  <c r="S1525" i="1"/>
  <c r="R1525" i="1"/>
  <c r="Q1525" i="1"/>
  <c r="P1525" i="1"/>
  <c r="O1525" i="1"/>
  <c r="N1525" i="1"/>
  <c r="S1524" i="1"/>
  <c r="R1524" i="1"/>
  <c r="Q1524" i="1"/>
  <c r="P1524" i="1"/>
  <c r="O1524" i="1"/>
  <c r="N1524" i="1"/>
  <c r="S1523" i="1"/>
  <c r="R1523" i="1"/>
  <c r="Q1523" i="1"/>
  <c r="P1523" i="1"/>
  <c r="O1523" i="1"/>
  <c r="N1523" i="1"/>
  <c r="S1522" i="1"/>
  <c r="R1522" i="1"/>
  <c r="Q1522" i="1"/>
  <c r="P1522" i="1"/>
  <c r="O1522" i="1"/>
  <c r="N1522" i="1"/>
  <c r="S1521" i="1"/>
  <c r="R1521" i="1"/>
  <c r="Q1521" i="1"/>
  <c r="P1521" i="1"/>
  <c r="O1521" i="1"/>
  <c r="N1521" i="1"/>
  <c r="S1520" i="1"/>
  <c r="R1520" i="1"/>
  <c r="Q1520" i="1"/>
  <c r="P1520" i="1"/>
  <c r="O1520" i="1"/>
  <c r="N1520" i="1"/>
  <c r="S1519" i="1"/>
  <c r="R1519" i="1"/>
  <c r="Q1519" i="1"/>
  <c r="P1519" i="1"/>
  <c r="O1519" i="1"/>
  <c r="N1519" i="1"/>
  <c r="S1518" i="1"/>
  <c r="R1518" i="1"/>
  <c r="Q1518" i="1"/>
  <c r="P1518" i="1"/>
  <c r="O1518" i="1"/>
  <c r="N1518" i="1"/>
  <c r="S1517" i="1"/>
  <c r="R1517" i="1"/>
  <c r="Q1517" i="1"/>
  <c r="P1517" i="1"/>
  <c r="O1517" i="1"/>
  <c r="N1517" i="1"/>
  <c r="S1516" i="1"/>
  <c r="R1516" i="1"/>
  <c r="Q1516" i="1"/>
  <c r="P1516" i="1"/>
  <c r="O1516" i="1"/>
  <c r="N1516" i="1"/>
  <c r="S1515" i="1"/>
  <c r="R1515" i="1"/>
  <c r="Q1515" i="1"/>
  <c r="P1515" i="1"/>
  <c r="O1515" i="1"/>
  <c r="N1515" i="1"/>
  <c r="S1514" i="1"/>
  <c r="R1514" i="1"/>
  <c r="Q1514" i="1"/>
  <c r="P1514" i="1"/>
  <c r="O1514" i="1"/>
  <c r="N1514" i="1"/>
  <c r="S1513" i="1"/>
  <c r="R1513" i="1"/>
  <c r="Q1513" i="1"/>
  <c r="P1513" i="1"/>
  <c r="O1513" i="1"/>
  <c r="N1513" i="1"/>
  <c r="S1512" i="1"/>
  <c r="R1512" i="1"/>
  <c r="Q1512" i="1"/>
  <c r="P1512" i="1"/>
  <c r="O1512" i="1"/>
  <c r="N1512" i="1"/>
  <c r="S1511" i="1"/>
  <c r="R1511" i="1"/>
  <c r="Q1511" i="1"/>
  <c r="P1511" i="1"/>
  <c r="O1511" i="1"/>
  <c r="N1511" i="1"/>
  <c r="S1510" i="1"/>
  <c r="R1510" i="1"/>
  <c r="Q1510" i="1"/>
  <c r="P1510" i="1"/>
  <c r="O1510" i="1"/>
  <c r="N1510" i="1"/>
  <c r="S1509" i="1"/>
  <c r="R1509" i="1"/>
  <c r="Q1509" i="1"/>
  <c r="P1509" i="1"/>
  <c r="O1509" i="1"/>
  <c r="N1509" i="1"/>
  <c r="S1508" i="1"/>
  <c r="R1508" i="1"/>
  <c r="Q1508" i="1"/>
  <c r="P1508" i="1"/>
  <c r="O1508" i="1"/>
  <c r="N1508" i="1"/>
  <c r="S1507" i="1"/>
  <c r="R1507" i="1"/>
  <c r="Q1507" i="1"/>
  <c r="P1507" i="1"/>
  <c r="O1507" i="1"/>
  <c r="N1507" i="1"/>
  <c r="S1506" i="1"/>
  <c r="R1506" i="1"/>
  <c r="Q1506" i="1"/>
  <c r="P1506" i="1"/>
  <c r="O1506" i="1"/>
  <c r="N1506" i="1"/>
  <c r="S1505" i="1"/>
  <c r="R1505" i="1"/>
  <c r="Q1505" i="1"/>
  <c r="P1505" i="1"/>
  <c r="O1505" i="1"/>
  <c r="N1505" i="1"/>
  <c r="S1504" i="1"/>
  <c r="R1504" i="1"/>
  <c r="Q1504" i="1"/>
  <c r="P1504" i="1"/>
  <c r="O1504" i="1"/>
  <c r="N1504" i="1"/>
  <c r="S1503" i="1"/>
  <c r="R1503" i="1"/>
  <c r="Q1503" i="1"/>
  <c r="P1503" i="1"/>
  <c r="O1503" i="1"/>
  <c r="N1503" i="1"/>
  <c r="S1502" i="1"/>
  <c r="R1502" i="1"/>
  <c r="Q1502" i="1"/>
  <c r="P1502" i="1"/>
  <c r="O1502" i="1"/>
  <c r="N1502" i="1"/>
  <c r="S1501" i="1"/>
  <c r="R1501" i="1"/>
  <c r="Q1501" i="1"/>
  <c r="P1501" i="1"/>
  <c r="O1501" i="1"/>
  <c r="N1501" i="1"/>
  <c r="S1500" i="1"/>
  <c r="R1500" i="1"/>
  <c r="Q1500" i="1"/>
  <c r="P1500" i="1"/>
  <c r="O1500" i="1"/>
  <c r="N1500" i="1"/>
  <c r="S1499" i="1"/>
  <c r="R1499" i="1"/>
  <c r="Q1499" i="1"/>
  <c r="P1499" i="1"/>
  <c r="O1499" i="1"/>
  <c r="N1499" i="1"/>
  <c r="S1498" i="1"/>
  <c r="R1498" i="1"/>
  <c r="Q1498" i="1"/>
  <c r="P1498" i="1"/>
  <c r="O1498" i="1"/>
  <c r="N1498" i="1"/>
  <c r="S1497" i="1"/>
  <c r="R1497" i="1"/>
  <c r="Q1497" i="1"/>
  <c r="P1497" i="1"/>
  <c r="O1497" i="1"/>
  <c r="N1497" i="1"/>
  <c r="S1496" i="1"/>
  <c r="R1496" i="1"/>
  <c r="Q1496" i="1"/>
  <c r="P1496" i="1"/>
  <c r="O1496" i="1"/>
  <c r="N1496" i="1"/>
  <c r="S1495" i="1"/>
  <c r="R1495" i="1"/>
  <c r="Q1495" i="1"/>
  <c r="P1495" i="1"/>
  <c r="O1495" i="1"/>
  <c r="N1495" i="1"/>
  <c r="S1494" i="1"/>
  <c r="R1494" i="1"/>
  <c r="Q1494" i="1"/>
  <c r="P1494" i="1"/>
  <c r="O1494" i="1"/>
  <c r="N1494" i="1"/>
  <c r="S1493" i="1"/>
  <c r="R1493" i="1"/>
  <c r="Q1493" i="1"/>
  <c r="P1493" i="1"/>
  <c r="O1493" i="1"/>
  <c r="N1493" i="1"/>
  <c r="S1492" i="1"/>
  <c r="R1492" i="1"/>
  <c r="Q1492" i="1"/>
  <c r="P1492" i="1"/>
  <c r="O1492" i="1"/>
  <c r="N1492" i="1"/>
  <c r="S1491" i="1"/>
  <c r="R1491" i="1"/>
  <c r="Q1491" i="1"/>
  <c r="P1491" i="1"/>
  <c r="O1491" i="1"/>
  <c r="N1491" i="1"/>
  <c r="S1490" i="1"/>
  <c r="R1490" i="1"/>
  <c r="Q1490" i="1"/>
  <c r="P1490" i="1"/>
  <c r="O1490" i="1"/>
  <c r="N1490" i="1"/>
  <c r="S1489" i="1"/>
  <c r="R1489" i="1"/>
  <c r="Q1489" i="1"/>
  <c r="P1489" i="1"/>
  <c r="O1489" i="1"/>
  <c r="N1489" i="1"/>
  <c r="S1488" i="1"/>
  <c r="R1488" i="1"/>
  <c r="Q1488" i="1"/>
  <c r="P1488" i="1"/>
  <c r="O1488" i="1"/>
  <c r="N1488" i="1"/>
  <c r="S1487" i="1"/>
  <c r="R1487" i="1"/>
  <c r="Q1487" i="1"/>
  <c r="P1487" i="1"/>
  <c r="O1487" i="1"/>
  <c r="N1487" i="1"/>
  <c r="S1486" i="1"/>
  <c r="R1486" i="1"/>
  <c r="Q1486" i="1"/>
  <c r="P1486" i="1"/>
  <c r="O1486" i="1"/>
  <c r="N1486" i="1"/>
  <c r="S1485" i="1"/>
  <c r="R1485" i="1"/>
  <c r="Q1485" i="1"/>
  <c r="P1485" i="1"/>
  <c r="O1485" i="1"/>
  <c r="N1485" i="1"/>
  <c r="S1484" i="1"/>
  <c r="R1484" i="1"/>
  <c r="Q1484" i="1"/>
  <c r="P1484" i="1"/>
  <c r="O1484" i="1"/>
  <c r="N1484" i="1"/>
  <c r="S1483" i="1"/>
  <c r="R1483" i="1"/>
  <c r="Q1483" i="1"/>
  <c r="P1483" i="1"/>
  <c r="O1483" i="1"/>
  <c r="N1483" i="1"/>
  <c r="S1482" i="1"/>
  <c r="R1482" i="1"/>
  <c r="Q1482" i="1"/>
  <c r="P1482" i="1"/>
  <c r="O1482" i="1"/>
  <c r="N1482" i="1"/>
  <c r="S1481" i="1"/>
  <c r="R1481" i="1"/>
  <c r="Q1481" i="1"/>
  <c r="P1481" i="1"/>
  <c r="O1481" i="1"/>
  <c r="N1481" i="1"/>
  <c r="S1480" i="1"/>
  <c r="R1480" i="1"/>
  <c r="Q1480" i="1"/>
  <c r="P1480" i="1"/>
  <c r="O1480" i="1"/>
  <c r="N1480" i="1"/>
  <c r="S1479" i="1"/>
  <c r="R1479" i="1"/>
  <c r="Q1479" i="1"/>
  <c r="P1479" i="1"/>
  <c r="O1479" i="1"/>
  <c r="N1479" i="1"/>
  <c r="S1478" i="1"/>
  <c r="R1478" i="1"/>
  <c r="Q1478" i="1"/>
  <c r="P1478" i="1"/>
  <c r="O1478" i="1"/>
  <c r="N1478" i="1"/>
  <c r="S1477" i="1"/>
  <c r="R1477" i="1"/>
  <c r="Q1477" i="1"/>
  <c r="P1477" i="1"/>
  <c r="O1477" i="1"/>
  <c r="N1477" i="1"/>
  <c r="S1476" i="1"/>
  <c r="R1476" i="1"/>
  <c r="Q1476" i="1"/>
  <c r="P1476" i="1"/>
  <c r="O1476" i="1"/>
  <c r="N1476" i="1"/>
  <c r="S1475" i="1"/>
  <c r="R1475" i="1"/>
  <c r="Q1475" i="1"/>
  <c r="P1475" i="1"/>
  <c r="O1475" i="1"/>
  <c r="N1475" i="1"/>
  <c r="S1474" i="1"/>
  <c r="R1474" i="1"/>
  <c r="Q1474" i="1"/>
  <c r="P1474" i="1"/>
  <c r="O1474" i="1"/>
  <c r="N1474" i="1"/>
  <c r="S1473" i="1"/>
  <c r="R1473" i="1"/>
  <c r="Q1473" i="1"/>
  <c r="P1473" i="1"/>
  <c r="O1473" i="1"/>
  <c r="N1473" i="1"/>
  <c r="S1472" i="1"/>
  <c r="R1472" i="1"/>
  <c r="Q1472" i="1"/>
  <c r="P1472" i="1"/>
  <c r="O1472" i="1"/>
  <c r="N1472" i="1"/>
  <c r="S1471" i="1"/>
  <c r="R1471" i="1"/>
  <c r="Q1471" i="1"/>
  <c r="P1471" i="1"/>
  <c r="O1471" i="1"/>
  <c r="N1471" i="1"/>
  <c r="S1470" i="1"/>
  <c r="R1470" i="1"/>
  <c r="Q1470" i="1"/>
  <c r="P1470" i="1"/>
  <c r="O1470" i="1"/>
  <c r="N1470" i="1"/>
  <c r="S1469" i="1"/>
  <c r="R1469" i="1"/>
  <c r="Q1469" i="1"/>
  <c r="P1469" i="1"/>
  <c r="O1469" i="1"/>
  <c r="N1469" i="1"/>
  <c r="S1468" i="1"/>
  <c r="R1468" i="1"/>
  <c r="Q1468" i="1"/>
  <c r="P1468" i="1"/>
  <c r="O1468" i="1"/>
  <c r="N1468" i="1"/>
  <c r="S1467" i="1"/>
  <c r="R1467" i="1"/>
  <c r="Q1467" i="1"/>
  <c r="P1467" i="1"/>
  <c r="O1467" i="1"/>
  <c r="N1467" i="1"/>
  <c r="S1466" i="1"/>
  <c r="R1466" i="1"/>
  <c r="Q1466" i="1"/>
  <c r="P1466" i="1"/>
  <c r="O1466" i="1"/>
  <c r="N1466" i="1"/>
  <c r="S1465" i="1"/>
  <c r="R1465" i="1"/>
  <c r="Q1465" i="1"/>
  <c r="P1465" i="1"/>
  <c r="O1465" i="1"/>
  <c r="N1465" i="1"/>
  <c r="S1464" i="1"/>
  <c r="R1464" i="1"/>
  <c r="Q1464" i="1"/>
  <c r="P1464" i="1"/>
  <c r="O1464" i="1"/>
  <c r="N1464" i="1"/>
  <c r="S1463" i="1"/>
  <c r="R1463" i="1"/>
  <c r="Q1463" i="1"/>
  <c r="P1463" i="1"/>
  <c r="O1463" i="1"/>
  <c r="N1463" i="1"/>
  <c r="S1462" i="1"/>
  <c r="R1462" i="1"/>
  <c r="Q1462" i="1"/>
  <c r="P1462" i="1"/>
  <c r="O1462" i="1"/>
  <c r="N1462" i="1"/>
  <c r="S1461" i="1"/>
  <c r="R1461" i="1"/>
  <c r="Q1461" i="1"/>
  <c r="P1461" i="1"/>
  <c r="O1461" i="1"/>
  <c r="N1461" i="1"/>
  <c r="S1460" i="1"/>
  <c r="R1460" i="1"/>
  <c r="Q1460" i="1"/>
  <c r="P1460" i="1"/>
  <c r="O1460" i="1"/>
  <c r="N1460" i="1"/>
  <c r="S1459" i="1"/>
  <c r="R1459" i="1"/>
  <c r="Q1459" i="1"/>
  <c r="P1459" i="1"/>
  <c r="O1459" i="1"/>
  <c r="N1459" i="1"/>
  <c r="S1458" i="1"/>
  <c r="R1458" i="1"/>
  <c r="Q1458" i="1"/>
  <c r="P1458" i="1"/>
  <c r="O1458" i="1"/>
  <c r="N1458" i="1"/>
  <c r="S1457" i="1"/>
  <c r="R1457" i="1"/>
  <c r="Q1457" i="1"/>
  <c r="P1457" i="1"/>
  <c r="O1457" i="1"/>
  <c r="N1457" i="1"/>
  <c r="S1456" i="1"/>
  <c r="R1456" i="1"/>
  <c r="Q1456" i="1"/>
  <c r="P1456" i="1"/>
  <c r="O1456" i="1"/>
  <c r="N1456" i="1"/>
  <c r="S1455" i="1"/>
  <c r="R1455" i="1"/>
  <c r="Q1455" i="1"/>
  <c r="P1455" i="1"/>
  <c r="O1455" i="1"/>
  <c r="N1455" i="1"/>
  <c r="S1454" i="1"/>
  <c r="R1454" i="1"/>
  <c r="Q1454" i="1"/>
  <c r="P1454" i="1"/>
  <c r="O1454" i="1"/>
  <c r="N1454" i="1"/>
  <c r="S1453" i="1"/>
  <c r="R1453" i="1"/>
  <c r="Q1453" i="1"/>
  <c r="P1453" i="1"/>
  <c r="O1453" i="1"/>
  <c r="N1453" i="1"/>
  <c r="S1452" i="1"/>
  <c r="R1452" i="1"/>
  <c r="Q1452" i="1"/>
  <c r="P1452" i="1"/>
  <c r="O1452" i="1"/>
  <c r="N1452" i="1"/>
  <c r="S1451" i="1"/>
  <c r="R1451" i="1"/>
  <c r="Q1451" i="1"/>
  <c r="P1451" i="1"/>
  <c r="O1451" i="1"/>
  <c r="N1451" i="1"/>
  <c r="S1450" i="1"/>
  <c r="R1450" i="1"/>
  <c r="Q1450" i="1"/>
  <c r="P1450" i="1"/>
  <c r="O1450" i="1"/>
  <c r="N1450" i="1"/>
  <c r="S1449" i="1"/>
  <c r="R1449" i="1"/>
  <c r="Q1449" i="1"/>
  <c r="P1449" i="1"/>
  <c r="O1449" i="1"/>
  <c r="N1449" i="1"/>
  <c r="S1448" i="1"/>
  <c r="R1448" i="1"/>
  <c r="Q1448" i="1"/>
  <c r="P1448" i="1"/>
  <c r="O1448" i="1"/>
  <c r="N1448" i="1"/>
  <c r="S1447" i="1"/>
  <c r="R1447" i="1"/>
  <c r="Q1447" i="1"/>
  <c r="P1447" i="1"/>
  <c r="O1447" i="1"/>
  <c r="N1447" i="1"/>
  <c r="S1446" i="1"/>
  <c r="R1446" i="1"/>
  <c r="Q1446" i="1"/>
  <c r="P1446" i="1"/>
  <c r="O1446" i="1"/>
  <c r="N1446" i="1"/>
  <c r="S1445" i="1"/>
  <c r="R1445" i="1"/>
  <c r="Q1445" i="1"/>
  <c r="P1445" i="1"/>
  <c r="O1445" i="1"/>
  <c r="N1445" i="1"/>
  <c r="S1444" i="1"/>
  <c r="R1444" i="1"/>
  <c r="Q1444" i="1"/>
  <c r="P1444" i="1"/>
  <c r="O1444" i="1"/>
  <c r="N1444" i="1"/>
  <c r="S1443" i="1"/>
  <c r="R1443" i="1"/>
  <c r="Q1443" i="1"/>
  <c r="P1443" i="1"/>
  <c r="O1443" i="1"/>
  <c r="N1443" i="1"/>
  <c r="S1442" i="1"/>
  <c r="R1442" i="1"/>
  <c r="Q1442" i="1"/>
  <c r="P1442" i="1"/>
  <c r="O1442" i="1"/>
  <c r="N1442" i="1"/>
  <c r="S1441" i="1"/>
  <c r="R1441" i="1"/>
  <c r="Q1441" i="1"/>
  <c r="P1441" i="1"/>
  <c r="O1441" i="1"/>
  <c r="N1441" i="1"/>
  <c r="S1440" i="1"/>
  <c r="R1440" i="1"/>
  <c r="Q1440" i="1"/>
  <c r="P1440" i="1"/>
  <c r="O1440" i="1"/>
  <c r="N1440" i="1"/>
  <c r="S1439" i="1"/>
  <c r="R1439" i="1"/>
  <c r="Q1439" i="1"/>
  <c r="P1439" i="1"/>
  <c r="O1439" i="1"/>
  <c r="N1439" i="1"/>
  <c r="S1438" i="1"/>
  <c r="R1438" i="1"/>
  <c r="Q1438" i="1"/>
  <c r="P1438" i="1"/>
  <c r="O1438" i="1"/>
  <c r="N1438" i="1"/>
  <c r="S1437" i="1"/>
  <c r="R1437" i="1"/>
  <c r="Q1437" i="1"/>
  <c r="P1437" i="1"/>
  <c r="O1437" i="1"/>
  <c r="N1437" i="1"/>
  <c r="S1436" i="1"/>
  <c r="R1436" i="1"/>
  <c r="Q1436" i="1"/>
  <c r="P1436" i="1"/>
  <c r="O1436" i="1"/>
  <c r="N1436" i="1"/>
  <c r="S1435" i="1"/>
  <c r="R1435" i="1"/>
  <c r="Q1435" i="1"/>
  <c r="P1435" i="1"/>
  <c r="O1435" i="1"/>
  <c r="N1435" i="1"/>
  <c r="S1434" i="1"/>
  <c r="R1434" i="1"/>
  <c r="Q1434" i="1"/>
  <c r="P1434" i="1"/>
  <c r="O1434" i="1"/>
  <c r="N1434" i="1"/>
  <c r="S1433" i="1"/>
  <c r="R1433" i="1"/>
  <c r="Q1433" i="1"/>
  <c r="P1433" i="1"/>
  <c r="O1433" i="1"/>
  <c r="N1433" i="1"/>
  <c r="S1432" i="1"/>
  <c r="R1432" i="1"/>
  <c r="Q1432" i="1"/>
  <c r="P1432" i="1"/>
  <c r="O1432" i="1"/>
  <c r="N1432" i="1"/>
  <c r="S1431" i="1"/>
  <c r="R1431" i="1"/>
  <c r="Q1431" i="1"/>
  <c r="P1431" i="1"/>
  <c r="O1431" i="1"/>
  <c r="N1431" i="1"/>
  <c r="S1430" i="1"/>
  <c r="R1430" i="1"/>
  <c r="Q1430" i="1"/>
  <c r="P1430" i="1"/>
  <c r="O1430" i="1"/>
  <c r="N1430" i="1"/>
  <c r="S1429" i="1"/>
  <c r="R1429" i="1"/>
  <c r="Q1429" i="1"/>
  <c r="P1429" i="1"/>
  <c r="O1429" i="1"/>
  <c r="N1429" i="1"/>
  <c r="S1428" i="1"/>
  <c r="R1428" i="1"/>
  <c r="Q1428" i="1"/>
  <c r="P1428" i="1"/>
  <c r="O1428" i="1"/>
  <c r="N1428" i="1"/>
  <c r="S1427" i="1"/>
  <c r="R1427" i="1"/>
  <c r="Q1427" i="1"/>
  <c r="P1427" i="1"/>
  <c r="O1427" i="1"/>
  <c r="N1427" i="1"/>
  <c r="S1426" i="1"/>
  <c r="R1426" i="1"/>
  <c r="Q1426" i="1"/>
  <c r="P1426" i="1"/>
  <c r="O1426" i="1"/>
  <c r="N1426" i="1"/>
  <c r="S1425" i="1"/>
  <c r="R1425" i="1"/>
  <c r="Q1425" i="1"/>
  <c r="P1425" i="1"/>
  <c r="O1425" i="1"/>
  <c r="N1425" i="1"/>
  <c r="S1424" i="1"/>
  <c r="R1424" i="1"/>
  <c r="Q1424" i="1"/>
  <c r="P1424" i="1"/>
  <c r="O1424" i="1"/>
  <c r="N1424" i="1"/>
  <c r="S1423" i="1"/>
  <c r="R1423" i="1"/>
  <c r="Q1423" i="1"/>
  <c r="P1423" i="1"/>
  <c r="O1423" i="1"/>
  <c r="N1423" i="1"/>
  <c r="S1422" i="1"/>
  <c r="R1422" i="1"/>
  <c r="Q1422" i="1"/>
  <c r="P1422" i="1"/>
  <c r="O1422" i="1"/>
  <c r="N1422" i="1"/>
  <c r="S1421" i="1"/>
  <c r="R1421" i="1"/>
  <c r="Q1421" i="1"/>
  <c r="P1421" i="1"/>
  <c r="O1421" i="1"/>
  <c r="N1421" i="1"/>
  <c r="S1420" i="1"/>
  <c r="R1420" i="1"/>
  <c r="Q1420" i="1"/>
  <c r="P1420" i="1"/>
  <c r="O1420" i="1"/>
  <c r="N1420" i="1"/>
  <c r="S1419" i="1"/>
  <c r="R1419" i="1"/>
  <c r="Q1419" i="1"/>
  <c r="P1419" i="1"/>
  <c r="O1419" i="1"/>
  <c r="N1419" i="1"/>
  <c r="S1418" i="1"/>
  <c r="R1418" i="1"/>
  <c r="Q1418" i="1"/>
  <c r="P1418" i="1"/>
  <c r="O1418" i="1"/>
  <c r="N1418" i="1"/>
  <c r="S1417" i="1"/>
  <c r="R1417" i="1"/>
  <c r="Q1417" i="1"/>
  <c r="P1417" i="1"/>
  <c r="O1417" i="1"/>
  <c r="N1417" i="1"/>
  <c r="S1416" i="1"/>
  <c r="R1416" i="1"/>
  <c r="Q1416" i="1"/>
  <c r="P1416" i="1"/>
  <c r="O1416" i="1"/>
  <c r="N1416" i="1"/>
  <c r="S1415" i="1"/>
  <c r="R1415" i="1"/>
  <c r="Q1415" i="1"/>
  <c r="P1415" i="1"/>
  <c r="O1415" i="1"/>
  <c r="N1415" i="1"/>
  <c r="S1414" i="1"/>
  <c r="R1414" i="1"/>
  <c r="Q1414" i="1"/>
  <c r="P1414" i="1"/>
  <c r="O1414" i="1"/>
  <c r="N1414" i="1"/>
  <c r="S1413" i="1"/>
  <c r="R1413" i="1"/>
  <c r="Q1413" i="1"/>
  <c r="P1413" i="1"/>
  <c r="O1413" i="1"/>
  <c r="N1413" i="1"/>
  <c r="S1412" i="1"/>
  <c r="R1412" i="1"/>
  <c r="Q1412" i="1"/>
  <c r="P1412" i="1"/>
  <c r="O1412" i="1"/>
  <c r="N1412" i="1"/>
  <c r="S1411" i="1"/>
  <c r="R1411" i="1"/>
  <c r="Q1411" i="1"/>
  <c r="P1411" i="1"/>
  <c r="O1411" i="1"/>
  <c r="N1411" i="1"/>
  <c r="S1410" i="1"/>
  <c r="R1410" i="1"/>
  <c r="Q1410" i="1"/>
  <c r="P1410" i="1"/>
  <c r="O1410" i="1"/>
  <c r="N1410" i="1"/>
  <c r="S1409" i="1"/>
  <c r="R1409" i="1"/>
  <c r="Q1409" i="1"/>
  <c r="P1409" i="1"/>
  <c r="O1409" i="1"/>
  <c r="N1409" i="1"/>
  <c r="S1408" i="1"/>
  <c r="R1408" i="1"/>
  <c r="Q1408" i="1"/>
  <c r="P1408" i="1"/>
  <c r="O1408" i="1"/>
  <c r="N1408" i="1"/>
  <c r="S1407" i="1"/>
  <c r="R1407" i="1"/>
  <c r="Q1407" i="1"/>
  <c r="P1407" i="1"/>
  <c r="O1407" i="1"/>
  <c r="N1407" i="1"/>
  <c r="S1406" i="1"/>
  <c r="R1406" i="1"/>
  <c r="Q1406" i="1"/>
  <c r="P1406" i="1"/>
  <c r="O1406" i="1"/>
  <c r="N1406" i="1"/>
  <c r="S1405" i="1"/>
  <c r="R1405" i="1"/>
  <c r="Q1405" i="1"/>
  <c r="P1405" i="1"/>
  <c r="O1405" i="1"/>
  <c r="N1405" i="1"/>
  <c r="S1404" i="1"/>
  <c r="R1404" i="1"/>
  <c r="Q1404" i="1"/>
  <c r="P1404" i="1"/>
  <c r="O1404" i="1"/>
  <c r="N1404" i="1"/>
  <c r="S1403" i="1"/>
  <c r="R1403" i="1"/>
  <c r="Q1403" i="1"/>
  <c r="P1403" i="1"/>
  <c r="O1403" i="1"/>
  <c r="N1403" i="1"/>
  <c r="S1402" i="1"/>
  <c r="R1402" i="1"/>
  <c r="Q1402" i="1"/>
  <c r="P1402" i="1"/>
  <c r="O1402" i="1"/>
  <c r="N1402" i="1"/>
  <c r="S1401" i="1"/>
  <c r="R1401" i="1"/>
  <c r="Q1401" i="1"/>
  <c r="P1401" i="1"/>
  <c r="O1401" i="1"/>
  <c r="N1401" i="1"/>
  <c r="S1400" i="1"/>
  <c r="R1400" i="1"/>
  <c r="Q1400" i="1"/>
  <c r="P1400" i="1"/>
  <c r="O1400" i="1"/>
  <c r="N1400" i="1"/>
  <c r="S1399" i="1"/>
  <c r="R1399" i="1"/>
  <c r="Q1399" i="1"/>
  <c r="P1399" i="1"/>
  <c r="O1399" i="1"/>
  <c r="N1399" i="1"/>
  <c r="S1398" i="1"/>
  <c r="R1398" i="1"/>
  <c r="Q1398" i="1"/>
  <c r="P1398" i="1"/>
  <c r="O1398" i="1"/>
  <c r="N1398" i="1"/>
  <c r="S1397" i="1"/>
  <c r="R1397" i="1"/>
  <c r="Q1397" i="1"/>
  <c r="P1397" i="1"/>
  <c r="O1397" i="1"/>
  <c r="N1397" i="1"/>
  <c r="S1396" i="1"/>
  <c r="R1396" i="1"/>
  <c r="Q1396" i="1"/>
  <c r="P1396" i="1"/>
  <c r="O1396" i="1"/>
  <c r="N1396" i="1"/>
  <c r="S1395" i="1"/>
  <c r="R1395" i="1"/>
  <c r="Q1395" i="1"/>
  <c r="P1395" i="1"/>
  <c r="O1395" i="1"/>
  <c r="N1395" i="1"/>
  <c r="S1394" i="1"/>
  <c r="R1394" i="1"/>
  <c r="Q1394" i="1"/>
  <c r="P1394" i="1"/>
  <c r="O1394" i="1"/>
  <c r="N1394" i="1"/>
  <c r="S1393" i="1"/>
  <c r="R1393" i="1"/>
  <c r="Q1393" i="1"/>
  <c r="P1393" i="1"/>
  <c r="O1393" i="1"/>
  <c r="N1393" i="1"/>
  <c r="S1392" i="1"/>
  <c r="R1392" i="1"/>
  <c r="Q1392" i="1"/>
  <c r="P1392" i="1"/>
  <c r="O1392" i="1"/>
  <c r="N1392" i="1"/>
  <c r="S1391" i="1"/>
  <c r="R1391" i="1"/>
  <c r="Q1391" i="1"/>
  <c r="P1391" i="1"/>
  <c r="O1391" i="1"/>
  <c r="N1391" i="1"/>
  <c r="S1390" i="1"/>
  <c r="R1390" i="1"/>
  <c r="Q1390" i="1"/>
  <c r="P1390" i="1"/>
  <c r="O1390" i="1"/>
  <c r="N1390" i="1"/>
  <c r="S1389" i="1"/>
  <c r="R1389" i="1"/>
  <c r="Q1389" i="1"/>
  <c r="P1389" i="1"/>
  <c r="O1389" i="1"/>
  <c r="N1389" i="1"/>
  <c r="S1388" i="1"/>
  <c r="R1388" i="1"/>
  <c r="Q1388" i="1"/>
  <c r="P1388" i="1"/>
  <c r="O1388" i="1"/>
  <c r="N1388" i="1"/>
  <c r="S1387" i="1"/>
  <c r="R1387" i="1"/>
  <c r="Q1387" i="1"/>
  <c r="P1387" i="1"/>
  <c r="O1387" i="1"/>
  <c r="N1387" i="1"/>
  <c r="S1386" i="1"/>
  <c r="R1386" i="1"/>
  <c r="Q1386" i="1"/>
  <c r="P1386" i="1"/>
  <c r="O1386" i="1"/>
  <c r="N1386" i="1"/>
  <c r="S1385" i="1"/>
  <c r="R1385" i="1"/>
  <c r="Q1385" i="1"/>
  <c r="P1385" i="1"/>
  <c r="O1385" i="1"/>
  <c r="N1385" i="1"/>
  <c r="S1384" i="1"/>
  <c r="R1384" i="1"/>
  <c r="Q1384" i="1"/>
  <c r="P1384" i="1"/>
  <c r="O1384" i="1"/>
  <c r="N1384" i="1"/>
  <c r="S1383" i="1"/>
  <c r="R1383" i="1"/>
  <c r="Q1383" i="1"/>
  <c r="P1383" i="1"/>
  <c r="O1383" i="1"/>
  <c r="N1383" i="1"/>
  <c r="S1382" i="1"/>
  <c r="R1382" i="1"/>
  <c r="Q1382" i="1"/>
  <c r="P1382" i="1"/>
  <c r="O1382" i="1"/>
  <c r="N1382" i="1"/>
  <c r="S1381" i="1"/>
  <c r="R1381" i="1"/>
  <c r="Q1381" i="1"/>
  <c r="P1381" i="1"/>
  <c r="O1381" i="1"/>
  <c r="N1381" i="1"/>
  <c r="S1380" i="1"/>
  <c r="R1380" i="1"/>
  <c r="Q1380" i="1"/>
  <c r="P1380" i="1"/>
  <c r="O1380" i="1"/>
  <c r="N1380" i="1"/>
  <c r="S1379" i="1"/>
  <c r="R1379" i="1"/>
  <c r="Q1379" i="1"/>
  <c r="P1379" i="1"/>
  <c r="O1379" i="1"/>
  <c r="N1379" i="1"/>
  <c r="S1378" i="1"/>
  <c r="R1378" i="1"/>
  <c r="Q1378" i="1"/>
  <c r="P1378" i="1"/>
  <c r="O1378" i="1"/>
  <c r="N1378" i="1"/>
  <c r="S1377" i="1"/>
  <c r="R1377" i="1"/>
  <c r="Q1377" i="1"/>
  <c r="P1377" i="1"/>
  <c r="O1377" i="1"/>
  <c r="N1377" i="1"/>
  <c r="S1376" i="1"/>
  <c r="R1376" i="1"/>
  <c r="Q1376" i="1"/>
  <c r="P1376" i="1"/>
  <c r="O1376" i="1"/>
  <c r="N1376" i="1"/>
  <c r="S1375" i="1"/>
  <c r="R1375" i="1"/>
  <c r="Q1375" i="1"/>
  <c r="P1375" i="1"/>
  <c r="O1375" i="1"/>
  <c r="N1375" i="1"/>
  <c r="S1374" i="1"/>
  <c r="R1374" i="1"/>
  <c r="Q1374" i="1"/>
  <c r="P1374" i="1"/>
  <c r="O1374" i="1"/>
  <c r="N1374" i="1"/>
  <c r="S1373" i="1"/>
  <c r="R1373" i="1"/>
  <c r="Q1373" i="1"/>
  <c r="P1373" i="1"/>
  <c r="O1373" i="1"/>
  <c r="N1373" i="1"/>
  <c r="S1372" i="1"/>
  <c r="R1372" i="1"/>
  <c r="Q1372" i="1"/>
  <c r="P1372" i="1"/>
  <c r="O1372" i="1"/>
  <c r="N1372" i="1"/>
  <c r="S1371" i="1"/>
  <c r="R1371" i="1"/>
  <c r="Q1371" i="1"/>
  <c r="P1371" i="1"/>
  <c r="O1371" i="1"/>
  <c r="N1371" i="1"/>
  <c r="S1370" i="1"/>
  <c r="R1370" i="1"/>
  <c r="Q1370" i="1"/>
  <c r="P1370" i="1"/>
  <c r="O1370" i="1"/>
  <c r="N1370" i="1"/>
  <c r="S1369" i="1"/>
  <c r="R1369" i="1"/>
  <c r="Q1369" i="1"/>
  <c r="P1369" i="1"/>
  <c r="O1369" i="1"/>
  <c r="N1369" i="1"/>
  <c r="S1368" i="1"/>
  <c r="R1368" i="1"/>
  <c r="Q1368" i="1"/>
  <c r="P1368" i="1"/>
  <c r="O1368" i="1"/>
  <c r="N1368" i="1"/>
  <c r="S1367" i="1"/>
  <c r="R1367" i="1"/>
  <c r="Q1367" i="1"/>
  <c r="P1367" i="1"/>
  <c r="O1367" i="1"/>
  <c r="N1367" i="1"/>
  <c r="S1366" i="1"/>
  <c r="R1366" i="1"/>
  <c r="Q1366" i="1"/>
  <c r="P1366" i="1"/>
  <c r="O1366" i="1"/>
  <c r="N1366" i="1"/>
  <c r="S1365" i="1"/>
  <c r="R1365" i="1"/>
  <c r="Q1365" i="1"/>
  <c r="P1365" i="1"/>
  <c r="O1365" i="1"/>
  <c r="N1365" i="1"/>
  <c r="S1364" i="1"/>
  <c r="R1364" i="1"/>
  <c r="Q1364" i="1"/>
  <c r="P1364" i="1"/>
  <c r="O1364" i="1"/>
  <c r="N1364" i="1"/>
  <c r="S1363" i="1"/>
  <c r="R1363" i="1"/>
  <c r="Q1363" i="1"/>
  <c r="P1363" i="1"/>
  <c r="O1363" i="1"/>
  <c r="N1363" i="1"/>
  <c r="S1362" i="1"/>
  <c r="R1362" i="1"/>
  <c r="Q1362" i="1"/>
  <c r="P1362" i="1"/>
  <c r="O1362" i="1"/>
  <c r="N1362" i="1"/>
  <c r="S1361" i="1"/>
  <c r="R1361" i="1"/>
  <c r="Q1361" i="1"/>
  <c r="P1361" i="1"/>
  <c r="O1361" i="1"/>
  <c r="N1361" i="1"/>
  <c r="S1360" i="1"/>
  <c r="R1360" i="1"/>
  <c r="Q1360" i="1"/>
  <c r="P1360" i="1"/>
  <c r="O1360" i="1"/>
  <c r="N1360" i="1"/>
  <c r="S1359" i="1"/>
  <c r="R1359" i="1"/>
  <c r="Q1359" i="1"/>
  <c r="P1359" i="1"/>
  <c r="O1359" i="1"/>
  <c r="N1359" i="1"/>
  <c r="S1358" i="1"/>
  <c r="R1358" i="1"/>
  <c r="Q1358" i="1"/>
  <c r="P1358" i="1"/>
  <c r="O1358" i="1"/>
  <c r="N1358" i="1"/>
  <c r="S1357" i="1"/>
  <c r="R1357" i="1"/>
  <c r="Q1357" i="1"/>
  <c r="P1357" i="1"/>
  <c r="O1357" i="1"/>
  <c r="N1357" i="1"/>
  <c r="S1356" i="1"/>
  <c r="R1356" i="1"/>
  <c r="Q1356" i="1"/>
  <c r="P1356" i="1"/>
  <c r="O1356" i="1"/>
  <c r="N1356" i="1"/>
  <c r="S1355" i="1"/>
  <c r="R1355" i="1"/>
  <c r="Q1355" i="1"/>
  <c r="P1355" i="1"/>
  <c r="O1355" i="1"/>
  <c r="N1355" i="1"/>
  <c r="S1354" i="1"/>
  <c r="R1354" i="1"/>
  <c r="Q1354" i="1"/>
  <c r="P1354" i="1"/>
  <c r="O1354" i="1"/>
  <c r="N1354" i="1"/>
  <c r="S1353" i="1"/>
  <c r="R1353" i="1"/>
  <c r="Q1353" i="1"/>
  <c r="P1353" i="1"/>
  <c r="O1353" i="1"/>
  <c r="N1353" i="1"/>
  <c r="S1352" i="1"/>
  <c r="R1352" i="1"/>
  <c r="Q1352" i="1"/>
  <c r="P1352" i="1"/>
  <c r="O1352" i="1"/>
  <c r="N1352" i="1"/>
  <c r="S1351" i="1"/>
  <c r="R1351" i="1"/>
  <c r="Q1351" i="1"/>
  <c r="P1351" i="1"/>
  <c r="O1351" i="1"/>
  <c r="N1351" i="1"/>
  <c r="S1350" i="1"/>
  <c r="R1350" i="1"/>
  <c r="Q1350" i="1"/>
  <c r="P1350" i="1"/>
  <c r="O1350" i="1"/>
  <c r="N1350" i="1"/>
  <c r="S1349" i="1"/>
  <c r="R1349" i="1"/>
  <c r="Q1349" i="1"/>
  <c r="P1349" i="1"/>
  <c r="O1349" i="1"/>
  <c r="N1349" i="1"/>
  <c r="S1348" i="1"/>
  <c r="R1348" i="1"/>
  <c r="Q1348" i="1"/>
  <c r="P1348" i="1"/>
  <c r="O1348" i="1"/>
  <c r="N1348" i="1"/>
  <c r="S1347" i="1"/>
  <c r="R1347" i="1"/>
  <c r="Q1347" i="1"/>
  <c r="P1347" i="1"/>
  <c r="O1347" i="1"/>
  <c r="N1347" i="1"/>
  <c r="S1346" i="1"/>
  <c r="R1346" i="1"/>
  <c r="Q1346" i="1"/>
  <c r="P1346" i="1"/>
  <c r="O1346" i="1"/>
  <c r="N1346" i="1"/>
  <c r="S1345" i="1"/>
  <c r="R1345" i="1"/>
  <c r="Q1345" i="1"/>
  <c r="P1345" i="1"/>
  <c r="O1345" i="1"/>
  <c r="N1345" i="1"/>
  <c r="S1344" i="1"/>
  <c r="R1344" i="1"/>
  <c r="Q1344" i="1"/>
  <c r="P1344" i="1"/>
  <c r="O1344" i="1"/>
  <c r="N1344" i="1"/>
  <c r="S1343" i="1"/>
  <c r="R1343" i="1"/>
  <c r="Q1343" i="1"/>
  <c r="P1343" i="1"/>
  <c r="O1343" i="1"/>
  <c r="N1343" i="1"/>
  <c r="S1342" i="1"/>
  <c r="R1342" i="1"/>
  <c r="Q1342" i="1"/>
  <c r="P1342" i="1"/>
  <c r="O1342" i="1"/>
  <c r="N1342" i="1"/>
  <c r="S1341" i="1"/>
  <c r="R1341" i="1"/>
  <c r="Q1341" i="1"/>
  <c r="P1341" i="1"/>
  <c r="O1341" i="1"/>
  <c r="N1341" i="1"/>
  <c r="S1340" i="1"/>
  <c r="R1340" i="1"/>
  <c r="Q1340" i="1"/>
  <c r="P1340" i="1"/>
  <c r="O1340" i="1"/>
  <c r="N1340" i="1"/>
  <c r="S1339" i="1"/>
  <c r="R1339" i="1"/>
  <c r="Q1339" i="1"/>
  <c r="P1339" i="1"/>
  <c r="O1339" i="1"/>
  <c r="N1339" i="1"/>
  <c r="S1338" i="1"/>
  <c r="R1338" i="1"/>
  <c r="Q1338" i="1"/>
  <c r="P1338" i="1"/>
  <c r="O1338" i="1"/>
  <c r="N1338" i="1"/>
  <c r="S1337" i="1"/>
  <c r="R1337" i="1"/>
  <c r="Q1337" i="1"/>
  <c r="P1337" i="1"/>
  <c r="O1337" i="1"/>
  <c r="N1337" i="1"/>
  <c r="S1336" i="1"/>
  <c r="R1336" i="1"/>
  <c r="Q1336" i="1"/>
  <c r="P1336" i="1"/>
  <c r="O1336" i="1"/>
  <c r="N1336" i="1"/>
  <c r="S1335" i="1"/>
  <c r="R1335" i="1"/>
  <c r="Q1335" i="1"/>
  <c r="P1335" i="1"/>
  <c r="O1335" i="1"/>
  <c r="N1335" i="1"/>
  <c r="S1334" i="1"/>
  <c r="R1334" i="1"/>
  <c r="Q1334" i="1"/>
  <c r="P1334" i="1"/>
  <c r="O1334" i="1"/>
  <c r="N1334" i="1"/>
  <c r="S1333" i="1"/>
  <c r="R1333" i="1"/>
  <c r="Q1333" i="1"/>
  <c r="P1333" i="1"/>
  <c r="O1333" i="1"/>
  <c r="N1333" i="1"/>
  <c r="S1332" i="1"/>
  <c r="R1332" i="1"/>
  <c r="Q1332" i="1"/>
  <c r="P1332" i="1"/>
  <c r="O1332" i="1"/>
  <c r="N1332" i="1"/>
  <c r="S1331" i="1"/>
  <c r="R1331" i="1"/>
  <c r="Q1331" i="1"/>
  <c r="P1331" i="1"/>
  <c r="O1331" i="1"/>
  <c r="N1331" i="1"/>
  <c r="S1330" i="1"/>
  <c r="R1330" i="1"/>
  <c r="Q1330" i="1"/>
  <c r="P1330" i="1"/>
  <c r="O1330" i="1"/>
  <c r="N1330" i="1"/>
  <c r="S1329" i="1"/>
  <c r="R1329" i="1"/>
  <c r="Q1329" i="1"/>
  <c r="P1329" i="1"/>
  <c r="O1329" i="1"/>
  <c r="N1329" i="1"/>
  <c r="S1328" i="1"/>
  <c r="R1328" i="1"/>
  <c r="Q1328" i="1"/>
  <c r="P1328" i="1"/>
  <c r="O1328" i="1"/>
  <c r="N1328" i="1"/>
  <c r="S1327" i="1"/>
  <c r="R1327" i="1"/>
  <c r="Q1327" i="1"/>
  <c r="P1327" i="1"/>
  <c r="O1327" i="1"/>
  <c r="N1327" i="1"/>
  <c r="S1326" i="1"/>
  <c r="R1326" i="1"/>
  <c r="Q1326" i="1"/>
  <c r="P1326" i="1"/>
  <c r="O1326" i="1"/>
  <c r="N1326" i="1"/>
  <c r="S1325" i="1"/>
  <c r="R1325" i="1"/>
  <c r="Q1325" i="1"/>
  <c r="P1325" i="1"/>
  <c r="O1325" i="1"/>
  <c r="N1325" i="1"/>
  <c r="S1324" i="1"/>
  <c r="R1324" i="1"/>
  <c r="Q1324" i="1"/>
  <c r="P1324" i="1"/>
  <c r="O1324" i="1"/>
  <c r="N1324" i="1"/>
  <c r="S1323" i="1"/>
  <c r="R1323" i="1"/>
  <c r="Q1323" i="1"/>
  <c r="P1323" i="1"/>
  <c r="O1323" i="1"/>
  <c r="N1323" i="1"/>
  <c r="S1322" i="1"/>
  <c r="R1322" i="1"/>
  <c r="Q1322" i="1"/>
  <c r="P1322" i="1"/>
  <c r="O1322" i="1"/>
  <c r="N1322" i="1"/>
  <c r="S1321" i="1"/>
  <c r="R1321" i="1"/>
  <c r="Q1321" i="1"/>
  <c r="P1321" i="1"/>
  <c r="O1321" i="1"/>
  <c r="N1321" i="1"/>
  <c r="S1320" i="1"/>
  <c r="R1320" i="1"/>
  <c r="Q1320" i="1"/>
  <c r="P1320" i="1"/>
  <c r="O1320" i="1"/>
  <c r="N1320" i="1"/>
  <c r="S1319" i="1"/>
  <c r="R1319" i="1"/>
  <c r="Q1319" i="1"/>
  <c r="P1319" i="1"/>
  <c r="O1319" i="1"/>
  <c r="N1319" i="1"/>
  <c r="S1318" i="1"/>
  <c r="R1318" i="1"/>
  <c r="Q1318" i="1"/>
  <c r="P1318" i="1"/>
  <c r="O1318" i="1"/>
  <c r="N1318" i="1"/>
  <c r="S1317" i="1"/>
  <c r="R1317" i="1"/>
  <c r="Q1317" i="1"/>
  <c r="P1317" i="1"/>
  <c r="O1317" i="1"/>
  <c r="N1317" i="1"/>
  <c r="S1316" i="1"/>
  <c r="R1316" i="1"/>
  <c r="Q1316" i="1"/>
  <c r="P1316" i="1"/>
  <c r="O1316" i="1"/>
  <c r="N1316" i="1"/>
  <c r="S1315" i="1"/>
  <c r="R1315" i="1"/>
  <c r="Q1315" i="1"/>
  <c r="P1315" i="1"/>
  <c r="O1315" i="1"/>
  <c r="N1315" i="1"/>
  <c r="S1314" i="1"/>
  <c r="R1314" i="1"/>
  <c r="Q1314" i="1"/>
  <c r="P1314" i="1"/>
  <c r="O1314" i="1"/>
  <c r="N1314" i="1"/>
  <c r="S1313" i="1"/>
  <c r="R1313" i="1"/>
  <c r="Q1313" i="1"/>
  <c r="P1313" i="1"/>
  <c r="O1313" i="1"/>
  <c r="N1313" i="1"/>
  <c r="S1312" i="1"/>
  <c r="R1312" i="1"/>
  <c r="Q1312" i="1"/>
  <c r="P1312" i="1"/>
  <c r="O1312" i="1"/>
  <c r="N1312" i="1"/>
  <c r="S1311" i="1"/>
  <c r="R1311" i="1"/>
  <c r="Q1311" i="1"/>
  <c r="P1311" i="1"/>
  <c r="O1311" i="1"/>
  <c r="N1311" i="1"/>
  <c r="S1310" i="1"/>
  <c r="R1310" i="1"/>
  <c r="Q1310" i="1"/>
  <c r="P1310" i="1"/>
  <c r="O1310" i="1"/>
  <c r="N1310" i="1"/>
  <c r="S1309" i="1"/>
  <c r="R1309" i="1"/>
  <c r="Q1309" i="1"/>
  <c r="P1309" i="1"/>
  <c r="O1309" i="1"/>
  <c r="N1309" i="1"/>
  <c r="S1308" i="1"/>
  <c r="R1308" i="1"/>
  <c r="Q1308" i="1"/>
  <c r="P1308" i="1"/>
  <c r="O1308" i="1"/>
  <c r="N1308" i="1"/>
  <c r="S1307" i="1"/>
  <c r="R1307" i="1"/>
  <c r="Q1307" i="1"/>
  <c r="P1307" i="1"/>
  <c r="O1307" i="1"/>
  <c r="N1307" i="1"/>
  <c r="S1306" i="1"/>
  <c r="R1306" i="1"/>
  <c r="Q1306" i="1"/>
  <c r="P1306" i="1"/>
  <c r="O1306" i="1"/>
  <c r="N1306" i="1"/>
  <c r="S1305" i="1"/>
  <c r="R1305" i="1"/>
  <c r="Q1305" i="1"/>
  <c r="P1305" i="1"/>
  <c r="O1305" i="1"/>
  <c r="N1305" i="1"/>
  <c r="S1304" i="1"/>
  <c r="R1304" i="1"/>
  <c r="Q1304" i="1"/>
  <c r="P1304" i="1"/>
  <c r="O1304" i="1"/>
  <c r="N1304" i="1"/>
  <c r="S1303" i="1"/>
  <c r="R1303" i="1"/>
  <c r="Q1303" i="1"/>
  <c r="P1303" i="1"/>
  <c r="O1303" i="1"/>
  <c r="N1303" i="1"/>
  <c r="S1302" i="1"/>
  <c r="R1302" i="1"/>
  <c r="Q1302" i="1"/>
  <c r="P1302" i="1"/>
  <c r="O1302" i="1"/>
  <c r="N1302" i="1"/>
  <c r="S1301" i="1"/>
  <c r="R1301" i="1"/>
  <c r="Q1301" i="1"/>
  <c r="P1301" i="1"/>
  <c r="O1301" i="1"/>
  <c r="N1301" i="1"/>
  <c r="S1300" i="1"/>
  <c r="R1300" i="1"/>
  <c r="Q1300" i="1"/>
  <c r="P1300" i="1"/>
  <c r="O1300" i="1"/>
  <c r="N1300" i="1"/>
  <c r="S1299" i="1"/>
  <c r="R1299" i="1"/>
  <c r="Q1299" i="1"/>
  <c r="P1299" i="1"/>
  <c r="O1299" i="1"/>
  <c r="N1299" i="1"/>
  <c r="S1298" i="1"/>
  <c r="R1298" i="1"/>
  <c r="Q1298" i="1"/>
  <c r="P1298" i="1"/>
  <c r="O1298" i="1"/>
  <c r="N1298" i="1"/>
  <c r="S1297" i="1"/>
  <c r="R1297" i="1"/>
  <c r="Q1297" i="1"/>
  <c r="P1297" i="1"/>
  <c r="O1297" i="1"/>
  <c r="N1297" i="1"/>
  <c r="S1296" i="1"/>
  <c r="R1296" i="1"/>
  <c r="Q1296" i="1"/>
  <c r="P1296" i="1"/>
  <c r="O1296" i="1"/>
  <c r="N1296" i="1"/>
  <c r="S1295" i="1"/>
  <c r="R1295" i="1"/>
  <c r="Q1295" i="1"/>
  <c r="P1295" i="1"/>
  <c r="O1295" i="1"/>
  <c r="N1295" i="1"/>
  <c r="S1294" i="1"/>
  <c r="R1294" i="1"/>
  <c r="Q1294" i="1"/>
  <c r="P1294" i="1"/>
  <c r="O1294" i="1"/>
  <c r="N1294" i="1"/>
  <c r="S1293" i="1"/>
  <c r="R1293" i="1"/>
  <c r="Q1293" i="1"/>
  <c r="P1293" i="1"/>
  <c r="O1293" i="1"/>
  <c r="N1293" i="1"/>
  <c r="S1292" i="1"/>
  <c r="R1292" i="1"/>
  <c r="Q1292" i="1"/>
  <c r="P1292" i="1"/>
  <c r="O1292" i="1"/>
  <c r="N1292" i="1"/>
  <c r="S1291" i="1"/>
  <c r="R1291" i="1"/>
  <c r="Q1291" i="1"/>
  <c r="P1291" i="1"/>
  <c r="O1291" i="1"/>
  <c r="N1291" i="1"/>
  <c r="S1290" i="1"/>
  <c r="R1290" i="1"/>
  <c r="Q1290" i="1"/>
  <c r="P1290" i="1"/>
  <c r="O1290" i="1"/>
  <c r="N1290" i="1"/>
  <c r="S1289" i="1"/>
  <c r="R1289" i="1"/>
  <c r="Q1289" i="1"/>
  <c r="P1289" i="1"/>
  <c r="O1289" i="1"/>
  <c r="N1289" i="1"/>
  <c r="S1288" i="1"/>
  <c r="R1288" i="1"/>
  <c r="Q1288" i="1"/>
  <c r="P1288" i="1"/>
  <c r="O1288" i="1"/>
  <c r="N1288" i="1"/>
  <c r="S1287" i="1"/>
  <c r="R1287" i="1"/>
  <c r="Q1287" i="1"/>
  <c r="P1287" i="1"/>
  <c r="O1287" i="1"/>
  <c r="N1287" i="1"/>
  <c r="S1286" i="1"/>
  <c r="R1286" i="1"/>
  <c r="Q1286" i="1"/>
  <c r="P1286" i="1"/>
  <c r="O1286" i="1"/>
  <c r="N1286" i="1"/>
  <c r="S1285" i="1"/>
  <c r="R1285" i="1"/>
  <c r="Q1285" i="1"/>
  <c r="P1285" i="1"/>
  <c r="O1285" i="1"/>
  <c r="N1285" i="1"/>
  <c r="S1284" i="1"/>
  <c r="R1284" i="1"/>
  <c r="Q1284" i="1"/>
  <c r="P1284" i="1"/>
  <c r="O1284" i="1"/>
  <c r="N1284" i="1"/>
  <c r="S1283" i="1"/>
  <c r="R1283" i="1"/>
  <c r="Q1283" i="1"/>
  <c r="P1283" i="1"/>
  <c r="O1283" i="1"/>
  <c r="N1283" i="1"/>
  <c r="S1282" i="1"/>
  <c r="R1282" i="1"/>
  <c r="Q1282" i="1"/>
  <c r="P1282" i="1"/>
  <c r="O1282" i="1"/>
  <c r="N1282" i="1"/>
  <c r="S1281" i="1"/>
  <c r="R1281" i="1"/>
  <c r="Q1281" i="1"/>
  <c r="P1281" i="1"/>
  <c r="O1281" i="1"/>
  <c r="N1281" i="1"/>
  <c r="S1280" i="1"/>
  <c r="R1280" i="1"/>
  <c r="Q1280" i="1"/>
  <c r="P1280" i="1"/>
  <c r="O1280" i="1"/>
  <c r="N1280" i="1"/>
  <c r="S1279" i="1"/>
  <c r="R1279" i="1"/>
  <c r="Q1279" i="1"/>
  <c r="P1279" i="1"/>
  <c r="O1279" i="1"/>
  <c r="N1279" i="1"/>
  <c r="S1278" i="1"/>
  <c r="R1278" i="1"/>
  <c r="Q1278" i="1"/>
  <c r="P1278" i="1"/>
  <c r="O1278" i="1"/>
  <c r="N1278" i="1"/>
  <c r="S1277" i="1"/>
  <c r="R1277" i="1"/>
  <c r="Q1277" i="1"/>
  <c r="P1277" i="1"/>
  <c r="O1277" i="1"/>
  <c r="N1277" i="1"/>
  <c r="S1276" i="1"/>
  <c r="R1276" i="1"/>
  <c r="Q1276" i="1"/>
  <c r="P1276" i="1"/>
  <c r="O1276" i="1"/>
  <c r="N1276" i="1"/>
  <c r="S1275" i="1"/>
  <c r="R1275" i="1"/>
  <c r="Q1275" i="1"/>
  <c r="P1275" i="1"/>
  <c r="O1275" i="1"/>
  <c r="N1275" i="1"/>
  <c r="S1274" i="1"/>
  <c r="R1274" i="1"/>
  <c r="Q1274" i="1"/>
  <c r="P1274" i="1"/>
  <c r="O1274" i="1"/>
  <c r="N1274" i="1"/>
  <c r="S1273" i="1"/>
  <c r="R1273" i="1"/>
  <c r="Q1273" i="1"/>
  <c r="P1273" i="1"/>
  <c r="O1273" i="1"/>
  <c r="N1273" i="1"/>
  <c r="S1272" i="1"/>
  <c r="R1272" i="1"/>
  <c r="Q1272" i="1"/>
  <c r="P1272" i="1"/>
  <c r="O1272" i="1"/>
  <c r="N1272" i="1"/>
  <c r="S1271" i="1"/>
  <c r="R1271" i="1"/>
  <c r="Q1271" i="1"/>
  <c r="P1271" i="1"/>
  <c r="O1271" i="1"/>
  <c r="N1271" i="1"/>
  <c r="S1270" i="1"/>
  <c r="R1270" i="1"/>
  <c r="Q1270" i="1"/>
  <c r="P1270" i="1"/>
  <c r="O1270" i="1"/>
  <c r="N1270" i="1"/>
  <c r="S1269" i="1"/>
  <c r="R1269" i="1"/>
  <c r="Q1269" i="1"/>
  <c r="P1269" i="1"/>
  <c r="O1269" i="1"/>
  <c r="N1269" i="1"/>
  <c r="S1268" i="1"/>
  <c r="R1268" i="1"/>
  <c r="Q1268" i="1"/>
  <c r="P1268" i="1"/>
  <c r="O1268" i="1"/>
  <c r="N1268" i="1"/>
  <c r="S1267" i="1"/>
  <c r="R1267" i="1"/>
  <c r="Q1267" i="1"/>
  <c r="P1267" i="1"/>
  <c r="O1267" i="1"/>
  <c r="N1267" i="1"/>
  <c r="S1266" i="1"/>
  <c r="R1266" i="1"/>
  <c r="Q1266" i="1"/>
  <c r="P1266" i="1"/>
  <c r="O1266" i="1"/>
  <c r="N1266" i="1"/>
  <c r="S1265" i="1"/>
  <c r="R1265" i="1"/>
  <c r="Q1265" i="1"/>
  <c r="P1265" i="1"/>
  <c r="O1265" i="1"/>
  <c r="N1265" i="1"/>
  <c r="S1264" i="1"/>
  <c r="R1264" i="1"/>
  <c r="Q1264" i="1"/>
  <c r="P1264" i="1"/>
  <c r="O1264" i="1"/>
  <c r="N1264" i="1"/>
  <c r="S1263" i="1"/>
  <c r="R1263" i="1"/>
  <c r="Q1263" i="1"/>
  <c r="P1263" i="1"/>
  <c r="O1263" i="1"/>
  <c r="N1263" i="1"/>
  <c r="S1262" i="1"/>
  <c r="R1262" i="1"/>
  <c r="Q1262" i="1"/>
  <c r="P1262" i="1"/>
  <c r="O1262" i="1"/>
  <c r="N1262" i="1"/>
  <c r="S1261" i="1"/>
  <c r="R1261" i="1"/>
  <c r="Q1261" i="1"/>
  <c r="P1261" i="1"/>
  <c r="O1261" i="1"/>
  <c r="N1261" i="1"/>
  <c r="S1260" i="1"/>
  <c r="R1260" i="1"/>
  <c r="Q1260" i="1"/>
  <c r="P1260" i="1"/>
  <c r="O1260" i="1"/>
  <c r="N1260" i="1"/>
  <c r="S1259" i="1"/>
  <c r="R1259" i="1"/>
  <c r="Q1259" i="1"/>
  <c r="P1259" i="1"/>
  <c r="O1259" i="1"/>
  <c r="N1259" i="1"/>
  <c r="S1258" i="1"/>
  <c r="R1258" i="1"/>
  <c r="Q1258" i="1"/>
  <c r="P1258" i="1"/>
  <c r="O1258" i="1"/>
  <c r="N1258" i="1"/>
  <c r="S1257" i="1"/>
  <c r="R1257" i="1"/>
  <c r="Q1257" i="1"/>
  <c r="P1257" i="1"/>
  <c r="O1257" i="1"/>
  <c r="N1257" i="1"/>
  <c r="S1256" i="1"/>
  <c r="R1256" i="1"/>
  <c r="Q1256" i="1"/>
  <c r="P1256" i="1"/>
  <c r="O1256" i="1"/>
  <c r="N1256" i="1"/>
  <c r="S1255" i="1"/>
  <c r="R1255" i="1"/>
  <c r="Q1255" i="1"/>
  <c r="P1255" i="1"/>
  <c r="O1255" i="1"/>
  <c r="N1255" i="1"/>
  <c r="S1254" i="1"/>
  <c r="R1254" i="1"/>
  <c r="Q1254" i="1"/>
  <c r="P1254" i="1"/>
  <c r="O1254" i="1"/>
  <c r="N1254" i="1"/>
  <c r="S1253" i="1"/>
  <c r="R1253" i="1"/>
  <c r="Q1253" i="1"/>
  <c r="P1253" i="1"/>
  <c r="O1253" i="1"/>
  <c r="N1253" i="1"/>
  <c r="S1252" i="1"/>
  <c r="R1252" i="1"/>
  <c r="Q1252" i="1"/>
  <c r="P1252" i="1"/>
  <c r="O1252" i="1"/>
  <c r="N1252" i="1"/>
  <c r="S1251" i="1"/>
  <c r="R1251" i="1"/>
  <c r="Q1251" i="1"/>
  <c r="P1251" i="1"/>
  <c r="O1251" i="1"/>
  <c r="N1251" i="1"/>
  <c r="S1250" i="1"/>
  <c r="R1250" i="1"/>
  <c r="Q1250" i="1"/>
  <c r="P1250" i="1"/>
  <c r="O1250" i="1"/>
  <c r="N1250" i="1"/>
  <c r="S1249" i="1"/>
  <c r="R1249" i="1"/>
  <c r="Q1249" i="1"/>
  <c r="P1249" i="1"/>
  <c r="O1249" i="1"/>
  <c r="N1249" i="1"/>
  <c r="S1248" i="1"/>
  <c r="R1248" i="1"/>
  <c r="Q1248" i="1"/>
  <c r="P1248" i="1"/>
  <c r="O1248" i="1"/>
  <c r="N1248" i="1"/>
  <c r="S1247" i="1"/>
  <c r="R1247" i="1"/>
  <c r="Q1247" i="1"/>
  <c r="P1247" i="1"/>
  <c r="O1247" i="1"/>
  <c r="N1247" i="1"/>
  <c r="S1246" i="1"/>
  <c r="R1246" i="1"/>
  <c r="Q1246" i="1"/>
  <c r="P1246" i="1"/>
  <c r="O1246" i="1"/>
  <c r="N1246" i="1"/>
  <c r="S1245" i="1"/>
  <c r="R1245" i="1"/>
  <c r="Q1245" i="1"/>
  <c r="P1245" i="1"/>
  <c r="O1245" i="1"/>
  <c r="N1245" i="1"/>
  <c r="S1244" i="1"/>
  <c r="R1244" i="1"/>
  <c r="Q1244" i="1"/>
  <c r="P1244" i="1"/>
  <c r="O1244" i="1"/>
  <c r="N1244" i="1"/>
  <c r="S1243" i="1"/>
  <c r="R1243" i="1"/>
  <c r="Q1243" i="1"/>
  <c r="P1243" i="1"/>
  <c r="O1243" i="1"/>
  <c r="N1243" i="1"/>
  <c r="S1242" i="1"/>
  <c r="R1242" i="1"/>
  <c r="Q1242" i="1"/>
  <c r="P1242" i="1"/>
  <c r="O1242" i="1"/>
  <c r="N1242" i="1"/>
  <c r="S1241" i="1"/>
  <c r="R1241" i="1"/>
  <c r="Q1241" i="1"/>
  <c r="P1241" i="1"/>
  <c r="O1241" i="1"/>
  <c r="N1241" i="1"/>
  <c r="S1240" i="1"/>
  <c r="R1240" i="1"/>
  <c r="Q1240" i="1"/>
  <c r="P1240" i="1"/>
  <c r="O1240" i="1"/>
  <c r="N1240" i="1"/>
  <c r="S1239" i="1"/>
  <c r="R1239" i="1"/>
  <c r="Q1239" i="1"/>
  <c r="P1239" i="1"/>
  <c r="O1239" i="1"/>
  <c r="N1239" i="1"/>
  <c r="S1238" i="1"/>
  <c r="R1238" i="1"/>
  <c r="Q1238" i="1"/>
  <c r="P1238" i="1"/>
  <c r="O1238" i="1"/>
  <c r="N1238" i="1"/>
  <c r="S1237" i="1"/>
  <c r="R1237" i="1"/>
  <c r="Q1237" i="1"/>
  <c r="P1237" i="1"/>
  <c r="O1237" i="1"/>
  <c r="N1237" i="1"/>
  <c r="S1236" i="1"/>
  <c r="R1236" i="1"/>
  <c r="Q1236" i="1"/>
  <c r="P1236" i="1"/>
  <c r="O1236" i="1"/>
  <c r="N1236" i="1"/>
  <c r="S1235" i="1"/>
  <c r="R1235" i="1"/>
  <c r="Q1235" i="1"/>
  <c r="P1235" i="1"/>
  <c r="O1235" i="1"/>
  <c r="N1235" i="1"/>
  <c r="S1234" i="1"/>
  <c r="R1234" i="1"/>
  <c r="Q1234" i="1"/>
  <c r="P1234" i="1"/>
  <c r="O1234" i="1"/>
  <c r="N1234" i="1"/>
  <c r="S1233" i="1"/>
  <c r="R1233" i="1"/>
  <c r="Q1233" i="1"/>
  <c r="P1233" i="1"/>
  <c r="O1233" i="1"/>
  <c r="N1233" i="1"/>
  <c r="S1232" i="1"/>
  <c r="R1232" i="1"/>
  <c r="Q1232" i="1"/>
  <c r="P1232" i="1"/>
  <c r="O1232" i="1"/>
  <c r="N1232" i="1"/>
  <c r="S1231" i="1"/>
  <c r="R1231" i="1"/>
  <c r="Q1231" i="1"/>
  <c r="P1231" i="1"/>
  <c r="O1231" i="1"/>
  <c r="N1231" i="1"/>
  <c r="S1230" i="1"/>
  <c r="R1230" i="1"/>
  <c r="Q1230" i="1"/>
  <c r="P1230" i="1"/>
  <c r="O1230" i="1"/>
  <c r="N1230" i="1"/>
  <c r="S1229" i="1"/>
  <c r="R1229" i="1"/>
  <c r="Q1229" i="1"/>
  <c r="P1229" i="1"/>
  <c r="O1229" i="1"/>
  <c r="N1229" i="1"/>
  <c r="S1228" i="1"/>
  <c r="R1228" i="1"/>
  <c r="Q1228" i="1"/>
  <c r="P1228" i="1"/>
  <c r="O1228" i="1"/>
  <c r="N1228" i="1"/>
  <c r="S1227" i="1"/>
  <c r="R1227" i="1"/>
  <c r="Q1227" i="1"/>
  <c r="P1227" i="1"/>
  <c r="O1227" i="1"/>
  <c r="N1227" i="1"/>
  <c r="S1226" i="1"/>
  <c r="R1226" i="1"/>
  <c r="Q1226" i="1"/>
  <c r="P1226" i="1"/>
  <c r="O1226" i="1"/>
  <c r="N1226" i="1"/>
  <c r="S1225" i="1"/>
  <c r="R1225" i="1"/>
  <c r="Q1225" i="1"/>
  <c r="P1225" i="1"/>
  <c r="O1225" i="1"/>
  <c r="N1225" i="1"/>
  <c r="S1224" i="1"/>
  <c r="R1224" i="1"/>
  <c r="Q1224" i="1"/>
  <c r="P1224" i="1"/>
  <c r="O1224" i="1"/>
  <c r="N1224" i="1"/>
  <c r="S1223" i="1"/>
  <c r="R1223" i="1"/>
  <c r="Q1223" i="1"/>
  <c r="P1223" i="1"/>
  <c r="O1223" i="1"/>
  <c r="N1223" i="1"/>
  <c r="S1222" i="1"/>
  <c r="R1222" i="1"/>
  <c r="Q1222" i="1"/>
  <c r="P1222" i="1"/>
  <c r="O1222" i="1"/>
  <c r="N1222" i="1"/>
  <c r="S1221" i="1"/>
  <c r="R1221" i="1"/>
  <c r="Q1221" i="1"/>
  <c r="P1221" i="1"/>
  <c r="O1221" i="1"/>
  <c r="N1221" i="1"/>
  <c r="S1220" i="1"/>
  <c r="R1220" i="1"/>
  <c r="Q1220" i="1"/>
  <c r="P1220" i="1"/>
  <c r="O1220" i="1"/>
  <c r="N1220" i="1"/>
  <c r="S1219" i="1"/>
  <c r="R1219" i="1"/>
  <c r="Q1219" i="1"/>
  <c r="P1219" i="1"/>
  <c r="O1219" i="1"/>
  <c r="N1219" i="1"/>
  <c r="S1218" i="1"/>
  <c r="R1218" i="1"/>
  <c r="Q1218" i="1"/>
  <c r="P1218" i="1"/>
  <c r="O1218" i="1"/>
  <c r="N1218" i="1"/>
  <c r="S1217" i="1"/>
  <c r="R1217" i="1"/>
  <c r="Q1217" i="1"/>
  <c r="P1217" i="1"/>
  <c r="O1217" i="1"/>
  <c r="N1217" i="1"/>
  <c r="S1216" i="1"/>
  <c r="R1216" i="1"/>
  <c r="Q1216" i="1"/>
  <c r="P1216" i="1"/>
  <c r="O1216" i="1"/>
  <c r="N1216" i="1"/>
  <c r="S1215" i="1"/>
  <c r="R1215" i="1"/>
  <c r="Q1215" i="1"/>
  <c r="P1215" i="1"/>
  <c r="O1215" i="1"/>
  <c r="N1215" i="1"/>
  <c r="S1214" i="1"/>
  <c r="R1214" i="1"/>
  <c r="Q1214" i="1"/>
  <c r="P1214" i="1"/>
  <c r="O1214" i="1"/>
  <c r="N1214" i="1"/>
  <c r="S1213" i="1"/>
  <c r="R1213" i="1"/>
  <c r="Q1213" i="1"/>
  <c r="P1213" i="1"/>
  <c r="O1213" i="1"/>
  <c r="N1213" i="1"/>
  <c r="S1212" i="1"/>
  <c r="R1212" i="1"/>
  <c r="Q1212" i="1"/>
  <c r="P1212" i="1"/>
  <c r="O1212" i="1"/>
  <c r="N1212" i="1"/>
  <c r="S1211" i="1"/>
  <c r="R1211" i="1"/>
  <c r="Q1211" i="1"/>
  <c r="P1211" i="1"/>
  <c r="O1211" i="1"/>
  <c r="N1211" i="1"/>
  <c r="S1210" i="1"/>
  <c r="R1210" i="1"/>
  <c r="Q1210" i="1"/>
  <c r="P1210" i="1"/>
  <c r="O1210" i="1"/>
  <c r="N1210" i="1"/>
  <c r="S1209" i="1"/>
  <c r="R1209" i="1"/>
  <c r="Q1209" i="1"/>
  <c r="P1209" i="1"/>
  <c r="O1209" i="1"/>
  <c r="N1209" i="1"/>
  <c r="S1208" i="1"/>
  <c r="R1208" i="1"/>
  <c r="Q1208" i="1"/>
  <c r="P1208" i="1"/>
  <c r="O1208" i="1"/>
  <c r="N1208" i="1"/>
  <c r="S1207" i="1"/>
  <c r="R1207" i="1"/>
  <c r="Q1207" i="1"/>
  <c r="P1207" i="1"/>
  <c r="O1207" i="1"/>
  <c r="N1207" i="1"/>
  <c r="S1206" i="1"/>
  <c r="R1206" i="1"/>
  <c r="Q1206" i="1"/>
  <c r="P1206" i="1"/>
  <c r="O1206" i="1"/>
  <c r="N1206" i="1"/>
  <c r="S1205" i="1"/>
  <c r="R1205" i="1"/>
  <c r="Q1205" i="1"/>
  <c r="P1205" i="1"/>
  <c r="O1205" i="1"/>
  <c r="N1205" i="1"/>
  <c r="S1204" i="1"/>
  <c r="R1204" i="1"/>
  <c r="Q1204" i="1"/>
  <c r="P1204" i="1"/>
  <c r="O1204" i="1"/>
  <c r="N1204" i="1"/>
  <c r="S1203" i="1"/>
  <c r="R1203" i="1"/>
  <c r="Q1203" i="1"/>
  <c r="P1203" i="1"/>
  <c r="O1203" i="1"/>
  <c r="N1203" i="1"/>
  <c r="S1202" i="1"/>
  <c r="R1202" i="1"/>
  <c r="Q1202" i="1"/>
  <c r="P1202" i="1"/>
  <c r="O1202" i="1"/>
  <c r="N1202" i="1"/>
  <c r="S1201" i="1"/>
  <c r="R1201" i="1"/>
  <c r="Q1201" i="1"/>
  <c r="P1201" i="1"/>
  <c r="O1201" i="1"/>
  <c r="N1201" i="1"/>
  <c r="S1200" i="1"/>
  <c r="R1200" i="1"/>
  <c r="Q1200" i="1"/>
  <c r="P1200" i="1"/>
  <c r="O1200" i="1"/>
  <c r="N1200" i="1"/>
  <c r="S1199" i="1"/>
  <c r="R1199" i="1"/>
  <c r="Q1199" i="1"/>
  <c r="P1199" i="1"/>
  <c r="O1199" i="1"/>
  <c r="N1199" i="1"/>
  <c r="S1198" i="1"/>
  <c r="R1198" i="1"/>
  <c r="Q1198" i="1"/>
  <c r="P1198" i="1"/>
  <c r="O1198" i="1"/>
  <c r="N1198" i="1"/>
  <c r="S1197" i="1"/>
  <c r="R1197" i="1"/>
  <c r="Q1197" i="1"/>
  <c r="P1197" i="1"/>
  <c r="O1197" i="1"/>
  <c r="N1197" i="1"/>
  <c r="S1196" i="1"/>
  <c r="R1196" i="1"/>
  <c r="Q1196" i="1"/>
  <c r="P1196" i="1"/>
  <c r="O1196" i="1"/>
  <c r="N1196" i="1"/>
  <c r="S1195" i="1"/>
  <c r="R1195" i="1"/>
  <c r="Q1195" i="1"/>
  <c r="P1195" i="1"/>
  <c r="O1195" i="1"/>
  <c r="N1195" i="1"/>
  <c r="S1194" i="1"/>
  <c r="R1194" i="1"/>
  <c r="Q1194" i="1"/>
  <c r="P1194" i="1"/>
  <c r="O1194" i="1"/>
  <c r="N1194" i="1"/>
  <c r="S1193" i="1"/>
  <c r="R1193" i="1"/>
  <c r="Q1193" i="1"/>
  <c r="P1193" i="1"/>
  <c r="O1193" i="1"/>
  <c r="N1193" i="1"/>
  <c r="S1192" i="1"/>
  <c r="R1192" i="1"/>
  <c r="Q1192" i="1"/>
  <c r="P1192" i="1"/>
  <c r="O1192" i="1"/>
  <c r="N1192" i="1"/>
  <c r="S1191" i="1"/>
  <c r="R1191" i="1"/>
  <c r="Q1191" i="1"/>
  <c r="P1191" i="1"/>
  <c r="O1191" i="1"/>
  <c r="N1191" i="1"/>
  <c r="S1190" i="1"/>
  <c r="R1190" i="1"/>
  <c r="Q1190" i="1"/>
  <c r="P1190" i="1"/>
  <c r="O1190" i="1"/>
  <c r="N1190" i="1"/>
  <c r="S1189" i="1"/>
  <c r="R1189" i="1"/>
  <c r="Q1189" i="1"/>
  <c r="P1189" i="1"/>
  <c r="O1189" i="1"/>
  <c r="N1189" i="1"/>
  <c r="S1188" i="1"/>
  <c r="R1188" i="1"/>
  <c r="Q1188" i="1"/>
  <c r="P1188" i="1"/>
  <c r="O1188" i="1"/>
  <c r="N1188" i="1"/>
  <c r="S1187" i="1"/>
  <c r="R1187" i="1"/>
  <c r="Q1187" i="1"/>
  <c r="P1187" i="1"/>
  <c r="O1187" i="1"/>
  <c r="N1187" i="1"/>
  <c r="S1186" i="1"/>
  <c r="R1186" i="1"/>
  <c r="Q1186" i="1"/>
  <c r="P1186" i="1"/>
  <c r="O1186" i="1"/>
  <c r="N1186" i="1"/>
  <c r="S1185" i="1"/>
  <c r="R1185" i="1"/>
  <c r="Q1185" i="1"/>
  <c r="P1185" i="1"/>
  <c r="O1185" i="1"/>
  <c r="N1185" i="1"/>
  <c r="S1184" i="1"/>
  <c r="R1184" i="1"/>
  <c r="Q1184" i="1"/>
  <c r="P1184" i="1"/>
  <c r="O1184" i="1"/>
  <c r="N1184" i="1"/>
  <c r="S1183" i="1"/>
  <c r="R1183" i="1"/>
  <c r="Q1183" i="1"/>
  <c r="P1183" i="1"/>
  <c r="O1183" i="1"/>
  <c r="N1183" i="1"/>
  <c r="S1182" i="1"/>
  <c r="R1182" i="1"/>
  <c r="Q1182" i="1"/>
  <c r="P1182" i="1"/>
  <c r="O1182" i="1"/>
  <c r="N1182" i="1"/>
  <c r="S1181" i="1"/>
  <c r="R1181" i="1"/>
  <c r="Q1181" i="1"/>
  <c r="P1181" i="1"/>
  <c r="O1181" i="1"/>
  <c r="N1181" i="1"/>
  <c r="S1180" i="1"/>
  <c r="R1180" i="1"/>
  <c r="Q1180" i="1"/>
  <c r="P1180" i="1"/>
  <c r="O1180" i="1"/>
  <c r="N1180" i="1"/>
  <c r="S1179" i="1"/>
  <c r="R1179" i="1"/>
  <c r="Q1179" i="1"/>
  <c r="P1179" i="1"/>
  <c r="O1179" i="1"/>
  <c r="N1179" i="1"/>
  <c r="S1178" i="1"/>
  <c r="R1178" i="1"/>
  <c r="Q1178" i="1"/>
  <c r="P1178" i="1"/>
  <c r="O1178" i="1"/>
  <c r="N1178" i="1"/>
  <c r="S1177" i="1"/>
  <c r="R1177" i="1"/>
  <c r="Q1177" i="1"/>
  <c r="P1177" i="1"/>
  <c r="O1177" i="1"/>
  <c r="N1177" i="1"/>
  <c r="S1176" i="1"/>
  <c r="R1176" i="1"/>
  <c r="Q1176" i="1"/>
  <c r="P1176" i="1"/>
  <c r="O1176" i="1"/>
  <c r="N1176" i="1"/>
  <c r="S1175" i="1"/>
  <c r="R1175" i="1"/>
  <c r="Q1175" i="1"/>
  <c r="P1175" i="1"/>
  <c r="O1175" i="1"/>
  <c r="N1175" i="1"/>
  <c r="S1174" i="1"/>
  <c r="R1174" i="1"/>
  <c r="Q1174" i="1"/>
  <c r="P1174" i="1"/>
  <c r="O1174" i="1"/>
  <c r="N1174" i="1"/>
  <c r="S1173" i="1"/>
  <c r="R1173" i="1"/>
  <c r="Q1173" i="1"/>
  <c r="P1173" i="1"/>
  <c r="O1173" i="1"/>
  <c r="N1173" i="1"/>
  <c r="S1172" i="1"/>
  <c r="R1172" i="1"/>
  <c r="Q1172" i="1"/>
  <c r="P1172" i="1"/>
  <c r="O1172" i="1"/>
  <c r="N1172" i="1"/>
  <c r="S1171" i="1"/>
  <c r="R1171" i="1"/>
  <c r="Q1171" i="1"/>
  <c r="P1171" i="1"/>
  <c r="O1171" i="1"/>
  <c r="N1171" i="1"/>
  <c r="S1170" i="1"/>
  <c r="R1170" i="1"/>
  <c r="Q1170" i="1"/>
  <c r="P1170" i="1"/>
  <c r="O1170" i="1"/>
  <c r="N1170" i="1"/>
  <c r="S1169" i="1"/>
  <c r="R1169" i="1"/>
  <c r="Q1169" i="1"/>
  <c r="P1169" i="1"/>
  <c r="O1169" i="1"/>
  <c r="N1169" i="1"/>
  <c r="S1168" i="1"/>
  <c r="R1168" i="1"/>
  <c r="Q1168" i="1"/>
  <c r="P1168" i="1"/>
  <c r="O1168" i="1"/>
  <c r="N1168" i="1"/>
  <c r="S1167" i="1"/>
  <c r="R1167" i="1"/>
  <c r="Q1167" i="1"/>
  <c r="P1167" i="1"/>
  <c r="O1167" i="1"/>
  <c r="N1167" i="1"/>
  <c r="S1166" i="1"/>
  <c r="R1166" i="1"/>
  <c r="Q1166" i="1"/>
  <c r="P1166" i="1"/>
  <c r="O1166" i="1"/>
  <c r="N1166" i="1"/>
  <c r="S1165" i="1"/>
  <c r="R1165" i="1"/>
  <c r="Q1165" i="1"/>
  <c r="P1165" i="1"/>
  <c r="O1165" i="1"/>
  <c r="N1165" i="1"/>
  <c r="S1164" i="1"/>
  <c r="R1164" i="1"/>
  <c r="Q1164" i="1"/>
  <c r="P1164" i="1"/>
  <c r="O1164" i="1"/>
  <c r="N1164" i="1"/>
  <c r="S1163" i="1"/>
  <c r="R1163" i="1"/>
  <c r="Q1163" i="1"/>
  <c r="P1163" i="1"/>
  <c r="O1163" i="1"/>
  <c r="N1163" i="1"/>
  <c r="S1162" i="1"/>
  <c r="R1162" i="1"/>
  <c r="Q1162" i="1"/>
  <c r="P1162" i="1"/>
  <c r="O1162" i="1"/>
  <c r="N1162" i="1"/>
  <c r="S1161" i="1"/>
  <c r="R1161" i="1"/>
  <c r="Q1161" i="1"/>
  <c r="P1161" i="1"/>
  <c r="O1161" i="1"/>
  <c r="N1161" i="1"/>
  <c r="S1160" i="1"/>
  <c r="R1160" i="1"/>
  <c r="Q1160" i="1"/>
  <c r="P1160" i="1"/>
  <c r="O1160" i="1"/>
  <c r="N1160" i="1"/>
  <c r="S1159" i="1"/>
  <c r="R1159" i="1"/>
  <c r="Q1159" i="1"/>
  <c r="P1159" i="1"/>
  <c r="O1159" i="1"/>
  <c r="N1159" i="1"/>
  <c r="S1158" i="1"/>
  <c r="R1158" i="1"/>
  <c r="Q1158" i="1"/>
  <c r="P1158" i="1"/>
  <c r="O1158" i="1"/>
  <c r="N1158" i="1"/>
  <c r="S1157" i="1"/>
  <c r="R1157" i="1"/>
  <c r="Q1157" i="1"/>
  <c r="P1157" i="1"/>
  <c r="O1157" i="1"/>
  <c r="N1157" i="1"/>
  <c r="S1156" i="1"/>
  <c r="R1156" i="1"/>
  <c r="Q1156" i="1"/>
  <c r="P1156" i="1"/>
  <c r="O1156" i="1"/>
  <c r="N1156" i="1"/>
  <c r="S1155" i="1"/>
  <c r="R1155" i="1"/>
  <c r="Q1155" i="1"/>
  <c r="P1155" i="1"/>
  <c r="O1155" i="1"/>
  <c r="N1155" i="1"/>
  <c r="S1154" i="1"/>
  <c r="R1154" i="1"/>
  <c r="Q1154" i="1"/>
  <c r="P1154" i="1"/>
  <c r="O1154" i="1"/>
  <c r="N1154" i="1"/>
  <c r="S1153" i="1"/>
  <c r="R1153" i="1"/>
  <c r="Q1153" i="1"/>
  <c r="P1153" i="1"/>
  <c r="O1153" i="1"/>
  <c r="N1153" i="1"/>
  <c r="S1152" i="1"/>
  <c r="R1152" i="1"/>
  <c r="Q1152" i="1"/>
  <c r="P1152" i="1"/>
  <c r="O1152" i="1"/>
  <c r="N1152" i="1"/>
  <c r="S1151" i="1"/>
  <c r="R1151" i="1"/>
  <c r="Q1151" i="1"/>
  <c r="P1151" i="1"/>
  <c r="O1151" i="1"/>
  <c r="N1151" i="1"/>
  <c r="S1150" i="1"/>
  <c r="R1150" i="1"/>
  <c r="Q1150" i="1"/>
  <c r="P1150" i="1"/>
  <c r="O1150" i="1"/>
  <c r="N1150" i="1"/>
  <c r="S1149" i="1"/>
  <c r="R1149" i="1"/>
  <c r="Q1149" i="1"/>
  <c r="P1149" i="1"/>
  <c r="O1149" i="1"/>
  <c r="N1149" i="1"/>
  <c r="S1148" i="1"/>
  <c r="R1148" i="1"/>
  <c r="Q1148" i="1"/>
  <c r="P1148" i="1"/>
  <c r="O1148" i="1"/>
  <c r="N1148" i="1"/>
  <c r="S1147" i="1"/>
  <c r="R1147" i="1"/>
  <c r="Q1147" i="1"/>
  <c r="P1147" i="1"/>
  <c r="O1147" i="1"/>
  <c r="N1147" i="1"/>
  <c r="S1146" i="1"/>
  <c r="R1146" i="1"/>
  <c r="Q1146" i="1"/>
  <c r="P1146" i="1"/>
  <c r="O1146" i="1"/>
  <c r="N1146" i="1"/>
  <c r="S1145" i="1"/>
  <c r="R1145" i="1"/>
  <c r="Q1145" i="1"/>
  <c r="P1145" i="1"/>
  <c r="O1145" i="1"/>
  <c r="N1145" i="1"/>
  <c r="S1144" i="1"/>
  <c r="R1144" i="1"/>
  <c r="Q1144" i="1"/>
  <c r="P1144" i="1"/>
  <c r="O1144" i="1"/>
  <c r="N1144" i="1"/>
  <c r="S1143" i="1"/>
  <c r="R1143" i="1"/>
  <c r="Q1143" i="1"/>
  <c r="P1143" i="1"/>
  <c r="O1143" i="1"/>
  <c r="N1143" i="1"/>
  <c r="S1142" i="1"/>
  <c r="R1142" i="1"/>
  <c r="Q1142" i="1"/>
  <c r="P1142" i="1"/>
  <c r="O1142" i="1"/>
  <c r="N1142" i="1"/>
  <c r="S1141" i="1"/>
  <c r="R1141" i="1"/>
  <c r="Q1141" i="1"/>
  <c r="P1141" i="1"/>
  <c r="O1141" i="1"/>
  <c r="N1141" i="1"/>
  <c r="S1140" i="1"/>
  <c r="R1140" i="1"/>
  <c r="Q1140" i="1"/>
  <c r="P1140" i="1"/>
  <c r="O1140" i="1"/>
  <c r="N1140" i="1"/>
  <c r="S1139" i="1"/>
  <c r="R1139" i="1"/>
  <c r="Q1139" i="1"/>
  <c r="P1139" i="1"/>
  <c r="O1139" i="1"/>
  <c r="N1139" i="1"/>
  <c r="S1138" i="1"/>
  <c r="R1138" i="1"/>
  <c r="Q1138" i="1"/>
  <c r="P1138" i="1"/>
  <c r="O1138" i="1"/>
  <c r="N1138" i="1"/>
  <c r="S1137" i="1"/>
  <c r="R1137" i="1"/>
  <c r="Q1137" i="1"/>
  <c r="P1137" i="1"/>
  <c r="O1137" i="1"/>
  <c r="N1137" i="1"/>
  <c r="S1136" i="1"/>
  <c r="R1136" i="1"/>
  <c r="Q1136" i="1"/>
  <c r="P1136" i="1"/>
  <c r="O1136" i="1"/>
  <c r="N1136" i="1"/>
  <c r="S1135" i="1"/>
  <c r="R1135" i="1"/>
  <c r="Q1135" i="1"/>
  <c r="P1135" i="1"/>
  <c r="O1135" i="1"/>
  <c r="N1135" i="1"/>
  <c r="S1134" i="1"/>
  <c r="R1134" i="1"/>
  <c r="Q1134" i="1"/>
  <c r="P1134" i="1"/>
  <c r="O1134" i="1"/>
  <c r="N1134" i="1"/>
  <c r="S1133" i="1"/>
  <c r="R1133" i="1"/>
  <c r="Q1133" i="1"/>
  <c r="P1133" i="1"/>
  <c r="O1133" i="1"/>
  <c r="N1133" i="1"/>
  <c r="S1132" i="1"/>
  <c r="R1132" i="1"/>
  <c r="Q1132" i="1"/>
  <c r="P1132" i="1"/>
  <c r="O1132" i="1"/>
  <c r="N1132" i="1"/>
  <c r="S1131" i="1"/>
  <c r="R1131" i="1"/>
  <c r="Q1131" i="1"/>
  <c r="P1131" i="1"/>
  <c r="O1131" i="1"/>
  <c r="N1131" i="1"/>
  <c r="S1130" i="1"/>
  <c r="R1130" i="1"/>
  <c r="Q1130" i="1"/>
  <c r="P1130" i="1"/>
  <c r="O1130" i="1"/>
  <c r="N1130" i="1"/>
  <c r="S1129" i="1"/>
  <c r="R1129" i="1"/>
  <c r="Q1129" i="1"/>
  <c r="P1129" i="1"/>
  <c r="O1129" i="1"/>
  <c r="N1129" i="1"/>
  <c r="S1128" i="1"/>
  <c r="R1128" i="1"/>
  <c r="Q1128" i="1"/>
  <c r="P1128" i="1"/>
  <c r="O1128" i="1"/>
  <c r="N1128" i="1"/>
  <c r="S1127" i="1"/>
  <c r="R1127" i="1"/>
  <c r="Q1127" i="1"/>
  <c r="P1127" i="1"/>
  <c r="O1127" i="1"/>
  <c r="N1127" i="1"/>
  <c r="S1126" i="1"/>
  <c r="R1126" i="1"/>
  <c r="Q1126" i="1"/>
  <c r="P1126" i="1"/>
  <c r="O1126" i="1"/>
  <c r="N1126" i="1"/>
  <c r="S1125" i="1"/>
  <c r="R1125" i="1"/>
  <c r="Q1125" i="1"/>
  <c r="P1125" i="1"/>
  <c r="O1125" i="1"/>
  <c r="N1125" i="1"/>
  <c r="S1124" i="1"/>
  <c r="R1124" i="1"/>
  <c r="Q1124" i="1"/>
  <c r="P1124" i="1"/>
  <c r="O1124" i="1"/>
  <c r="N1124" i="1"/>
  <c r="S1123" i="1"/>
  <c r="R1123" i="1"/>
  <c r="Q1123" i="1"/>
  <c r="P1123" i="1"/>
  <c r="O1123" i="1"/>
  <c r="N1123" i="1"/>
  <c r="S1122" i="1"/>
  <c r="R1122" i="1"/>
  <c r="Q1122" i="1"/>
  <c r="P1122" i="1"/>
  <c r="O1122" i="1"/>
  <c r="N1122" i="1"/>
  <c r="S1121" i="1"/>
  <c r="R1121" i="1"/>
  <c r="Q1121" i="1"/>
  <c r="P1121" i="1"/>
  <c r="O1121" i="1"/>
  <c r="N1121" i="1"/>
  <c r="S1120" i="1"/>
  <c r="R1120" i="1"/>
  <c r="Q1120" i="1"/>
  <c r="P1120" i="1"/>
  <c r="O1120" i="1"/>
  <c r="N1120" i="1"/>
  <c r="S1119" i="1"/>
  <c r="R1119" i="1"/>
  <c r="Q1119" i="1"/>
  <c r="P1119" i="1"/>
  <c r="O1119" i="1"/>
  <c r="N1119" i="1"/>
  <c r="S1118" i="1"/>
  <c r="R1118" i="1"/>
  <c r="Q1118" i="1"/>
  <c r="P1118" i="1"/>
  <c r="O1118" i="1"/>
  <c r="N1118" i="1"/>
  <c r="S1117" i="1"/>
  <c r="R1117" i="1"/>
  <c r="Q1117" i="1"/>
  <c r="P1117" i="1"/>
  <c r="O1117" i="1"/>
  <c r="N1117" i="1"/>
  <c r="S1116" i="1"/>
  <c r="R1116" i="1"/>
  <c r="Q1116" i="1"/>
  <c r="P1116" i="1"/>
  <c r="O1116" i="1"/>
  <c r="N1116" i="1"/>
  <c r="S1115" i="1"/>
  <c r="R1115" i="1"/>
  <c r="Q1115" i="1"/>
  <c r="P1115" i="1"/>
  <c r="O1115" i="1"/>
  <c r="N1115" i="1"/>
  <c r="S1114" i="1"/>
  <c r="R1114" i="1"/>
  <c r="Q1114" i="1"/>
  <c r="P1114" i="1"/>
  <c r="O1114" i="1"/>
  <c r="N1114" i="1"/>
  <c r="S1113" i="1"/>
  <c r="R1113" i="1"/>
  <c r="Q1113" i="1"/>
  <c r="P1113" i="1"/>
  <c r="O1113" i="1"/>
  <c r="N1113" i="1"/>
  <c r="S1112" i="1"/>
  <c r="R1112" i="1"/>
  <c r="Q1112" i="1"/>
  <c r="P1112" i="1"/>
  <c r="O1112" i="1"/>
  <c r="N1112" i="1"/>
  <c r="S1111" i="1"/>
  <c r="R1111" i="1"/>
  <c r="Q1111" i="1"/>
  <c r="P1111" i="1"/>
  <c r="O1111" i="1"/>
  <c r="N1111" i="1"/>
  <c r="S1110" i="1"/>
  <c r="R1110" i="1"/>
  <c r="Q1110" i="1"/>
  <c r="P1110" i="1"/>
  <c r="O1110" i="1"/>
  <c r="N1110" i="1"/>
  <c r="S1109" i="1"/>
  <c r="R1109" i="1"/>
  <c r="Q1109" i="1"/>
  <c r="P1109" i="1"/>
  <c r="O1109" i="1"/>
  <c r="N1109" i="1"/>
  <c r="S1108" i="1"/>
  <c r="R1108" i="1"/>
  <c r="Q1108" i="1"/>
  <c r="P1108" i="1"/>
  <c r="O1108" i="1"/>
  <c r="N1108" i="1"/>
  <c r="S1107" i="1"/>
  <c r="R1107" i="1"/>
  <c r="Q1107" i="1"/>
  <c r="P1107" i="1"/>
  <c r="O1107" i="1"/>
  <c r="N1107" i="1"/>
  <c r="S1106" i="1"/>
  <c r="R1106" i="1"/>
  <c r="Q1106" i="1"/>
  <c r="P1106" i="1"/>
  <c r="O1106" i="1"/>
  <c r="N1106" i="1"/>
  <c r="S1105" i="1"/>
  <c r="R1105" i="1"/>
  <c r="Q1105" i="1"/>
  <c r="P1105" i="1"/>
  <c r="O1105" i="1"/>
  <c r="N1105" i="1"/>
  <c r="S1104" i="1"/>
  <c r="R1104" i="1"/>
  <c r="Q1104" i="1"/>
  <c r="P1104" i="1"/>
  <c r="O1104" i="1"/>
  <c r="N1104" i="1"/>
  <c r="S1103" i="1"/>
  <c r="R1103" i="1"/>
  <c r="Q1103" i="1"/>
  <c r="P1103" i="1"/>
  <c r="O1103" i="1"/>
  <c r="N1103" i="1"/>
  <c r="S1102" i="1"/>
  <c r="R1102" i="1"/>
  <c r="Q1102" i="1"/>
  <c r="P1102" i="1"/>
  <c r="O1102" i="1"/>
  <c r="N1102" i="1"/>
  <c r="S1101" i="1"/>
  <c r="R1101" i="1"/>
  <c r="Q1101" i="1"/>
  <c r="P1101" i="1"/>
  <c r="O1101" i="1"/>
  <c r="N1101" i="1"/>
  <c r="S1100" i="1"/>
  <c r="R1100" i="1"/>
  <c r="Q1100" i="1"/>
  <c r="P1100" i="1"/>
  <c r="O1100" i="1"/>
  <c r="N1100" i="1"/>
  <c r="S1099" i="1"/>
  <c r="R1099" i="1"/>
  <c r="Q1099" i="1"/>
  <c r="P1099" i="1"/>
  <c r="O1099" i="1"/>
  <c r="N1099" i="1"/>
  <c r="S1098" i="1"/>
  <c r="R1098" i="1"/>
  <c r="Q1098" i="1"/>
  <c r="P1098" i="1"/>
  <c r="O1098" i="1"/>
  <c r="N1098" i="1"/>
  <c r="S1097" i="1"/>
  <c r="R1097" i="1"/>
  <c r="Q1097" i="1"/>
  <c r="P1097" i="1"/>
  <c r="O1097" i="1"/>
  <c r="N1097" i="1"/>
  <c r="S1096" i="1"/>
  <c r="R1096" i="1"/>
  <c r="Q1096" i="1"/>
  <c r="P1096" i="1"/>
  <c r="O1096" i="1"/>
  <c r="N1096" i="1"/>
  <c r="S1095" i="1"/>
  <c r="R1095" i="1"/>
  <c r="Q1095" i="1"/>
  <c r="P1095" i="1"/>
  <c r="O1095" i="1"/>
  <c r="N1095" i="1"/>
  <c r="S1094" i="1"/>
  <c r="R1094" i="1"/>
  <c r="Q1094" i="1"/>
  <c r="P1094" i="1"/>
  <c r="O1094" i="1"/>
  <c r="N1094" i="1"/>
  <c r="S1093" i="1"/>
  <c r="R1093" i="1"/>
  <c r="Q1093" i="1"/>
  <c r="P1093" i="1"/>
  <c r="O1093" i="1"/>
  <c r="N1093" i="1"/>
  <c r="S1092" i="1"/>
  <c r="R1092" i="1"/>
  <c r="Q1092" i="1"/>
  <c r="P1092" i="1"/>
  <c r="O1092" i="1"/>
  <c r="N1092" i="1"/>
  <c r="S1091" i="1"/>
  <c r="R1091" i="1"/>
  <c r="Q1091" i="1"/>
  <c r="P1091" i="1"/>
  <c r="O1091" i="1"/>
  <c r="N1091" i="1"/>
  <c r="S1090" i="1"/>
  <c r="R1090" i="1"/>
  <c r="Q1090" i="1"/>
  <c r="P1090" i="1"/>
  <c r="O1090" i="1"/>
  <c r="N1090" i="1"/>
  <c r="S1089" i="1"/>
  <c r="R1089" i="1"/>
  <c r="Q1089" i="1"/>
  <c r="P1089" i="1"/>
  <c r="O1089" i="1"/>
  <c r="N1089" i="1"/>
  <c r="S1088" i="1"/>
  <c r="R1088" i="1"/>
  <c r="Q1088" i="1"/>
  <c r="P1088" i="1"/>
  <c r="O1088" i="1"/>
  <c r="N1088" i="1"/>
  <c r="S1087" i="1"/>
  <c r="R1087" i="1"/>
  <c r="Q1087" i="1"/>
  <c r="P1087" i="1"/>
  <c r="O1087" i="1"/>
  <c r="N1087" i="1"/>
  <c r="S1086" i="1"/>
  <c r="R1086" i="1"/>
  <c r="Q1086" i="1"/>
  <c r="P1086" i="1"/>
  <c r="O1086" i="1"/>
  <c r="N1086" i="1"/>
  <c r="S1085" i="1"/>
  <c r="R1085" i="1"/>
  <c r="Q1085" i="1"/>
  <c r="P1085" i="1"/>
  <c r="O1085" i="1"/>
  <c r="N1085" i="1"/>
  <c r="S1084" i="1"/>
  <c r="R1084" i="1"/>
  <c r="Q1084" i="1"/>
  <c r="P1084" i="1"/>
  <c r="O1084" i="1"/>
  <c r="N1084" i="1"/>
  <c r="S1083" i="1"/>
  <c r="R1083" i="1"/>
  <c r="Q1083" i="1"/>
  <c r="P1083" i="1"/>
  <c r="O1083" i="1"/>
  <c r="N1083" i="1"/>
  <c r="S1082" i="1"/>
  <c r="R1082" i="1"/>
  <c r="Q1082" i="1"/>
  <c r="P1082" i="1"/>
  <c r="O1082" i="1"/>
  <c r="N1082" i="1"/>
  <c r="S1081" i="1"/>
  <c r="R1081" i="1"/>
  <c r="Q1081" i="1"/>
  <c r="P1081" i="1"/>
  <c r="O1081" i="1"/>
  <c r="N1081" i="1"/>
  <c r="S1080" i="1"/>
  <c r="R1080" i="1"/>
  <c r="Q1080" i="1"/>
  <c r="P1080" i="1"/>
  <c r="O1080" i="1"/>
  <c r="N1080" i="1"/>
  <c r="S1079" i="1"/>
  <c r="R1079" i="1"/>
  <c r="Q1079" i="1"/>
  <c r="P1079" i="1"/>
  <c r="O1079" i="1"/>
  <c r="N1079" i="1"/>
  <c r="S1078" i="1"/>
  <c r="R1078" i="1"/>
  <c r="Q1078" i="1"/>
  <c r="P1078" i="1"/>
  <c r="O1078" i="1"/>
  <c r="N1078" i="1"/>
  <c r="S1077" i="1"/>
  <c r="R1077" i="1"/>
  <c r="Q1077" i="1"/>
  <c r="P1077" i="1"/>
  <c r="O1077" i="1"/>
  <c r="N1077" i="1"/>
  <c r="S1076" i="1"/>
  <c r="R1076" i="1"/>
  <c r="Q1076" i="1"/>
  <c r="P1076" i="1"/>
  <c r="O1076" i="1"/>
  <c r="N1076" i="1"/>
  <c r="S1075" i="1"/>
  <c r="R1075" i="1"/>
  <c r="Q1075" i="1"/>
  <c r="P1075" i="1"/>
  <c r="O1075" i="1"/>
  <c r="N1075" i="1"/>
  <c r="S1074" i="1"/>
  <c r="R1074" i="1"/>
  <c r="Q1074" i="1"/>
  <c r="P1074" i="1"/>
  <c r="O1074" i="1"/>
  <c r="N1074" i="1"/>
  <c r="S1073" i="1"/>
  <c r="R1073" i="1"/>
  <c r="Q1073" i="1"/>
  <c r="P1073" i="1"/>
  <c r="O1073" i="1"/>
  <c r="N1073" i="1"/>
  <c r="S1072" i="1"/>
  <c r="R1072" i="1"/>
  <c r="Q1072" i="1"/>
  <c r="P1072" i="1"/>
  <c r="O1072" i="1"/>
  <c r="N1072" i="1"/>
  <c r="S1071" i="1"/>
  <c r="R1071" i="1"/>
  <c r="Q1071" i="1"/>
  <c r="P1071" i="1"/>
  <c r="O1071" i="1"/>
  <c r="N1071" i="1"/>
  <c r="S1070" i="1"/>
  <c r="R1070" i="1"/>
  <c r="Q1070" i="1"/>
  <c r="P1070" i="1"/>
  <c r="O1070" i="1"/>
  <c r="N1070" i="1"/>
  <c r="S1069" i="1"/>
  <c r="R1069" i="1"/>
  <c r="Q1069" i="1"/>
  <c r="P1069" i="1"/>
  <c r="O1069" i="1"/>
  <c r="N1069" i="1"/>
  <c r="S1068" i="1"/>
  <c r="R1068" i="1"/>
  <c r="Q1068" i="1"/>
  <c r="P1068" i="1"/>
  <c r="O1068" i="1"/>
  <c r="N1068" i="1"/>
  <c r="S1067" i="1"/>
  <c r="R1067" i="1"/>
  <c r="Q1067" i="1"/>
  <c r="P1067" i="1"/>
  <c r="O1067" i="1"/>
  <c r="N1067" i="1"/>
  <c r="S1066" i="1"/>
  <c r="R1066" i="1"/>
  <c r="Q1066" i="1"/>
  <c r="P1066" i="1"/>
  <c r="O1066" i="1"/>
  <c r="N1066" i="1"/>
  <c r="S1065" i="1"/>
  <c r="R1065" i="1"/>
  <c r="Q1065" i="1"/>
  <c r="P1065" i="1"/>
  <c r="O1065" i="1"/>
  <c r="N1065" i="1"/>
  <c r="S1064" i="1"/>
  <c r="R1064" i="1"/>
  <c r="Q1064" i="1"/>
  <c r="P1064" i="1"/>
  <c r="O1064" i="1"/>
  <c r="N1064" i="1"/>
  <c r="S1063" i="1"/>
  <c r="R1063" i="1"/>
  <c r="Q1063" i="1"/>
  <c r="P1063" i="1"/>
  <c r="O1063" i="1"/>
  <c r="N1063" i="1"/>
  <c r="S1062" i="1"/>
  <c r="R1062" i="1"/>
  <c r="Q1062" i="1"/>
  <c r="P1062" i="1"/>
  <c r="O1062" i="1"/>
  <c r="N1062" i="1"/>
  <c r="S1061" i="1"/>
  <c r="R1061" i="1"/>
  <c r="Q1061" i="1"/>
  <c r="P1061" i="1"/>
  <c r="O1061" i="1"/>
  <c r="N1061" i="1"/>
  <c r="S1060" i="1"/>
  <c r="R1060" i="1"/>
  <c r="Q1060" i="1"/>
  <c r="P1060" i="1"/>
  <c r="O1060" i="1"/>
  <c r="N1060" i="1"/>
  <c r="S1059" i="1"/>
  <c r="R1059" i="1"/>
  <c r="Q1059" i="1"/>
  <c r="P1059" i="1"/>
  <c r="O1059" i="1"/>
  <c r="N1059" i="1"/>
  <c r="S1058" i="1"/>
  <c r="R1058" i="1"/>
  <c r="Q1058" i="1"/>
  <c r="P1058" i="1"/>
  <c r="O1058" i="1"/>
  <c r="N1058" i="1"/>
  <c r="S1057" i="1"/>
  <c r="R1057" i="1"/>
  <c r="Q1057" i="1"/>
  <c r="P1057" i="1"/>
  <c r="O1057" i="1"/>
  <c r="N1057" i="1"/>
  <c r="S1056" i="1"/>
  <c r="R1056" i="1"/>
  <c r="Q1056" i="1"/>
  <c r="P1056" i="1"/>
  <c r="O1056" i="1"/>
  <c r="N1056" i="1"/>
  <c r="S1055" i="1"/>
  <c r="R1055" i="1"/>
  <c r="Q1055" i="1"/>
  <c r="P1055" i="1"/>
  <c r="O1055" i="1"/>
  <c r="N1055" i="1"/>
  <c r="S1054" i="1"/>
  <c r="R1054" i="1"/>
  <c r="Q1054" i="1"/>
  <c r="P1054" i="1"/>
  <c r="O1054" i="1"/>
  <c r="N1054" i="1"/>
  <c r="S1053" i="1"/>
  <c r="R1053" i="1"/>
  <c r="Q1053" i="1"/>
  <c r="P1053" i="1"/>
  <c r="O1053" i="1"/>
  <c r="N1053" i="1"/>
  <c r="S1052" i="1"/>
  <c r="R1052" i="1"/>
  <c r="Q1052" i="1"/>
  <c r="P1052" i="1"/>
  <c r="O1052" i="1"/>
  <c r="N1052" i="1"/>
  <c r="S1051" i="1"/>
  <c r="R1051" i="1"/>
  <c r="Q1051" i="1"/>
  <c r="P1051" i="1"/>
  <c r="O1051" i="1"/>
  <c r="N1051" i="1"/>
  <c r="S1050" i="1"/>
  <c r="R1050" i="1"/>
  <c r="Q1050" i="1"/>
  <c r="P1050" i="1"/>
  <c r="O1050" i="1"/>
  <c r="N1050" i="1"/>
  <c r="S1049" i="1"/>
  <c r="R1049" i="1"/>
  <c r="Q1049" i="1"/>
  <c r="P1049" i="1"/>
  <c r="O1049" i="1"/>
  <c r="N1049" i="1"/>
  <c r="S1048" i="1"/>
  <c r="R1048" i="1"/>
  <c r="Q1048" i="1"/>
  <c r="P1048" i="1"/>
  <c r="O1048" i="1"/>
  <c r="N1048" i="1"/>
  <c r="S1047" i="1"/>
  <c r="R1047" i="1"/>
  <c r="Q1047" i="1"/>
  <c r="P1047" i="1"/>
  <c r="O1047" i="1"/>
  <c r="N1047" i="1"/>
  <c r="S1046" i="1"/>
  <c r="R1046" i="1"/>
  <c r="Q1046" i="1"/>
  <c r="P1046" i="1"/>
  <c r="O1046" i="1"/>
  <c r="N1046" i="1"/>
  <c r="S1045" i="1"/>
  <c r="R1045" i="1"/>
  <c r="Q1045" i="1"/>
  <c r="P1045" i="1"/>
  <c r="O1045" i="1"/>
  <c r="N1045" i="1"/>
  <c r="S1044" i="1"/>
  <c r="R1044" i="1"/>
  <c r="Q1044" i="1"/>
  <c r="P1044" i="1"/>
  <c r="O1044" i="1"/>
  <c r="N1044" i="1"/>
  <c r="S1043" i="1"/>
  <c r="R1043" i="1"/>
  <c r="Q1043" i="1"/>
  <c r="P1043" i="1"/>
  <c r="O1043" i="1"/>
  <c r="N1043" i="1"/>
  <c r="S1042" i="1"/>
  <c r="R1042" i="1"/>
  <c r="Q1042" i="1"/>
  <c r="P1042" i="1"/>
  <c r="O1042" i="1"/>
  <c r="N1042" i="1"/>
  <c r="S1041" i="1"/>
  <c r="R1041" i="1"/>
  <c r="Q1041" i="1"/>
  <c r="P1041" i="1"/>
  <c r="O1041" i="1"/>
  <c r="N1041" i="1"/>
  <c r="S1040" i="1"/>
  <c r="R1040" i="1"/>
  <c r="Q1040" i="1"/>
  <c r="P1040" i="1"/>
  <c r="O1040" i="1"/>
  <c r="N1040" i="1"/>
  <c r="S1039" i="1"/>
  <c r="R1039" i="1"/>
  <c r="Q1039" i="1"/>
  <c r="P1039" i="1"/>
  <c r="O1039" i="1"/>
  <c r="N1039" i="1"/>
  <c r="S1038" i="1"/>
  <c r="R1038" i="1"/>
  <c r="Q1038" i="1"/>
  <c r="P1038" i="1"/>
  <c r="O1038" i="1"/>
  <c r="N1038" i="1"/>
  <c r="S1037" i="1"/>
  <c r="R1037" i="1"/>
  <c r="Q1037" i="1"/>
  <c r="P1037" i="1"/>
  <c r="O1037" i="1"/>
  <c r="N1037" i="1"/>
  <c r="S1036" i="1"/>
  <c r="R1036" i="1"/>
  <c r="Q1036" i="1"/>
  <c r="P1036" i="1"/>
  <c r="O1036" i="1"/>
  <c r="N1036" i="1"/>
  <c r="S1035" i="1"/>
  <c r="R1035" i="1"/>
  <c r="Q1035" i="1"/>
  <c r="P1035" i="1"/>
  <c r="O1035" i="1"/>
  <c r="N1035" i="1"/>
  <c r="S1034" i="1"/>
  <c r="R1034" i="1"/>
  <c r="Q1034" i="1"/>
  <c r="P1034" i="1"/>
  <c r="O1034" i="1"/>
  <c r="N1034" i="1"/>
  <c r="S1033" i="1"/>
  <c r="R1033" i="1"/>
  <c r="Q1033" i="1"/>
  <c r="P1033" i="1"/>
  <c r="O1033" i="1"/>
  <c r="N1033" i="1"/>
  <c r="S1032" i="1"/>
  <c r="R1032" i="1"/>
  <c r="Q1032" i="1"/>
  <c r="P1032" i="1"/>
  <c r="O1032" i="1"/>
  <c r="N1032" i="1"/>
  <c r="S1031" i="1"/>
  <c r="R1031" i="1"/>
  <c r="Q1031" i="1"/>
  <c r="P1031" i="1"/>
  <c r="O1031" i="1"/>
  <c r="N1031" i="1"/>
  <c r="S1030" i="1"/>
  <c r="R1030" i="1"/>
  <c r="Q1030" i="1"/>
  <c r="P1030" i="1"/>
  <c r="O1030" i="1"/>
  <c r="N1030" i="1"/>
  <c r="S1029" i="1"/>
  <c r="R1029" i="1"/>
  <c r="Q1029" i="1"/>
  <c r="P1029" i="1"/>
  <c r="O1029" i="1"/>
  <c r="N1029" i="1"/>
  <c r="S1028" i="1"/>
  <c r="R1028" i="1"/>
  <c r="Q1028" i="1"/>
  <c r="P1028" i="1"/>
  <c r="O1028" i="1"/>
  <c r="N1028" i="1"/>
  <c r="S1027" i="1"/>
  <c r="R1027" i="1"/>
  <c r="Q1027" i="1"/>
  <c r="P1027" i="1"/>
  <c r="O1027" i="1"/>
  <c r="N1027" i="1"/>
  <c r="S1026" i="1"/>
  <c r="R1026" i="1"/>
  <c r="Q1026" i="1"/>
  <c r="P1026" i="1"/>
  <c r="O1026" i="1"/>
  <c r="N1026" i="1"/>
  <c r="S1025" i="1"/>
  <c r="R1025" i="1"/>
  <c r="Q1025" i="1"/>
  <c r="P1025" i="1"/>
  <c r="O1025" i="1"/>
  <c r="N1025" i="1"/>
  <c r="S1024" i="1"/>
  <c r="R1024" i="1"/>
  <c r="Q1024" i="1"/>
  <c r="P1024" i="1"/>
  <c r="O1024" i="1"/>
  <c r="N1024" i="1"/>
  <c r="S1023" i="1"/>
  <c r="R1023" i="1"/>
  <c r="Q1023" i="1"/>
  <c r="P1023" i="1"/>
  <c r="O1023" i="1"/>
  <c r="N1023" i="1"/>
  <c r="S1022" i="1"/>
  <c r="R1022" i="1"/>
  <c r="Q1022" i="1"/>
  <c r="P1022" i="1"/>
  <c r="O1022" i="1"/>
  <c r="N1022" i="1"/>
  <c r="S1021" i="1"/>
  <c r="R1021" i="1"/>
  <c r="Q1021" i="1"/>
  <c r="P1021" i="1"/>
  <c r="O1021" i="1"/>
  <c r="N1021" i="1"/>
  <c r="S1020" i="1"/>
  <c r="R1020" i="1"/>
  <c r="Q1020" i="1"/>
  <c r="P1020" i="1"/>
  <c r="O1020" i="1"/>
  <c r="N1020" i="1"/>
  <c r="S1019" i="1"/>
  <c r="R1019" i="1"/>
  <c r="Q1019" i="1"/>
  <c r="P1019" i="1"/>
  <c r="O1019" i="1"/>
  <c r="N1019" i="1"/>
  <c r="S1018" i="1"/>
  <c r="R1018" i="1"/>
  <c r="Q1018" i="1"/>
  <c r="P1018" i="1"/>
  <c r="O1018" i="1"/>
  <c r="N1018" i="1"/>
  <c r="S1017" i="1"/>
  <c r="R1017" i="1"/>
  <c r="Q1017" i="1"/>
  <c r="P1017" i="1"/>
  <c r="O1017" i="1"/>
  <c r="N1017" i="1"/>
  <c r="S1016" i="1"/>
  <c r="R1016" i="1"/>
  <c r="Q1016" i="1"/>
  <c r="P1016" i="1"/>
  <c r="O1016" i="1"/>
  <c r="N1016" i="1"/>
  <c r="S1015" i="1"/>
  <c r="R1015" i="1"/>
  <c r="Q1015" i="1"/>
  <c r="P1015" i="1"/>
  <c r="O1015" i="1"/>
  <c r="N1015" i="1"/>
  <c r="S1014" i="1"/>
  <c r="R1014" i="1"/>
  <c r="Q1014" i="1"/>
  <c r="P1014" i="1"/>
  <c r="O1014" i="1"/>
  <c r="N1014" i="1"/>
  <c r="S1013" i="1"/>
  <c r="R1013" i="1"/>
  <c r="Q1013" i="1"/>
  <c r="P1013" i="1"/>
  <c r="O1013" i="1"/>
  <c r="N1013" i="1"/>
  <c r="S1012" i="1"/>
  <c r="R1012" i="1"/>
  <c r="Q1012" i="1"/>
  <c r="P1012" i="1"/>
  <c r="O1012" i="1"/>
  <c r="N1012" i="1"/>
  <c r="S1011" i="1"/>
  <c r="R1011" i="1"/>
  <c r="Q1011" i="1"/>
  <c r="P1011" i="1"/>
  <c r="O1011" i="1"/>
  <c r="N1011" i="1"/>
  <c r="S1010" i="1"/>
  <c r="R1010" i="1"/>
  <c r="Q1010" i="1"/>
  <c r="P1010" i="1"/>
  <c r="O1010" i="1"/>
  <c r="N1010" i="1"/>
  <c r="S1009" i="1"/>
  <c r="R1009" i="1"/>
  <c r="Q1009" i="1"/>
  <c r="P1009" i="1"/>
  <c r="O1009" i="1"/>
  <c r="N1009" i="1"/>
  <c r="S1008" i="1"/>
  <c r="R1008" i="1"/>
  <c r="Q1008" i="1"/>
  <c r="P1008" i="1"/>
  <c r="O1008" i="1"/>
  <c r="N1008" i="1"/>
  <c r="S1007" i="1"/>
  <c r="R1007" i="1"/>
  <c r="Q1007" i="1"/>
  <c r="P1007" i="1"/>
  <c r="O1007" i="1"/>
  <c r="N1007" i="1"/>
  <c r="S1006" i="1"/>
  <c r="R1006" i="1"/>
  <c r="Q1006" i="1"/>
  <c r="P1006" i="1"/>
  <c r="O1006" i="1"/>
  <c r="N1006" i="1"/>
  <c r="S1005" i="1"/>
  <c r="R1005" i="1"/>
  <c r="Q1005" i="1"/>
  <c r="P1005" i="1"/>
  <c r="O1005" i="1"/>
  <c r="N1005" i="1"/>
  <c r="S1004" i="1"/>
  <c r="R1004" i="1"/>
  <c r="Q1004" i="1"/>
  <c r="P1004" i="1"/>
  <c r="O1004" i="1"/>
  <c r="N1004" i="1"/>
  <c r="S1003" i="1"/>
  <c r="R1003" i="1"/>
  <c r="Q1003" i="1"/>
  <c r="P1003" i="1"/>
  <c r="O1003" i="1"/>
  <c r="N1003" i="1"/>
  <c r="S1002" i="1"/>
  <c r="R1002" i="1"/>
  <c r="Q1002" i="1"/>
  <c r="P1002" i="1"/>
  <c r="O1002" i="1"/>
  <c r="N1002" i="1"/>
  <c r="S1001" i="1"/>
  <c r="R1001" i="1"/>
  <c r="Q1001" i="1"/>
  <c r="P1001" i="1"/>
  <c r="O1001" i="1"/>
  <c r="N1001" i="1"/>
  <c r="S1000" i="1"/>
  <c r="R1000" i="1"/>
  <c r="Q1000" i="1"/>
  <c r="P1000" i="1"/>
  <c r="O1000" i="1"/>
  <c r="N1000" i="1"/>
  <c r="S999" i="1"/>
  <c r="R999" i="1"/>
  <c r="Q999" i="1"/>
  <c r="P999" i="1"/>
  <c r="O999" i="1"/>
  <c r="N999" i="1"/>
  <c r="S998" i="1"/>
  <c r="R998" i="1"/>
  <c r="Q998" i="1"/>
  <c r="P998" i="1"/>
  <c r="O998" i="1"/>
  <c r="N998" i="1"/>
  <c r="S997" i="1"/>
  <c r="R997" i="1"/>
  <c r="Q997" i="1"/>
  <c r="P997" i="1"/>
  <c r="O997" i="1"/>
  <c r="N997" i="1"/>
  <c r="S996" i="1"/>
  <c r="R996" i="1"/>
  <c r="Q996" i="1"/>
  <c r="P996" i="1"/>
  <c r="O996" i="1"/>
  <c r="N996" i="1"/>
  <c r="S995" i="1"/>
  <c r="R995" i="1"/>
  <c r="Q995" i="1"/>
  <c r="P995" i="1"/>
  <c r="O995" i="1"/>
  <c r="N995" i="1"/>
  <c r="S994" i="1"/>
  <c r="R994" i="1"/>
  <c r="Q994" i="1"/>
  <c r="P994" i="1"/>
  <c r="O994" i="1"/>
  <c r="N994" i="1"/>
  <c r="S993" i="1"/>
  <c r="R993" i="1"/>
  <c r="Q993" i="1"/>
  <c r="P993" i="1"/>
  <c r="O993" i="1"/>
  <c r="N993" i="1"/>
  <c r="S992" i="1"/>
  <c r="R992" i="1"/>
  <c r="Q992" i="1"/>
  <c r="P992" i="1"/>
  <c r="O992" i="1"/>
  <c r="N992" i="1"/>
  <c r="S991" i="1"/>
  <c r="R991" i="1"/>
  <c r="Q991" i="1"/>
  <c r="P991" i="1"/>
  <c r="O991" i="1"/>
  <c r="N991" i="1"/>
  <c r="S990" i="1"/>
  <c r="R990" i="1"/>
  <c r="Q990" i="1"/>
  <c r="P990" i="1"/>
  <c r="O990" i="1"/>
  <c r="N990" i="1"/>
  <c r="S989" i="1"/>
  <c r="R989" i="1"/>
  <c r="Q989" i="1"/>
  <c r="P989" i="1"/>
  <c r="O989" i="1"/>
  <c r="N989" i="1"/>
  <c r="S988" i="1"/>
  <c r="R988" i="1"/>
  <c r="Q988" i="1"/>
  <c r="P988" i="1"/>
  <c r="O988" i="1"/>
  <c r="N988" i="1"/>
  <c r="S987" i="1"/>
  <c r="R987" i="1"/>
  <c r="Q987" i="1"/>
  <c r="P987" i="1"/>
  <c r="O987" i="1"/>
  <c r="N987" i="1"/>
  <c r="S986" i="1"/>
  <c r="R986" i="1"/>
  <c r="Q986" i="1"/>
  <c r="P986" i="1"/>
  <c r="O986" i="1"/>
  <c r="N986" i="1"/>
  <c r="S985" i="1"/>
  <c r="R985" i="1"/>
  <c r="Q985" i="1"/>
  <c r="P985" i="1"/>
  <c r="O985" i="1"/>
  <c r="N985" i="1"/>
  <c r="S984" i="1"/>
  <c r="R984" i="1"/>
  <c r="Q984" i="1"/>
  <c r="P984" i="1"/>
  <c r="O984" i="1"/>
  <c r="N984" i="1"/>
  <c r="S983" i="1"/>
  <c r="R983" i="1"/>
  <c r="Q983" i="1"/>
  <c r="P983" i="1"/>
  <c r="O983" i="1"/>
  <c r="N983" i="1"/>
  <c r="S982" i="1"/>
  <c r="R982" i="1"/>
  <c r="Q982" i="1"/>
  <c r="P982" i="1"/>
  <c r="O982" i="1"/>
  <c r="N982" i="1"/>
  <c r="S981" i="1"/>
  <c r="R981" i="1"/>
  <c r="Q981" i="1"/>
  <c r="P981" i="1"/>
  <c r="O981" i="1"/>
  <c r="N981" i="1"/>
  <c r="S980" i="1"/>
  <c r="R980" i="1"/>
  <c r="Q980" i="1"/>
  <c r="P980" i="1"/>
  <c r="O980" i="1"/>
  <c r="N980" i="1"/>
  <c r="S979" i="1"/>
  <c r="R979" i="1"/>
  <c r="Q979" i="1"/>
  <c r="P979" i="1"/>
  <c r="O979" i="1"/>
  <c r="N979" i="1"/>
  <c r="S978" i="1"/>
  <c r="R978" i="1"/>
  <c r="Q978" i="1"/>
  <c r="P978" i="1"/>
  <c r="O978" i="1"/>
  <c r="N978" i="1"/>
  <c r="S977" i="1"/>
  <c r="R977" i="1"/>
  <c r="Q977" i="1"/>
  <c r="P977" i="1"/>
  <c r="O977" i="1"/>
  <c r="N977" i="1"/>
  <c r="S976" i="1"/>
  <c r="R976" i="1"/>
  <c r="Q976" i="1"/>
  <c r="P976" i="1"/>
  <c r="O976" i="1"/>
  <c r="N976" i="1"/>
  <c r="S975" i="1"/>
  <c r="R975" i="1"/>
  <c r="Q975" i="1"/>
  <c r="P975" i="1"/>
  <c r="O975" i="1"/>
  <c r="N975" i="1"/>
  <c r="S974" i="1"/>
  <c r="R974" i="1"/>
  <c r="Q974" i="1"/>
  <c r="P974" i="1"/>
  <c r="O974" i="1"/>
  <c r="N974" i="1"/>
  <c r="S973" i="1"/>
  <c r="R973" i="1"/>
  <c r="Q973" i="1"/>
  <c r="P973" i="1"/>
  <c r="O973" i="1"/>
  <c r="N973" i="1"/>
  <c r="S972" i="1"/>
  <c r="R972" i="1"/>
  <c r="Q972" i="1"/>
  <c r="P972" i="1"/>
  <c r="O972" i="1"/>
  <c r="N972" i="1"/>
  <c r="S971" i="1"/>
  <c r="R971" i="1"/>
  <c r="Q971" i="1"/>
  <c r="P971" i="1"/>
  <c r="O971" i="1"/>
  <c r="N971" i="1"/>
  <c r="S970" i="1"/>
  <c r="R970" i="1"/>
  <c r="Q970" i="1"/>
  <c r="P970" i="1"/>
  <c r="O970" i="1"/>
  <c r="N970" i="1"/>
  <c r="S969" i="1"/>
  <c r="R969" i="1"/>
  <c r="Q969" i="1"/>
  <c r="P969" i="1"/>
  <c r="O969" i="1"/>
  <c r="N969" i="1"/>
  <c r="S968" i="1"/>
  <c r="R968" i="1"/>
  <c r="Q968" i="1"/>
  <c r="P968" i="1"/>
  <c r="O968" i="1"/>
  <c r="N968" i="1"/>
  <c r="S967" i="1"/>
  <c r="R967" i="1"/>
  <c r="Q967" i="1"/>
  <c r="P967" i="1"/>
  <c r="O967" i="1"/>
  <c r="N967" i="1"/>
  <c r="S966" i="1"/>
  <c r="R966" i="1"/>
  <c r="Q966" i="1"/>
  <c r="P966" i="1"/>
  <c r="O966" i="1"/>
  <c r="N966" i="1"/>
  <c r="S965" i="1"/>
  <c r="R965" i="1"/>
  <c r="Q965" i="1"/>
  <c r="P965" i="1"/>
  <c r="O965" i="1"/>
  <c r="N965" i="1"/>
  <c r="S964" i="1"/>
  <c r="R964" i="1"/>
  <c r="Q964" i="1"/>
  <c r="P964" i="1"/>
  <c r="O964" i="1"/>
  <c r="N964" i="1"/>
  <c r="S963" i="1"/>
  <c r="R963" i="1"/>
  <c r="Q963" i="1"/>
  <c r="P963" i="1"/>
  <c r="O963" i="1"/>
  <c r="N963" i="1"/>
  <c r="S962" i="1"/>
  <c r="R962" i="1"/>
  <c r="Q962" i="1"/>
  <c r="P962" i="1"/>
  <c r="O962" i="1"/>
  <c r="N962" i="1"/>
  <c r="S961" i="1"/>
  <c r="R961" i="1"/>
  <c r="Q961" i="1"/>
  <c r="P961" i="1"/>
  <c r="O961" i="1"/>
  <c r="N961" i="1"/>
  <c r="S960" i="1"/>
  <c r="R960" i="1"/>
  <c r="Q960" i="1"/>
  <c r="P960" i="1"/>
  <c r="O960" i="1"/>
  <c r="N960" i="1"/>
  <c r="S959" i="1"/>
  <c r="R959" i="1"/>
  <c r="Q959" i="1"/>
  <c r="P959" i="1"/>
  <c r="O959" i="1"/>
  <c r="N959" i="1"/>
  <c r="S958" i="1"/>
  <c r="R958" i="1"/>
  <c r="Q958" i="1"/>
  <c r="P958" i="1"/>
  <c r="O958" i="1"/>
  <c r="N958" i="1"/>
  <c r="S957" i="1"/>
  <c r="R957" i="1"/>
  <c r="Q957" i="1"/>
  <c r="P957" i="1"/>
  <c r="O957" i="1"/>
  <c r="N957" i="1"/>
  <c r="S956" i="1"/>
  <c r="R956" i="1"/>
  <c r="Q956" i="1"/>
  <c r="P956" i="1"/>
  <c r="O956" i="1"/>
  <c r="N956" i="1"/>
  <c r="S955" i="1"/>
  <c r="R955" i="1"/>
  <c r="Q955" i="1"/>
  <c r="P955" i="1"/>
  <c r="O955" i="1"/>
  <c r="N955" i="1"/>
  <c r="S954" i="1"/>
  <c r="R954" i="1"/>
  <c r="Q954" i="1"/>
  <c r="P954" i="1"/>
  <c r="O954" i="1"/>
  <c r="N954" i="1"/>
  <c r="S953" i="1"/>
  <c r="R953" i="1"/>
  <c r="Q953" i="1"/>
  <c r="P953" i="1"/>
  <c r="O953" i="1"/>
  <c r="N953" i="1"/>
  <c r="S952" i="1"/>
  <c r="R952" i="1"/>
  <c r="Q952" i="1"/>
  <c r="P952" i="1"/>
  <c r="O952" i="1"/>
  <c r="N952" i="1"/>
  <c r="S951" i="1"/>
  <c r="R951" i="1"/>
  <c r="Q951" i="1"/>
  <c r="P951" i="1"/>
  <c r="O951" i="1"/>
  <c r="N951" i="1"/>
  <c r="S950" i="1"/>
  <c r="R950" i="1"/>
  <c r="Q950" i="1"/>
  <c r="P950" i="1"/>
  <c r="O950" i="1"/>
  <c r="N950" i="1"/>
  <c r="S949" i="1"/>
  <c r="R949" i="1"/>
  <c r="Q949" i="1"/>
  <c r="P949" i="1"/>
  <c r="O949" i="1"/>
  <c r="N949" i="1"/>
  <c r="S948" i="1"/>
  <c r="R948" i="1"/>
  <c r="Q948" i="1"/>
  <c r="P948" i="1"/>
  <c r="O948" i="1"/>
  <c r="N948" i="1"/>
  <c r="S947" i="1"/>
  <c r="R947" i="1"/>
  <c r="Q947" i="1"/>
  <c r="P947" i="1"/>
  <c r="O947" i="1"/>
  <c r="N947" i="1"/>
  <c r="S946" i="1"/>
  <c r="R946" i="1"/>
  <c r="Q946" i="1"/>
  <c r="P946" i="1"/>
  <c r="O946" i="1"/>
  <c r="N946" i="1"/>
  <c r="S945" i="1"/>
  <c r="R945" i="1"/>
  <c r="Q945" i="1"/>
  <c r="P945" i="1"/>
  <c r="O945" i="1"/>
  <c r="N945" i="1"/>
  <c r="S944" i="1"/>
  <c r="R944" i="1"/>
  <c r="Q944" i="1"/>
  <c r="P944" i="1"/>
  <c r="O944" i="1"/>
  <c r="N944" i="1"/>
  <c r="S943" i="1"/>
  <c r="R943" i="1"/>
  <c r="Q943" i="1"/>
  <c r="P943" i="1"/>
  <c r="O943" i="1"/>
  <c r="N943" i="1"/>
  <c r="S942" i="1"/>
  <c r="R942" i="1"/>
  <c r="Q942" i="1"/>
  <c r="P942" i="1"/>
  <c r="O942" i="1"/>
  <c r="N942" i="1"/>
  <c r="S941" i="1"/>
  <c r="R941" i="1"/>
  <c r="Q941" i="1"/>
  <c r="P941" i="1"/>
  <c r="O941" i="1"/>
  <c r="N941" i="1"/>
  <c r="S940" i="1"/>
  <c r="R940" i="1"/>
  <c r="Q940" i="1"/>
  <c r="P940" i="1"/>
  <c r="O940" i="1"/>
  <c r="N940" i="1"/>
  <c r="S939" i="1"/>
  <c r="R939" i="1"/>
  <c r="Q939" i="1"/>
  <c r="P939" i="1"/>
  <c r="O939" i="1"/>
  <c r="N939" i="1"/>
  <c r="S938" i="1"/>
  <c r="R938" i="1"/>
  <c r="Q938" i="1"/>
  <c r="P938" i="1"/>
  <c r="O938" i="1"/>
  <c r="N938" i="1"/>
  <c r="S937" i="1"/>
  <c r="R937" i="1"/>
  <c r="Q937" i="1"/>
  <c r="P937" i="1"/>
  <c r="O937" i="1"/>
  <c r="N937" i="1"/>
  <c r="S936" i="1"/>
  <c r="R936" i="1"/>
  <c r="Q936" i="1"/>
  <c r="P936" i="1"/>
  <c r="O936" i="1"/>
  <c r="N936" i="1"/>
  <c r="S935" i="1"/>
  <c r="R935" i="1"/>
  <c r="Q935" i="1"/>
  <c r="P935" i="1"/>
  <c r="O935" i="1"/>
  <c r="N935" i="1"/>
  <c r="S934" i="1"/>
  <c r="R934" i="1"/>
  <c r="Q934" i="1"/>
  <c r="P934" i="1"/>
  <c r="O934" i="1"/>
  <c r="N934" i="1"/>
  <c r="S933" i="1"/>
  <c r="R933" i="1"/>
  <c r="Q933" i="1"/>
  <c r="P933" i="1"/>
  <c r="O933" i="1"/>
  <c r="N933" i="1"/>
  <c r="S932" i="1"/>
  <c r="R932" i="1"/>
  <c r="Q932" i="1"/>
  <c r="P932" i="1"/>
  <c r="O932" i="1"/>
  <c r="N932" i="1"/>
  <c r="S931" i="1"/>
  <c r="R931" i="1"/>
  <c r="Q931" i="1"/>
  <c r="P931" i="1"/>
  <c r="O931" i="1"/>
  <c r="N931" i="1"/>
  <c r="S930" i="1"/>
  <c r="R930" i="1"/>
  <c r="Q930" i="1"/>
  <c r="P930" i="1"/>
  <c r="O930" i="1"/>
  <c r="N930" i="1"/>
  <c r="S929" i="1"/>
  <c r="R929" i="1"/>
  <c r="Q929" i="1"/>
  <c r="P929" i="1"/>
  <c r="O929" i="1"/>
  <c r="N929" i="1"/>
  <c r="S928" i="1"/>
  <c r="R928" i="1"/>
  <c r="Q928" i="1"/>
  <c r="P928" i="1"/>
  <c r="O928" i="1"/>
  <c r="N928" i="1"/>
  <c r="S927" i="1"/>
  <c r="R927" i="1"/>
  <c r="Q927" i="1"/>
  <c r="P927" i="1"/>
  <c r="O927" i="1"/>
  <c r="N927" i="1"/>
  <c r="S926" i="1"/>
  <c r="R926" i="1"/>
  <c r="Q926" i="1"/>
  <c r="P926" i="1"/>
  <c r="O926" i="1"/>
  <c r="N926" i="1"/>
  <c r="S925" i="1"/>
  <c r="R925" i="1"/>
  <c r="Q925" i="1"/>
  <c r="P925" i="1"/>
  <c r="O925" i="1"/>
  <c r="N925" i="1"/>
  <c r="S924" i="1"/>
  <c r="R924" i="1"/>
  <c r="Q924" i="1"/>
  <c r="P924" i="1"/>
  <c r="O924" i="1"/>
  <c r="N924" i="1"/>
  <c r="S923" i="1"/>
  <c r="R923" i="1"/>
  <c r="Q923" i="1"/>
  <c r="P923" i="1"/>
  <c r="O923" i="1"/>
  <c r="N923" i="1"/>
  <c r="S922" i="1"/>
  <c r="R922" i="1"/>
  <c r="Q922" i="1"/>
  <c r="P922" i="1"/>
  <c r="O922" i="1"/>
  <c r="N922" i="1"/>
  <c r="S921" i="1"/>
  <c r="R921" i="1"/>
  <c r="Q921" i="1"/>
  <c r="P921" i="1"/>
  <c r="O921" i="1"/>
  <c r="N921" i="1"/>
  <c r="S920" i="1"/>
  <c r="R920" i="1"/>
  <c r="Q920" i="1"/>
  <c r="P920" i="1"/>
  <c r="O920" i="1"/>
  <c r="N920" i="1"/>
  <c r="S919" i="1"/>
  <c r="R919" i="1"/>
  <c r="Q919" i="1"/>
  <c r="P919" i="1"/>
  <c r="O919" i="1"/>
  <c r="N919" i="1"/>
  <c r="S918" i="1"/>
  <c r="R918" i="1"/>
  <c r="Q918" i="1"/>
  <c r="P918" i="1"/>
  <c r="O918" i="1"/>
  <c r="N918" i="1"/>
  <c r="S917" i="1"/>
  <c r="R917" i="1"/>
  <c r="Q917" i="1"/>
  <c r="P917" i="1"/>
  <c r="O917" i="1"/>
  <c r="N917" i="1"/>
  <c r="S916" i="1"/>
  <c r="R916" i="1"/>
  <c r="Q916" i="1"/>
  <c r="P916" i="1"/>
  <c r="O916" i="1"/>
  <c r="N916" i="1"/>
  <c r="S915" i="1"/>
  <c r="R915" i="1"/>
  <c r="Q915" i="1"/>
  <c r="P915" i="1"/>
  <c r="O915" i="1"/>
  <c r="N915" i="1"/>
  <c r="S914" i="1"/>
  <c r="R914" i="1"/>
  <c r="Q914" i="1"/>
  <c r="P914" i="1"/>
  <c r="O914" i="1"/>
  <c r="N914" i="1"/>
  <c r="S913" i="1"/>
  <c r="R913" i="1"/>
  <c r="Q913" i="1"/>
  <c r="P913" i="1"/>
  <c r="O913" i="1"/>
  <c r="N913" i="1"/>
  <c r="S912" i="1"/>
  <c r="R912" i="1"/>
  <c r="Q912" i="1"/>
  <c r="P912" i="1"/>
  <c r="O912" i="1"/>
  <c r="N912" i="1"/>
  <c r="S911" i="1"/>
  <c r="R911" i="1"/>
  <c r="Q911" i="1"/>
  <c r="P911" i="1"/>
  <c r="O911" i="1"/>
  <c r="N911" i="1"/>
  <c r="S910" i="1"/>
  <c r="R910" i="1"/>
  <c r="Q910" i="1"/>
  <c r="P910" i="1"/>
  <c r="O910" i="1"/>
  <c r="N910" i="1"/>
  <c r="S909" i="1"/>
  <c r="R909" i="1"/>
  <c r="Q909" i="1"/>
  <c r="P909" i="1"/>
  <c r="O909" i="1"/>
  <c r="N909" i="1"/>
  <c r="S908" i="1"/>
  <c r="R908" i="1"/>
  <c r="Q908" i="1"/>
  <c r="P908" i="1"/>
  <c r="O908" i="1"/>
  <c r="N908" i="1"/>
  <c r="S907" i="1"/>
  <c r="R907" i="1"/>
  <c r="Q907" i="1"/>
  <c r="P907" i="1"/>
  <c r="O907" i="1"/>
  <c r="N907" i="1"/>
  <c r="S906" i="1"/>
  <c r="R906" i="1"/>
  <c r="Q906" i="1"/>
  <c r="P906" i="1"/>
  <c r="O906" i="1"/>
  <c r="N906" i="1"/>
  <c r="S905" i="1"/>
  <c r="R905" i="1"/>
  <c r="Q905" i="1"/>
  <c r="P905" i="1"/>
  <c r="O905" i="1"/>
  <c r="N905" i="1"/>
  <c r="S904" i="1"/>
  <c r="R904" i="1"/>
  <c r="Q904" i="1"/>
  <c r="P904" i="1"/>
  <c r="O904" i="1"/>
  <c r="N904" i="1"/>
  <c r="S903" i="1"/>
  <c r="R903" i="1"/>
  <c r="Q903" i="1"/>
  <c r="P903" i="1"/>
  <c r="O903" i="1"/>
  <c r="N903" i="1"/>
  <c r="S902" i="1"/>
  <c r="R902" i="1"/>
  <c r="Q902" i="1"/>
  <c r="P902" i="1"/>
  <c r="O902" i="1"/>
  <c r="N902" i="1"/>
  <c r="S901" i="1"/>
  <c r="R901" i="1"/>
  <c r="Q901" i="1"/>
  <c r="P901" i="1"/>
  <c r="O901" i="1"/>
  <c r="N901" i="1"/>
  <c r="S900" i="1"/>
  <c r="R900" i="1"/>
  <c r="Q900" i="1"/>
  <c r="P900" i="1"/>
  <c r="O900" i="1"/>
  <c r="N900" i="1"/>
  <c r="S899" i="1"/>
  <c r="R899" i="1"/>
  <c r="Q899" i="1"/>
  <c r="P899" i="1"/>
  <c r="O899" i="1"/>
  <c r="N899" i="1"/>
  <c r="S898" i="1"/>
  <c r="R898" i="1"/>
  <c r="Q898" i="1"/>
  <c r="P898" i="1"/>
  <c r="O898" i="1"/>
  <c r="N898" i="1"/>
  <c r="S897" i="1"/>
  <c r="R897" i="1"/>
  <c r="Q897" i="1"/>
  <c r="P897" i="1"/>
  <c r="O897" i="1"/>
  <c r="N897" i="1"/>
  <c r="S896" i="1"/>
  <c r="R896" i="1"/>
  <c r="Q896" i="1"/>
  <c r="P896" i="1"/>
  <c r="O896" i="1"/>
  <c r="N896" i="1"/>
  <c r="S895" i="1"/>
  <c r="R895" i="1"/>
  <c r="Q895" i="1"/>
  <c r="P895" i="1"/>
  <c r="O895" i="1"/>
  <c r="N895" i="1"/>
  <c r="S894" i="1"/>
  <c r="R894" i="1"/>
  <c r="Q894" i="1"/>
  <c r="P894" i="1"/>
  <c r="O894" i="1"/>
  <c r="N894" i="1"/>
  <c r="S893" i="1"/>
  <c r="R893" i="1"/>
  <c r="Q893" i="1"/>
  <c r="P893" i="1"/>
  <c r="O893" i="1"/>
  <c r="N893" i="1"/>
  <c r="S892" i="1"/>
  <c r="R892" i="1"/>
  <c r="Q892" i="1"/>
  <c r="P892" i="1"/>
  <c r="O892" i="1"/>
  <c r="N892" i="1"/>
  <c r="S891" i="1"/>
  <c r="R891" i="1"/>
  <c r="Q891" i="1"/>
  <c r="P891" i="1"/>
  <c r="O891" i="1"/>
  <c r="N891" i="1"/>
  <c r="S890" i="1"/>
  <c r="R890" i="1"/>
  <c r="Q890" i="1"/>
  <c r="P890" i="1"/>
  <c r="O890" i="1"/>
  <c r="N890" i="1"/>
  <c r="S889" i="1"/>
  <c r="R889" i="1"/>
  <c r="Q889" i="1"/>
  <c r="P889" i="1"/>
  <c r="O889" i="1"/>
  <c r="N889" i="1"/>
  <c r="S888" i="1"/>
  <c r="R888" i="1"/>
  <c r="Q888" i="1"/>
  <c r="P888" i="1"/>
  <c r="O888" i="1"/>
  <c r="N888" i="1"/>
  <c r="S887" i="1"/>
  <c r="R887" i="1"/>
  <c r="Q887" i="1"/>
  <c r="P887" i="1"/>
  <c r="O887" i="1"/>
  <c r="N887" i="1"/>
  <c r="S886" i="1"/>
  <c r="R886" i="1"/>
  <c r="Q886" i="1"/>
  <c r="P886" i="1"/>
  <c r="O886" i="1"/>
  <c r="N886" i="1"/>
  <c r="S885" i="1"/>
  <c r="R885" i="1"/>
  <c r="Q885" i="1"/>
  <c r="P885" i="1"/>
  <c r="O885" i="1"/>
  <c r="N885" i="1"/>
  <c r="S884" i="1"/>
  <c r="R884" i="1"/>
  <c r="Q884" i="1"/>
  <c r="P884" i="1"/>
  <c r="O884" i="1"/>
  <c r="N884" i="1"/>
  <c r="S883" i="1"/>
  <c r="R883" i="1"/>
  <c r="Q883" i="1"/>
  <c r="P883" i="1"/>
  <c r="O883" i="1"/>
  <c r="N883" i="1"/>
  <c r="S882" i="1"/>
  <c r="R882" i="1"/>
  <c r="Q882" i="1"/>
  <c r="P882" i="1"/>
  <c r="O882" i="1"/>
  <c r="N882" i="1"/>
  <c r="S881" i="1"/>
  <c r="R881" i="1"/>
  <c r="Q881" i="1"/>
  <c r="P881" i="1"/>
  <c r="O881" i="1"/>
  <c r="N881" i="1"/>
  <c r="S880" i="1"/>
  <c r="R880" i="1"/>
  <c r="Q880" i="1"/>
  <c r="P880" i="1"/>
  <c r="O880" i="1"/>
  <c r="N880" i="1"/>
  <c r="S879" i="1"/>
  <c r="R879" i="1"/>
  <c r="Q879" i="1"/>
  <c r="P879" i="1"/>
  <c r="O879" i="1"/>
  <c r="N879" i="1"/>
  <c r="S878" i="1"/>
  <c r="R878" i="1"/>
  <c r="Q878" i="1"/>
  <c r="P878" i="1"/>
  <c r="O878" i="1"/>
  <c r="N878" i="1"/>
  <c r="S877" i="1"/>
  <c r="R877" i="1"/>
  <c r="Q877" i="1"/>
  <c r="P877" i="1"/>
  <c r="O877" i="1"/>
  <c r="N877" i="1"/>
  <c r="S876" i="1"/>
  <c r="R876" i="1"/>
  <c r="Q876" i="1"/>
  <c r="P876" i="1"/>
  <c r="O876" i="1"/>
  <c r="N876" i="1"/>
  <c r="S875" i="1"/>
  <c r="R875" i="1"/>
  <c r="Q875" i="1"/>
  <c r="P875" i="1"/>
  <c r="O875" i="1"/>
  <c r="N875" i="1"/>
  <c r="S874" i="1"/>
  <c r="R874" i="1"/>
  <c r="Q874" i="1"/>
  <c r="P874" i="1"/>
  <c r="O874" i="1"/>
  <c r="N874" i="1"/>
  <c r="S873" i="1"/>
  <c r="R873" i="1"/>
  <c r="Q873" i="1"/>
  <c r="P873" i="1"/>
  <c r="O873" i="1"/>
  <c r="N873" i="1"/>
  <c r="S872" i="1"/>
  <c r="R872" i="1"/>
  <c r="Q872" i="1"/>
  <c r="P872" i="1"/>
  <c r="O872" i="1"/>
  <c r="N872" i="1"/>
  <c r="S871" i="1"/>
  <c r="R871" i="1"/>
  <c r="Q871" i="1"/>
  <c r="P871" i="1"/>
  <c r="O871" i="1"/>
  <c r="N871" i="1"/>
  <c r="S870" i="1"/>
  <c r="R870" i="1"/>
  <c r="Q870" i="1"/>
  <c r="P870" i="1"/>
  <c r="O870" i="1"/>
  <c r="N870" i="1"/>
  <c r="S869" i="1"/>
  <c r="R869" i="1"/>
  <c r="Q869" i="1"/>
  <c r="P869" i="1"/>
  <c r="O869" i="1"/>
  <c r="N869" i="1"/>
  <c r="S868" i="1"/>
  <c r="R868" i="1"/>
  <c r="Q868" i="1"/>
  <c r="P868" i="1"/>
  <c r="O868" i="1"/>
  <c r="N868" i="1"/>
  <c r="S867" i="1"/>
  <c r="R867" i="1"/>
  <c r="Q867" i="1"/>
  <c r="P867" i="1"/>
  <c r="O867" i="1"/>
  <c r="N867" i="1"/>
  <c r="S866" i="1"/>
  <c r="R866" i="1"/>
  <c r="Q866" i="1"/>
  <c r="P866" i="1"/>
  <c r="O866" i="1"/>
  <c r="N866" i="1"/>
  <c r="S865" i="1"/>
  <c r="R865" i="1"/>
  <c r="Q865" i="1"/>
  <c r="P865" i="1"/>
  <c r="O865" i="1"/>
  <c r="N865" i="1"/>
  <c r="S864" i="1"/>
  <c r="R864" i="1"/>
  <c r="Q864" i="1"/>
  <c r="P864" i="1"/>
  <c r="O864" i="1"/>
  <c r="N864" i="1"/>
  <c r="S863" i="1"/>
  <c r="R863" i="1"/>
  <c r="Q863" i="1"/>
  <c r="P863" i="1"/>
  <c r="O863" i="1"/>
  <c r="N863" i="1"/>
  <c r="S862" i="1"/>
  <c r="R862" i="1"/>
  <c r="Q862" i="1"/>
  <c r="P862" i="1"/>
  <c r="O862" i="1"/>
  <c r="N862" i="1"/>
  <c r="S861" i="1"/>
  <c r="R861" i="1"/>
  <c r="Q861" i="1"/>
  <c r="P861" i="1"/>
  <c r="O861" i="1"/>
  <c r="N861" i="1"/>
  <c r="S860" i="1"/>
  <c r="R860" i="1"/>
  <c r="Q860" i="1"/>
  <c r="P860" i="1"/>
  <c r="O860" i="1"/>
  <c r="N860" i="1"/>
  <c r="S859" i="1"/>
  <c r="R859" i="1"/>
  <c r="Q859" i="1"/>
  <c r="P859" i="1"/>
  <c r="O859" i="1"/>
  <c r="N859" i="1"/>
  <c r="S858" i="1"/>
  <c r="R858" i="1"/>
  <c r="Q858" i="1"/>
  <c r="P858" i="1"/>
  <c r="O858" i="1"/>
  <c r="N858" i="1"/>
  <c r="S857" i="1"/>
  <c r="R857" i="1"/>
  <c r="Q857" i="1"/>
  <c r="P857" i="1"/>
  <c r="O857" i="1"/>
  <c r="N857" i="1"/>
  <c r="S856" i="1"/>
  <c r="R856" i="1"/>
  <c r="Q856" i="1"/>
  <c r="P856" i="1"/>
  <c r="O856" i="1"/>
  <c r="N856" i="1"/>
  <c r="S855" i="1"/>
  <c r="R855" i="1"/>
  <c r="Q855" i="1"/>
  <c r="P855" i="1"/>
  <c r="O855" i="1"/>
  <c r="N855" i="1"/>
  <c r="S854" i="1"/>
  <c r="R854" i="1"/>
  <c r="Q854" i="1"/>
  <c r="P854" i="1"/>
  <c r="O854" i="1"/>
  <c r="N854" i="1"/>
  <c r="S853" i="1"/>
  <c r="R853" i="1"/>
  <c r="Q853" i="1"/>
  <c r="P853" i="1"/>
  <c r="O853" i="1"/>
  <c r="N853" i="1"/>
  <c r="S852" i="1"/>
  <c r="R852" i="1"/>
  <c r="Q852" i="1"/>
  <c r="P852" i="1"/>
  <c r="O852" i="1"/>
  <c r="N852" i="1"/>
  <c r="S851" i="1"/>
  <c r="R851" i="1"/>
  <c r="Q851" i="1"/>
  <c r="P851" i="1"/>
  <c r="O851" i="1"/>
  <c r="N851" i="1"/>
  <c r="S850" i="1"/>
  <c r="R850" i="1"/>
  <c r="Q850" i="1"/>
  <c r="P850" i="1"/>
  <c r="O850" i="1"/>
  <c r="N850" i="1"/>
  <c r="S849" i="1"/>
  <c r="R849" i="1"/>
  <c r="Q849" i="1"/>
  <c r="P849" i="1"/>
  <c r="O849" i="1"/>
  <c r="N849" i="1"/>
  <c r="S848" i="1"/>
  <c r="R848" i="1"/>
  <c r="Q848" i="1"/>
  <c r="P848" i="1"/>
  <c r="O848" i="1"/>
  <c r="N848" i="1"/>
  <c r="S847" i="1"/>
  <c r="R847" i="1"/>
  <c r="Q847" i="1"/>
  <c r="P847" i="1"/>
  <c r="O847" i="1"/>
  <c r="N847" i="1"/>
  <c r="S846" i="1"/>
  <c r="R846" i="1"/>
  <c r="Q846" i="1"/>
  <c r="P846" i="1"/>
  <c r="O846" i="1"/>
  <c r="N846" i="1"/>
  <c r="S845" i="1"/>
  <c r="R845" i="1"/>
  <c r="Q845" i="1"/>
  <c r="P845" i="1"/>
  <c r="O845" i="1"/>
  <c r="N845" i="1"/>
  <c r="S844" i="1"/>
  <c r="R844" i="1"/>
  <c r="Q844" i="1"/>
  <c r="P844" i="1"/>
  <c r="O844" i="1"/>
  <c r="N844" i="1"/>
  <c r="S843" i="1"/>
  <c r="R843" i="1"/>
  <c r="Q843" i="1"/>
  <c r="P843" i="1"/>
  <c r="O843" i="1"/>
  <c r="N843" i="1"/>
  <c r="S842" i="1"/>
  <c r="R842" i="1"/>
  <c r="Q842" i="1"/>
  <c r="P842" i="1"/>
  <c r="O842" i="1"/>
  <c r="N842" i="1"/>
  <c r="S841" i="1"/>
  <c r="R841" i="1"/>
  <c r="Q841" i="1"/>
  <c r="P841" i="1"/>
  <c r="O841" i="1"/>
  <c r="N841" i="1"/>
  <c r="S840" i="1"/>
  <c r="R840" i="1"/>
  <c r="Q840" i="1"/>
  <c r="P840" i="1"/>
  <c r="O840" i="1"/>
  <c r="N840" i="1"/>
  <c r="S839" i="1"/>
  <c r="R839" i="1"/>
  <c r="Q839" i="1"/>
  <c r="P839" i="1"/>
  <c r="O839" i="1"/>
  <c r="N839" i="1"/>
  <c r="S838" i="1"/>
  <c r="R838" i="1"/>
  <c r="Q838" i="1"/>
  <c r="P838" i="1"/>
  <c r="O838" i="1"/>
  <c r="N838" i="1"/>
  <c r="S837" i="1"/>
  <c r="R837" i="1"/>
  <c r="Q837" i="1"/>
  <c r="P837" i="1"/>
  <c r="O837" i="1"/>
  <c r="N837" i="1"/>
  <c r="S836" i="1"/>
  <c r="R836" i="1"/>
  <c r="Q836" i="1"/>
  <c r="P836" i="1"/>
  <c r="O836" i="1"/>
  <c r="N836" i="1"/>
  <c r="S835" i="1"/>
  <c r="R835" i="1"/>
  <c r="Q835" i="1"/>
  <c r="P835" i="1"/>
  <c r="O835" i="1"/>
  <c r="N835" i="1"/>
  <c r="S834" i="1"/>
  <c r="R834" i="1"/>
  <c r="Q834" i="1"/>
  <c r="P834" i="1"/>
  <c r="O834" i="1"/>
  <c r="N834" i="1"/>
  <c r="S833" i="1"/>
  <c r="R833" i="1"/>
  <c r="Q833" i="1"/>
  <c r="P833" i="1"/>
  <c r="O833" i="1"/>
  <c r="N833" i="1"/>
  <c r="S832" i="1"/>
  <c r="R832" i="1"/>
  <c r="Q832" i="1"/>
  <c r="P832" i="1"/>
  <c r="O832" i="1"/>
  <c r="N832" i="1"/>
  <c r="S831" i="1"/>
  <c r="R831" i="1"/>
  <c r="Q831" i="1"/>
  <c r="P831" i="1"/>
  <c r="O831" i="1"/>
  <c r="N831" i="1"/>
  <c r="S830" i="1"/>
  <c r="R830" i="1"/>
  <c r="Q830" i="1"/>
  <c r="P830" i="1"/>
  <c r="O830" i="1"/>
  <c r="N830" i="1"/>
  <c r="S829" i="1"/>
  <c r="R829" i="1"/>
  <c r="Q829" i="1"/>
  <c r="P829" i="1"/>
  <c r="O829" i="1"/>
  <c r="N829" i="1"/>
  <c r="S828" i="1"/>
  <c r="R828" i="1"/>
  <c r="Q828" i="1"/>
  <c r="P828" i="1"/>
  <c r="O828" i="1"/>
  <c r="N828" i="1"/>
  <c r="S827" i="1"/>
  <c r="R827" i="1"/>
  <c r="Q827" i="1"/>
  <c r="P827" i="1"/>
  <c r="O827" i="1"/>
  <c r="N827" i="1"/>
  <c r="S826" i="1"/>
  <c r="R826" i="1"/>
  <c r="Q826" i="1"/>
  <c r="P826" i="1"/>
  <c r="O826" i="1"/>
  <c r="N826" i="1"/>
  <c r="S825" i="1"/>
  <c r="R825" i="1"/>
  <c r="Q825" i="1"/>
  <c r="P825" i="1"/>
  <c r="O825" i="1"/>
  <c r="N825" i="1"/>
  <c r="S824" i="1"/>
  <c r="R824" i="1"/>
  <c r="Q824" i="1"/>
  <c r="P824" i="1"/>
  <c r="O824" i="1"/>
  <c r="N824" i="1"/>
  <c r="S823" i="1"/>
  <c r="R823" i="1"/>
  <c r="Q823" i="1"/>
  <c r="P823" i="1"/>
  <c r="O823" i="1"/>
  <c r="N823" i="1"/>
  <c r="S822" i="1"/>
  <c r="R822" i="1"/>
  <c r="Q822" i="1"/>
  <c r="P822" i="1"/>
  <c r="O822" i="1"/>
  <c r="N822" i="1"/>
  <c r="S821" i="1"/>
  <c r="R821" i="1"/>
  <c r="Q821" i="1"/>
  <c r="P821" i="1"/>
  <c r="O821" i="1"/>
  <c r="N821" i="1"/>
  <c r="S820" i="1"/>
  <c r="R820" i="1"/>
  <c r="Q820" i="1"/>
  <c r="P820" i="1"/>
  <c r="O820" i="1"/>
  <c r="N820" i="1"/>
  <c r="S819" i="1"/>
  <c r="R819" i="1"/>
  <c r="Q819" i="1"/>
  <c r="P819" i="1"/>
  <c r="O819" i="1"/>
  <c r="N819" i="1"/>
  <c r="S818" i="1"/>
  <c r="R818" i="1"/>
  <c r="Q818" i="1"/>
  <c r="P818" i="1"/>
  <c r="O818" i="1"/>
  <c r="N818" i="1"/>
  <c r="S817" i="1"/>
  <c r="R817" i="1"/>
  <c r="Q817" i="1"/>
  <c r="P817" i="1"/>
  <c r="O817" i="1"/>
  <c r="N817" i="1"/>
  <c r="S816" i="1"/>
  <c r="R816" i="1"/>
  <c r="Q816" i="1"/>
  <c r="P816" i="1"/>
  <c r="O816" i="1"/>
  <c r="N816" i="1"/>
  <c r="S815" i="1"/>
  <c r="R815" i="1"/>
  <c r="Q815" i="1"/>
  <c r="P815" i="1"/>
  <c r="O815" i="1"/>
  <c r="N815" i="1"/>
  <c r="S814" i="1"/>
  <c r="R814" i="1"/>
  <c r="Q814" i="1"/>
  <c r="P814" i="1"/>
  <c r="O814" i="1"/>
  <c r="N814" i="1"/>
  <c r="S813" i="1"/>
  <c r="R813" i="1"/>
  <c r="Q813" i="1"/>
  <c r="P813" i="1"/>
  <c r="O813" i="1"/>
  <c r="N813" i="1"/>
  <c r="S812" i="1"/>
  <c r="R812" i="1"/>
  <c r="Q812" i="1"/>
  <c r="P812" i="1"/>
  <c r="O812" i="1"/>
  <c r="N812" i="1"/>
  <c r="S811" i="1"/>
  <c r="R811" i="1"/>
  <c r="Q811" i="1"/>
  <c r="P811" i="1"/>
  <c r="O811" i="1"/>
  <c r="N811" i="1"/>
  <c r="S810" i="1"/>
  <c r="R810" i="1"/>
  <c r="Q810" i="1"/>
  <c r="P810" i="1"/>
  <c r="O810" i="1"/>
  <c r="N810" i="1"/>
  <c r="S809" i="1"/>
  <c r="R809" i="1"/>
  <c r="Q809" i="1"/>
  <c r="P809" i="1"/>
  <c r="O809" i="1"/>
  <c r="N809" i="1"/>
  <c r="S808" i="1"/>
  <c r="R808" i="1"/>
  <c r="Q808" i="1"/>
  <c r="P808" i="1"/>
  <c r="O808" i="1"/>
  <c r="N808" i="1"/>
  <c r="S807" i="1"/>
  <c r="R807" i="1"/>
  <c r="Q807" i="1"/>
  <c r="P807" i="1"/>
  <c r="O807" i="1"/>
  <c r="N807" i="1"/>
  <c r="S806" i="1"/>
  <c r="R806" i="1"/>
  <c r="Q806" i="1"/>
  <c r="P806" i="1"/>
  <c r="O806" i="1"/>
  <c r="N806" i="1"/>
  <c r="S805" i="1"/>
  <c r="R805" i="1"/>
  <c r="Q805" i="1"/>
  <c r="P805" i="1"/>
  <c r="O805" i="1"/>
  <c r="N805" i="1"/>
  <c r="S804" i="1"/>
  <c r="R804" i="1"/>
  <c r="Q804" i="1"/>
  <c r="P804" i="1"/>
  <c r="O804" i="1"/>
  <c r="N804" i="1"/>
  <c r="S803" i="1"/>
  <c r="R803" i="1"/>
  <c r="Q803" i="1"/>
  <c r="P803" i="1"/>
  <c r="O803" i="1"/>
  <c r="N803" i="1"/>
  <c r="S802" i="1"/>
  <c r="R802" i="1"/>
  <c r="Q802" i="1"/>
  <c r="P802" i="1"/>
  <c r="O802" i="1"/>
  <c r="N802" i="1"/>
  <c r="S801" i="1"/>
  <c r="R801" i="1"/>
  <c r="Q801" i="1"/>
  <c r="P801" i="1"/>
  <c r="O801" i="1"/>
  <c r="N801" i="1"/>
  <c r="S800" i="1"/>
  <c r="R800" i="1"/>
  <c r="Q800" i="1"/>
  <c r="P800" i="1"/>
  <c r="O800" i="1"/>
  <c r="N800" i="1"/>
  <c r="S799" i="1"/>
  <c r="R799" i="1"/>
  <c r="Q799" i="1"/>
  <c r="P799" i="1"/>
  <c r="O799" i="1"/>
  <c r="N799" i="1"/>
  <c r="S798" i="1"/>
  <c r="R798" i="1"/>
  <c r="Q798" i="1"/>
  <c r="P798" i="1"/>
  <c r="O798" i="1"/>
  <c r="N798" i="1"/>
  <c r="S797" i="1"/>
  <c r="R797" i="1"/>
  <c r="Q797" i="1"/>
  <c r="P797" i="1"/>
  <c r="O797" i="1"/>
  <c r="N797" i="1"/>
  <c r="S796" i="1"/>
  <c r="R796" i="1"/>
  <c r="Q796" i="1"/>
  <c r="P796" i="1"/>
  <c r="O796" i="1"/>
  <c r="N796" i="1"/>
  <c r="S795" i="1"/>
  <c r="R795" i="1"/>
  <c r="Q795" i="1"/>
  <c r="P795" i="1"/>
  <c r="O795" i="1"/>
  <c r="N795" i="1"/>
  <c r="S794" i="1"/>
  <c r="R794" i="1"/>
  <c r="Q794" i="1"/>
  <c r="P794" i="1"/>
  <c r="O794" i="1"/>
  <c r="N794" i="1"/>
  <c r="S793" i="1"/>
  <c r="R793" i="1"/>
  <c r="Q793" i="1"/>
  <c r="P793" i="1"/>
  <c r="O793" i="1"/>
  <c r="N793" i="1"/>
  <c r="S792" i="1"/>
  <c r="R792" i="1"/>
  <c r="Q792" i="1"/>
  <c r="P792" i="1"/>
  <c r="O792" i="1"/>
  <c r="N792" i="1"/>
  <c r="S791" i="1"/>
  <c r="R791" i="1"/>
  <c r="Q791" i="1"/>
  <c r="P791" i="1"/>
  <c r="O791" i="1"/>
  <c r="N791" i="1"/>
  <c r="S790" i="1"/>
  <c r="R790" i="1"/>
  <c r="Q790" i="1"/>
  <c r="P790" i="1"/>
  <c r="O790" i="1"/>
  <c r="N790" i="1"/>
  <c r="S789" i="1"/>
  <c r="R789" i="1"/>
  <c r="Q789" i="1"/>
  <c r="P789" i="1"/>
  <c r="O789" i="1"/>
  <c r="N789" i="1"/>
  <c r="S788" i="1"/>
  <c r="R788" i="1"/>
  <c r="Q788" i="1"/>
  <c r="P788" i="1"/>
  <c r="O788" i="1"/>
  <c r="N788" i="1"/>
  <c r="S787" i="1"/>
  <c r="R787" i="1"/>
  <c r="Q787" i="1"/>
  <c r="P787" i="1"/>
  <c r="O787" i="1"/>
  <c r="N787" i="1"/>
  <c r="S786" i="1"/>
  <c r="R786" i="1"/>
  <c r="Q786" i="1"/>
  <c r="P786" i="1"/>
  <c r="O786" i="1"/>
  <c r="N786" i="1"/>
  <c r="S785" i="1"/>
  <c r="R785" i="1"/>
  <c r="Q785" i="1"/>
  <c r="P785" i="1"/>
  <c r="O785" i="1"/>
  <c r="N785" i="1"/>
  <c r="S784" i="1"/>
  <c r="R784" i="1"/>
  <c r="Q784" i="1"/>
  <c r="P784" i="1"/>
  <c r="O784" i="1"/>
  <c r="N784" i="1"/>
  <c r="S783" i="1"/>
  <c r="R783" i="1"/>
  <c r="Q783" i="1"/>
  <c r="P783" i="1"/>
  <c r="O783" i="1"/>
  <c r="N783" i="1"/>
  <c r="S782" i="1"/>
  <c r="R782" i="1"/>
  <c r="Q782" i="1"/>
  <c r="P782" i="1"/>
  <c r="O782" i="1"/>
  <c r="N782" i="1"/>
  <c r="S781" i="1"/>
  <c r="R781" i="1"/>
  <c r="Q781" i="1"/>
  <c r="P781" i="1"/>
  <c r="O781" i="1"/>
  <c r="N781" i="1"/>
  <c r="S780" i="1"/>
  <c r="R780" i="1"/>
  <c r="Q780" i="1"/>
  <c r="P780" i="1"/>
  <c r="O780" i="1"/>
  <c r="N780" i="1"/>
  <c r="S779" i="1"/>
  <c r="R779" i="1"/>
  <c r="Q779" i="1"/>
  <c r="P779" i="1"/>
  <c r="O779" i="1"/>
  <c r="N779" i="1"/>
  <c r="S778" i="1"/>
  <c r="R778" i="1"/>
  <c r="Q778" i="1"/>
  <c r="P778" i="1"/>
  <c r="O778" i="1"/>
  <c r="N778" i="1"/>
  <c r="S777" i="1"/>
  <c r="R777" i="1"/>
  <c r="Q777" i="1"/>
  <c r="P777" i="1"/>
  <c r="O777" i="1"/>
  <c r="N777" i="1"/>
  <c r="S776" i="1"/>
  <c r="R776" i="1"/>
  <c r="Q776" i="1"/>
  <c r="P776" i="1"/>
  <c r="O776" i="1"/>
  <c r="N776" i="1"/>
  <c r="S775" i="1"/>
  <c r="R775" i="1"/>
  <c r="Q775" i="1"/>
  <c r="P775" i="1"/>
  <c r="O775" i="1"/>
  <c r="N775" i="1"/>
  <c r="S774" i="1"/>
  <c r="R774" i="1"/>
  <c r="Q774" i="1"/>
  <c r="P774" i="1"/>
  <c r="O774" i="1"/>
  <c r="N774" i="1"/>
  <c r="S773" i="1"/>
  <c r="R773" i="1"/>
  <c r="Q773" i="1"/>
  <c r="P773" i="1"/>
  <c r="O773" i="1"/>
  <c r="N773" i="1"/>
  <c r="S772" i="1"/>
  <c r="R772" i="1"/>
  <c r="Q772" i="1"/>
  <c r="P772" i="1"/>
  <c r="O772" i="1"/>
  <c r="N772" i="1"/>
  <c r="S771" i="1"/>
  <c r="R771" i="1"/>
  <c r="Q771" i="1"/>
  <c r="P771" i="1"/>
  <c r="O771" i="1"/>
  <c r="N771" i="1"/>
  <c r="S770" i="1"/>
  <c r="R770" i="1"/>
  <c r="Q770" i="1"/>
  <c r="P770" i="1"/>
  <c r="O770" i="1"/>
  <c r="N770" i="1"/>
  <c r="S769" i="1"/>
  <c r="R769" i="1"/>
  <c r="Q769" i="1"/>
  <c r="P769" i="1"/>
  <c r="O769" i="1"/>
  <c r="N769" i="1"/>
  <c r="S768" i="1"/>
  <c r="R768" i="1"/>
  <c r="Q768" i="1"/>
  <c r="P768" i="1"/>
  <c r="O768" i="1"/>
  <c r="N768" i="1"/>
  <c r="S767" i="1"/>
  <c r="R767" i="1"/>
  <c r="Q767" i="1"/>
  <c r="P767" i="1"/>
  <c r="O767" i="1"/>
  <c r="N767" i="1"/>
  <c r="S766" i="1"/>
  <c r="R766" i="1"/>
  <c r="Q766" i="1"/>
  <c r="P766" i="1"/>
  <c r="O766" i="1"/>
  <c r="N766" i="1"/>
  <c r="S765" i="1"/>
  <c r="R765" i="1"/>
  <c r="Q765" i="1"/>
  <c r="P765" i="1"/>
  <c r="O765" i="1"/>
  <c r="N765" i="1"/>
  <c r="S764" i="1"/>
  <c r="R764" i="1"/>
  <c r="Q764" i="1"/>
  <c r="P764" i="1"/>
  <c r="O764" i="1"/>
  <c r="N764" i="1"/>
  <c r="S763" i="1"/>
  <c r="R763" i="1"/>
  <c r="Q763" i="1"/>
  <c r="P763" i="1"/>
  <c r="O763" i="1"/>
  <c r="N763" i="1"/>
  <c r="S762" i="1"/>
  <c r="R762" i="1"/>
  <c r="Q762" i="1"/>
  <c r="P762" i="1"/>
  <c r="O762" i="1"/>
  <c r="N762" i="1"/>
  <c r="S761" i="1"/>
  <c r="R761" i="1"/>
  <c r="Q761" i="1"/>
  <c r="P761" i="1"/>
  <c r="O761" i="1"/>
  <c r="N761" i="1"/>
  <c r="S760" i="1"/>
  <c r="R760" i="1"/>
  <c r="Q760" i="1"/>
  <c r="P760" i="1"/>
  <c r="O760" i="1"/>
  <c r="N760" i="1"/>
  <c r="S759" i="1"/>
  <c r="R759" i="1"/>
  <c r="Q759" i="1"/>
  <c r="P759" i="1"/>
  <c r="O759" i="1"/>
  <c r="N759" i="1"/>
  <c r="S758" i="1"/>
  <c r="R758" i="1"/>
  <c r="Q758" i="1"/>
  <c r="P758" i="1"/>
  <c r="O758" i="1"/>
  <c r="N758" i="1"/>
  <c r="S757" i="1"/>
  <c r="R757" i="1"/>
  <c r="Q757" i="1"/>
  <c r="P757" i="1"/>
  <c r="O757" i="1"/>
  <c r="N757" i="1"/>
  <c r="S756" i="1"/>
  <c r="R756" i="1"/>
  <c r="Q756" i="1"/>
  <c r="P756" i="1"/>
  <c r="O756" i="1"/>
  <c r="N756" i="1"/>
  <c r="S755" i="1"/>
  <c r="R755" i="1"/>
  <c r="Q755" i="1"/>
  <c r="P755" i="1"/>
  <c r="O755" i="1"/>
  <c r="N755" i="1"/>
  <c r="S754" i="1"/>
  <c r="R754" i="1"/>
  <c r="Q754" i="1"/>
  <c r="P754" i="1"/>
  <c r="O754" i="1"/>
  <c r="N754" i="1"/>
  <c r="S753" i="1"/>
  <c r="R753" i="1"/>
  <c r="Q753" i="1"/>
  <c r="P753" i="1"/>
  <c r="O753" i="1"/>
  <c r="N753" i="1"/>
  <c r="S752" i="1"/>
  <c r="R752" i="1"/>
  <c r="Q752" i="1"/>
  <c r="P752" i="1"/>
  <c r="O752" i="1"/>
  <c r="N752" i="1"/>
  <c r="S751" i="1"/>
  <c r="R751" i="1"/>
  <c r="Q751" i="1"/>
  <c r="P751" i="1"/>
  <c r="O751" i="1"/>
  <c r="N751" i="1"/>
  <c r="S750" i="1"/>
  <c r="R750" i="1"/>
  <c r="Q750" i="1"/>
  <c r="P750" i="1"/>
  <c r="O750" i="1"/>
  <c r="N750" i="1"/>
  <c r="S749" i="1"/>
  <c r="R749" i="1"/>
  <c r="Q749" i="1"/>
  <c r="P749" i="1"/>
  <c r="O749" i="1"/>
  <c r="N749" i="1"/>
  <c r="S748" i="1"/>
  <c r="R748" i="1"/>
  <c r="Q748" i="1"/>
  <c r="P748" i="1"/>
  <c r="O748" i="1"/>
  <c r="N748" i="1"/>
  <c r="S747" i="1"/>
  <c r="R747" i="1"/>
  <c r="Q747" i="1"/>
  <c r="P747" i="1"/>
  <c r="O747" i="1"/>
  <c r="N747" i="1"/>
  <c r="S746" i="1"/>
  <c r="R746" i="1"/>
  <c r="Q746" i="1"/>
  <c r="P746" i="1"/>
  <c r="O746" i="1"/>
  <c r="N746" i="1"/>
  <c r="S745" i="1"/>
  <c r="R745" i="1"/>
  <c r="Q745" i="1"/>
  <c r="P745" i="1"/>
  <c r="O745" i="1"/>
  <c r="N745" i="1"/>
  <c r="S744" i="1"/>
  <c r="R744" i="1"/>
  <c r="Q744" i="1"/>
  <c r="P744" i="1"/>
  <c r="O744" i="1"/>
  <c r="N744" i="1"/>
  <c r="S743" i="1"/>
  <c r="R743" i="1"/>
  <c r="Q743" i="1"/>
  <c r="P743" i="1"/>
  <c r="O743" i="1"/>
  <c r="N743" i="1"/>
  <c r="S742" i="1"/>
  <c r="R742" i="1"/>
  <c r="Q742" i="1"/>
  <c r="P742" i="1"/>
  <c r="O742" i="1"/>
  <c r="N742" i="1"/>
  <c r="S741" i="1"/>
  <c r="R741" i="1"/>
  <c r="Q741" i="1"/>
  <c r="P741" i="1"/>
  <c r="O741" i="1"/>
  <c r="N741" i="1"/>
  <c r="S740" i="1"/>
  <c r="R740" i="1"/>
  <c r="Q740" i="1"/>
  <c r="P740" i="1"/>
  <c r="O740" i="1"/>
  <c r="N740" i="1"/>
  <c r="S739" i="1"/>
  <c r="R739" i="1"/>
  <c r="Q739" i="1"/>
  <c r="P739" i="1"/>
  <c r="O739" i="1"/>
  <c r="N739" i="1"/>
  <c r="S738" i="1"/>
  <c r="R738" i="1"/>
  <c r="Q738" i="1"/>
  <c r="P738" i="1"/>
  <c r="O738" i="1"/>
  <c r="N738" i="1"/>
  <c r="S737" i="1"/>
  <c r="R737" i="1"/>
  <c r="Q737" i="1"/>
  <c r="P737" i="1"/>
  <c r="O737" i="1"/>
  <c r="N737" i="1"/>
  <c r="S736" i="1"/>
  <c r="R736" i="1"/>
  <c r="Q736" i="1"/>
  <c r="P736" i="1"/>
  <c r="O736" i="1"/>
  <c r="N736" i="1"/>
  <c r="S735" i="1"/>
  <c r="R735" i="1"/>
  <c r="Q735" i="1"/>
  <c r="P735" i="1"/>
  <c r="O735" i="1"/>
  <c r="N735" i="1"/>
  <c r="S734" i="1"/>
  <c r="R734" i="1"/>
  <c r="Q734" i="1"/>
  <c r="P734" i="1"/>
  <c r="O734" i="1"/>
  <c r="N734" i="1"/>
  <c r="S733" i="1"/>
  <c r="R733" i="1"/>
  <c r="Q733" i="1"/>
  <c r="P733" i="1"/>
  <c r="O733" i="1"/>
  <c r="N733" i="1"/>
  <c r="S732" i="1"/>
  <c r="R732" i="1"/>
  <c r="Q732" i="1"/>
  <c r="P732" i="1"/>
  <c r="O732" i="1"/>
  <c r="N732" i="1"/>
  <c r="S731" i="1"/>
  <c r="R731" i="1"/>
  <c r="Q731" i="1"/>
  <c r="P731" i="1"/>
  <c r="O731" i="1"/>
  <c r="N731" i="1"/>
  <c r="S730" i="1"/>
  <c r="R730" i="1"/>
  <c r="Q730" i="1"/>
  <c r="P730" i="1"/>
  <c r="O730" i="1"/>
  <c r="N730" i="1"/>
  <c r="S729" i="1"/>
  <c r="R729" i="1"/>
  <c r="Q729" i="1"/>
  <c r="P729" i="1"/>
  <c r="O729" i="1"/>
  <c r="N729" i="1"/>
  <c r="S728" i="1"/>
  <c r="R728" i="1"/>
  <c r="Q728" i="1"/>
  <c r="P728" i="1"/>
  <c r="O728" i="1"/>
  <c r="N728" i="1"/>
  <c r="S727" i="1"/>
  <c r="R727" i="1"/>
  <c r="Q727" i="1"/>
  <c r="P727" i="1"/>
  <c r="O727" i="1"/>
  <c r="N727" i="1"/>
  <c r="S726" i="1"/>
  <c r="R726" i="1"/>
  <c r="Q726" i="1"/>
  <c r="P726" i="1"/>
  <c r="O726" i="1"/>
  <c r="N726" i="1"/>
  <c r="S725" i="1"/>
  <c r="R725" i="1"/>
  <c r="Q725" i="1"/>
  <c r="P725" i="1"/>
  <c r="O725" i="1"/>
  <c r="N725" i="1"/>
  <c r="S724" i="1"/>
  <c r="R724" i="1"/>
  <c r="Q724" i="1"/>
  <c r="P724" i="1"/>
  <c r="O724" i="1"/>
  <c r="N724" i="1"/>
  <c r="S723" i="1"/>
  <c r="R723" i="1"/>
  <c r="Q723" i="1"/>
  <c r="P723" i="1"/>
  <c r="O723" i="1"/>
  <c r="N723" i="1"/>
  <c r="S722" i="1"/>
  <c r="R722" i="1"/>
  <c r="Q722" i="1"/>
  <c r="P722" i="1"/>
  <c r="O722" i="1"/>
  <c r="N722" i="1"/>
  <c r="S721" i="1"/>
  <c r="R721" i="1"/>
  <c r="Q721" i="1"/>
  <c r="P721" i="1"/>
  <c r="O721" i="1"/>
  <c r="N721" i="1"/>
  <c r="S720" i="1"/>
  <c r="R720" i="1"/>
  <c r="Q720" i="1"/>
  <c r="P720" i="1"/>
  <c r="O720" i="1"/>
  <c r="N720" i="1"/>
  <c r="S719" i="1"/>
  <c r="R719" i="1"/>
  <c r="Q719" i="1"/>
  <c r="P719" i="1"/>
  <c r="O719" i="1"/>
  <c r="N719" i="1"/>
  <c r="S718" i="1"/>
  <c r="R718" i="1"/>
  <c r="Q718" i="1"/>
  <c r="P718" i="1"/>
  <c r="O718" i="1"/>
  <c r="N718" i="1"/>
  <c r="S717" i="1"/>
  <c r="R717" i="1"/>
  <c r="Q717" i="1"/>
  <c r="P717" i="1"/>
  <c r="O717" i="1"/>
  <c r="N717" i="1"/>
  <c r="S716" i="1"/>
  <c r="R716" i="1"/>
  <c r="Q716" i="1"/>
  <c r="P716" i="1"/>
  <c r="O716" i="1"/>
  <c r="N716" i="1"/>
  <c r="S715" i="1"/>
  <c r="R715" i="1"/>
  <c r="Q715" i="1"/>
  <c r="P715" i="1"/>
  <c r="O715" i="1"/>
  <c r="N715" i="1"/>
  <c r="S714" i="1"/>
  <c r="R714" i="1"/>
  <c r="Q714" i="1"/>
  <c r="P714" i="1"/>
  <c r="O714" i="1"/>
  <c r="N714" i="1"/>
  <c r="S713" i="1"/>
  <c r="R713" i="1"/>
  <c r="Q713" i="1"/>
  <c r="P713" i="1"/>
  <c r="O713" i="1"/>
  <c r="N713" i="1"/>
  <c r="S712" i="1"/>
  <c r="R712" i="1"/>
  <c r="Q712" i="1"/>
  <c r="P712" i="1"/>
  <c r="O712" i="1"/>
  <c r="N712" i="1"/>
  <c r="S711" i="1"/>
  <c r="R711" i="1"/>
  <c r="Q711" i="1"/>
  <c r="P711" i="1"/>
  <c r="O711" i="1"/>
  <c r="N711" i="1"/>
  <c r="S710" i="1"/>
  <c r="R710" i="1"/>
  <c r="Q710" i="1"/>
  <c r="P710" i="1"/>
  <c r="O710" i="1"/>
  <c r="N710" i="1"/>
  <c r="S709" i="1"/>
  <c r="R709" i="1"/>
  <c r="Q709" i="1"/>
  <c r="P709" i="1"/>
  <c r="O709" i="1"/>
  <c r="N709" i="1"/>
  <c r="S708" i="1"/>
  <c r="R708" i="1"/>
  <c r="Q708" i="1"/>
  <c r="P708" i="1"/>
  <c r="O708" i="1"/>
  <c r="N708" i="1"/>
  <c r="S707" i="1"/>
  <c r="R707" i="1"/>
  <c r="Q707" i="1"/>
  <c r="P707" i="1"/>
  <c r="O707" i="1"/>
  <c r="N707" i="1"/>
  <c r="S706" i="1"/>
  <c r="R706" i="1"/>
  <c r="Q706" i="1"/>
  <c r="P706" i="1"/>
  <c r="O706" i="1"/>
  <c r="N706" i="1"/>
  <c r="S705" i="1"/>
  <c r="R705" i="1"/>
  <c r="Q705" i="1"/>
  <c r="P705" i="1"/>
  <c r="O705" i="1"/>
  <c r="N705" i="1"/>
  <c r="S704" i="1"/>
  <c r="R704" i="1"/>
  <c r="Q704" i="1"/>
  <c r="P704" i="1"/>
  <c r="O704" i="1"/>
  <c r="N704" i="1"/>
  <c r="S703" i="1"/>
  <c r="R703" i="1"/>
  <c r="Q703" i="1"/>
  <c r="P703" i="1"/>
  <c r="O703" i="1"/>
  <c r="N703" i="1"/>
  <c r="S702" i="1"/>
  <c r="R702" i="1"/>
  <c r="Q702" i="1"/>
  <c r="P702" i="1"/>
  <c r="O702" i="1"/>
  <c r="N702" i="1"/>
  <c r="S701" i="1"/>
  <c r="R701" i="1"/>
  <c r="Q701" i="1"/>
  <c r="P701" i="1"/>
  <c r="O701" i="1"/>
  <c r="N701" i="1"/>
  <c r="S700" i="1"/>
  <c r="R700" i="1"/>
  <c r="Q700" i="1"/>
  <c r="P700" i="1"/>
  <c r="O700" i="1"/>
  <c r="N700" i="1"/>
  <c r="S699" i="1"/>
  <c r="R699" i="1"/>
  <c r="Q699" i="1"/>
  <c r="P699" i="1"/>
  <c r="O699" i="1"/>
  <c r="N699" i="1"/>
  <c r="S698" i="1"/>
  <c r="R698" i="1"/>
  <c r="Q698" i="1"/>
  <c r="P698" i="1"/>
  <c r="O698" i="1"/>
  <c r="N698" i="1"/>
  <c r="S697" i="1"/>
  <c r="R697" i="1"/>
  <c r="Q697" i="1"/>
  <c r="P697" i="1"/>
  <c r="O697" i="1"/>
  <c r="N697" i="1"/>
  <c r="S696" i="1"/>
  <c r="R696" i="1"/>
  <c r="Q696" i="1"/>
  <c r="P696" i="1"/>
  <c r="O696" i="1"/>
  <c r="N696" i="1"/>
  <c r="S695" i="1"/>
  <c r="R695" i="1"/>
  <c r="Q695" i="1"/>
  <c r="P695" i="1"/>
  <c r="O695" i="1"/>
  <c r="N695" i="1"/>
  <c r="S694" i="1"/>
  <c r="R694" i="1"/>
  <c r="Q694" i="1"/>
  <c r="P694" i="1"/>
  <c r="O694" i="1"/>
  <c r="N694" i="1"/>
  <c r="S693" i="1"/>
  <c r="R693" i="1"/>
  <c r="Q693" i="1"/>
  <c r="P693" i="1"/>
  <c r="O693" i="1"/>
  <c r="N693" i="1"/>
  <c r="S692" i="1"/>
  <c r="R692" i="1"/>
  <c r="Q692" i="1"/>
  <c r="P692" i="1"/>
  <c r="O692" i="1"/>
  <c r="N692" i="1"/>
  <c r="S691" i="1"/>
  <c r="R691" i="1"/>
  <c r="Q691" i="1"/>
  <c r="P691" i="1"/>
  <c r="O691" i="1"/>
  <c r="N691" i="1"/>
  <c r="S690" i="1"/>
  <c r="R690" i="1"/>
  <c r="Q690" i="1"/>
  <c r="P690" i="1"/>
  <c r="O690" i="1"/>
  <c r="N690" i="1"/>
  <c r="S689" i="1"/>
  <c r="R689" i="1"/>
  <c r="Q689" i="1"/>
  <c r="P689" i="1"/>
  <c r="O689" i="1"/>
  <c r="N689" i="1"/>
  <c r="S688" i="1"/>
  <c r="R688" i="1"/>
  <c r="Q688" i="1"/>
  <c r="P688" i="1"/>
  <c r="O688" i="1"/>
  <c r="N688" i="1"/>
  <c r="S687" i="1"/>
  <c r="R687" i="1"/>
  <c r="Q687" i="1"/>
  <c r="P687" i="1"/>
  <c r="O687" i="1"/>
  <c r="N687" i="1"/>
  <c r="S686" i="1"/>
  <c r="R686" i="1"/>
  <c r="Q686" i="1"/>
  <c r="P686" i="1"/>
  <c r="O686" i="1"/>
  <c r="N686" i="1"/>
  <c r="S685" i="1"/>
  <c r="R685" i="1"/>
  <c r="Q685" i="1"/>
  <c r="P685" i="1"/>
  <c r="O685" i="1"/>
  <c r="N685" i="1"/>
  <c r="S684" i="1"/>
  <c r="R684" i="1"/>
  <c r="Q684" i="1"/>
  <c r="P684" i="1"/>
  <c r="O684" i="1"/>
  <c r="N684" i="1"/>
  <c r="S683" i="1"/>
  <c r="R683" i="1"/>
  <c r="Q683" i="1"/>
  <c r="P683" i="1"/>
  <c r="O683" i="1"/>
  <c r="N683" i="1"/>
  <c r="S682" i="1"/>
  <c r="R682" i="1"/>
  <c r="Q682" i="1"/>
  <c r="P682" i="1"/>
  <c r="O682" i="1"/>
  <c r="N682" i="1"/>
  <c r="S681" i="1"/>
  <c r="R681" i="1"/>
  <c r="Q681" i="1"/>
  <c r="P681" i="1"/>
  <c r="O681" i="1"/>
  <c r="N681" i="1"/>
  <c r="S680" i="1"/>
  <c r="R680" i="1"/>
  <c r="Q680" i="1"/>
  <c r="P680" i="1"/>
  <c r="O680" i="1"/>
  <c r="N680" i="1"/>
  <c r="S679" i="1"/>
  <c r="R679" i="1"/>
  <c r="Q679" i="1"/>
  <c r="P679" i="1"/>
  <c r="O679" i="1"/>
  <c r="N679" i="1"/>
  <c r="S678" i="1"/>
  <c r="R678" i="1"/>
  <c r="Q678" i="1"/>
  <c r="P678" i="1"/>
  <c r="O678" i="1"/>
  <c r="N678" i="1"/>
  <c r="S677" i="1"/>
  <c r="R677" i="1"/>
  <c r="Q677" i="1"/>
  <c r="P677" i="1"/>
  <c r="O677" i="1"/>
  <c r="N677" i="1"/>
  <c r="S676" i="1"/>
  <c r="R676" i="1"/>
  <c r="Q676" i="1"/>
  <c r="P676" i="1"/>
  <c r="O676" i="1"/>
  <c r="N676" i="1"/>
  <c r="S675" i="1"/>
  <c r="R675" i="1"/>
  <c r="Q675" i="1"/>
  <c r="P675" i="1"/>
  <c r="O675" i="1"/>
  <c r="N675" i="1"/>
  <c r="S674" i="1"/>
  <c r="R674" i="1"/>
  <c r="Q674" i="1"/>
  <c r="P674" i="1"/>
  <c r="O674" i="1"/>
  <c r="N674" i="1"/>
  <c r="S673" i="1"/>
  <c r="R673" i="1"/>
  <c r="Q673" i="1"/>
  <c r="P673" i="1"/>
  <c r="O673" i="1"/>
  <c r="N673" i="1"/>
  <c r="S672" i="1"/>
  <c r="R672" i="1"/>
  <c r="Q672" i="1"/>
  <c r="P672" i="1"/>
  <c r="O672" i="1"/>
  <c r="N672" i="1"/>
  <c r="S671" i="1"/>
  <c r="R671" i="1"/>
  <c r="Q671" i="1"/>
  <c r="P671" i="1"/>
  <c r="O671" i="1"/>
  <c r="N671" i="1"/>
  <c r="S670" i="1"/>
  <c r="R670" i="1"/>
  <c r="Q670" i="1"/>
  <c r="P670" i="1"/>
  <c r="O670" i="1"/>
  <c r="N670" i="1"/>
  <c r="S669" i="1"/>
  <c r="R669" i="1"/>
  <c r="Q669" i="1"/>
  <c r="P669" i="1"/>
  <c r="O669" i="1"/>
  <c r="N669" i="1"/>
  <c r="S668" i="1"/>
  <c r="R668" i="1"/>
  <c r="Q668" i="1"/>
  <c r="P668" i="1"/>
  <c r="O668" i="1"/>
  <c r="N668" i="1"/>
  <c r="S667" i="1"/>
  <c r="R667" i="1"/>
  <c r="Q667" i="1"/>
  <c r="P667" i="1"/>
  <c r="O667" i="1"/>
  <c r="N667" i="1"/>
  <c r="S666" i="1"/>
  <c r="R666" i="1"/>
  <c r="Q666" i="1"/>
  <c r="P666" i="1"/>
  <c r="O666" i="1"/>
  <c r="N666" i="1"/>
  <c r="S665" i="1"/>
  <c r="R665" i="1"/>
  <c r="Q665" i="1"/>
  <c r="P665" i="1"/>
  <c r="O665" i="1"/>
  <c r="N665" i="1"/>
  <c r="S664" i="1"/>
  <c r="R664" i="1"/>
  <c r="Q664" i="1"/>
  <c r="P664" i="1"/>
  <c r="O664" i="1"/>
  <c r="N664" i="1"/>
  <c r="S663" i="1"/>
  <c r="R663" i="1"/>
  <c r="Q663" i="1"/>
  <c r="P663" i="1"/>
  <c r="O663" i="1"/>
  <c r="N663" i="1"/>
  <c r="S662" i="1"/>
  <c r="R662" i="1"/>
  <c r="Q662" i="1"/>
  <c r="P662" i="1"/>
  <c r="O662" i="1"/>
  <c r="N662" i="1"/>
  <c r="S661" i="1"/>
  <c r="R661" i="1"/>
  <c r="Q661" i="1"/>
  <c r="P661" i="1"/>
  <c r="O661" i="1"/>
  <c r="N661" i="1"/>
  <c r="S660" i="1"/>
  <c r="R660" i="1"/>
  <c r="Q660" i="1"/>
  <c r="P660" i="1"/>
  <c r="O660" i="1"/>
  <c r="N660" i="1"/>
  <c r="S659" i="1"/>
  <c r="R659" i="1"/>
  <c r="Q659" i="1"/>
  <c r="P659" i="1"/>
  <c r="O659" i="1"/>
  <c r="N659" i="1"/>
  <c r="S658" i="1"/>
  <c r="R658" i="1"/>
  <c r="Q658" i="1"/>
  <c r="P658" i="1"/>
  <c r="O658" i="1"/>
  <c r="N658" i="1"/>
  <c r="S657" i="1"/>
  <c r="R657" i="1"/>
  <c r="Q657" i="1"/>
  <c r="P657" i="1"/>
  <c r="O657" i="1"/>
  <c r="N657" i="1"/>
  <c r="S656" i="1"/>
  <c r="R656" i="1"/>
  <c r="Q656" i="1"/>
  <c r="P656" i="1"/>
  <c r="O656" i="1"/>
  <c r="N656" i="1"/>
  <c r="S655" i="1"/>
  <c r="R655" i="1"/>
  <c r="Q655" i="1"/>
  <c r="P655" i="1"/>
  <c r="O655" i="1"/>
  <c r="N655" i="1"/>
  <c r="S654" i="1"/>
  <c r="R654" i="1"/>
  <c r="Q654" i="1"/>
  <c r="P654" i="1"/>
  <c r="O654" i="1"/>
  <c r="N654" i="1"/>
  <c r="S653" i="1"/>
  <c r="R653" i="1"/>
  <c r="Q653" i="1"/>
  <c r="P653" i="1"/>
  <c r="O653" i="1"/>
  <c r="N653" i="1"/>
  <c r="S652" i="1"/>
  <c r="R652" i="1"/>
  <c r="Q652" i="1"/>
  <c r="P652" i="1"/>
  <c r="O652" i="1"/>
  <c r="N652" i="1"/>
  <c r="S651" i="1"/>
  <c r="R651" i="1"/>
  <c r="Q651" i="1"/>
  <c r="P651" i="1"/>
  <c r="O651" i="1"/>
  <c r="N651" i="1"/>
  <c r="S650" i="1"/>
  <c r="R650" i="1"/>
  <c r="Q650" i="1"/>
  <c r="P650" i="1"/>
  <c r="O650" i="1"/>
  <c r="N650" i="1"/>
  <c r="S649" i="1"/>
  <c r="R649" i="1"/>
  <c r="Q649" i="1"/>
  <c r="P649" i="1"/>
  <c r="O649" i="1"/>
  <c r="N649" i="1"/>
  <c r="S648" i="1"/>
  <c r="R648" i="1"/>
  <c r="Q648" i="1"/>
  <c r="P648" i="1"/>
  <c r="O648" i="1"/>
  <c r="N648" i="1"/>
  <c r="S647" i="1"/>
  <c r="R647" i="1"/>
  <c r="Q647" i="1"/>
  <c r="P647" i="1"/>
  <c r="O647" i="1"/>
  <c r="N647" i="1"/>
  <c r="S646" i="1"/>
  <c r="R646" i="1"/>
  <c r="Q646" i="1"/>
  <c r="P646" i="1"/>
  <c r="O646" i="1"/>
  <c r="N646" i="1"/>
  <c r="S645" i="1"/>
  <c r="R645" i="1"/>
  <c r="Q645" i="1"/>
  <c r="P645" i="1"/>
  <c r="O645" i="1"/>
  <c r="N645" i="1"/>
  <c r="S644" i="1"/>
  <c r="R644" i="1"/>
  <c r="Q644" i="1"/>
  <c r="P644" i="1"/>
  <c r="O644" i="1"/>
  <c r="N644" i="1"/>
  <c r="S643" i="1"/>
  <c r="R643" i="1"/>
  <c r="Q643" i="1"/>
  <c r="P643" i="1"/>
  <c r="O643" i="1"/>
  <c r="N643" i="1"/>
  <c r="S642" i="1"/>
  <c r="R642" i="1"/>
  <c r="Q642" i="1"/>
  <c r="P642" i="1"/>
  <c r="O642" i="1"/>
  <c r="N642" i="1"/>
  <c r="S641" i="1"/>
  <c r="R641" i="1"/>
  <c r="Q641" i="1"/>
  <c r="P641" i="1"/>
  <c r="O641" i="1"/>
  <c r="N641" i="1"/>
  <c r="S640" i="1"/>
  <c r="R640" i="1"/>
  <c r="Q640" i="1"/>
  <c r="P640" i="1"/>
  <c r="O640" i="1"/>
  <c r="N640" i="1"/>
  <c r="S639" i="1"/>
  <c r="R639" i="1"/>
  <c r="Q639" i="1"/>
  <c r="P639" i="1"/>
  <c r="O639" i="1"/>
  <c r="N639" i="1"/>
  <c r="S638" i="1"/>
  <c r="R638" i="1"/>
  <c r="Q638" i="1"/>
  <c r="P638" i="1"/>
  <c r="O638" i="1"/>
  <c r="N638" i="1"/>
  <c r="S637" i="1"/>
  <c r="R637" i="1"/>
  <c r="Q637" i="1"/>
  <c r="P637" i="1"/>
  <c r="O637" i="1"/>
  <c r="N637" i="1"/>
  <c r="S636" i="1"/>
  <c r="R636" i="1"/>
  <c r="Q636" i="1"/>
  <c r="P636" i="1"/>
  <c r="O636" i="1"/>
  <c r="N636" i="1"/>
  <c r="S635" i="1"/>
  <c r="R635" i="1"/>
  <c r="Q635" i="1"/>
  <c r="P635" i="1"/>
  <c r="O635" i="1"/>
  <c r="N635" i="1"/>
  <c r="S634" i="1"/>
  <c r="R634" i="1"/>
  <c r="Q634" i="1"/>
  <c r="P634" i="1"/>
  <c r="O634" i="1"/>
  <c r="N634" i="1"/>
  <c r="S633" i="1"/>
  <c r="R633" i="1"/>
  <c r="Q633" i="1"/>
  <c r="P633" i="1"/>
  <c r="O633" i="1"/>
  <c r="N633" i="1"/>
  <c r="S632" i="1"/>
  <c r="R632" i="1"/>
  <c r="Q632" i="1"/>
  <c r="P632" i="1"/>
  <c r="O632" i="1"/>
  <c r="N632" i="1"/>
  <c r="S631" i="1"/>
  <c r="R631" i="1"/>
  <c r="Q631" i="1"/>
  <c r="P631" i="1"/>
  <c r="O631" i="1"/>
  <c r="N631" i="1"/>
  <c r="S630" i="1"/>
  <c r="R630" i="1"/>
  <c r="Q630" i="1"/>
  <c r="P630" i="1"/>
  <c r="O630" i="1"/>
  <c r="N630" i="1"/>
  <c r="S629" i="1"/>
  <c r="R629" i="1"/>
  <c r="Q629" i="1"/>
  <c r="P629" i="1"/>
  <c r="O629" i="1"/>
  <c r="N629" i="1"/>
  <c r="S628" i="1"/>
  <c r="R628" i="1"/>
  <c r="Q628" i="1"/>
  <c r="P628" i="1"/>
  <c r="O628" i="1"/>
  <c r="N628" i="1"/>
  <c r="S627" i="1"/>
  <c r="R627" i="1"/>
  <c r="Q627" i="1"/>
  <c r="P627" i="1"/>
  <c r="O627" i="1"/>
  <c r="N627" i="1"/>
  <c r="S626" i="1"/>
  <c r="R626" i="1"/>
  <c r="Q626" i="1"/>
  <c r="P626" i="1"/>
  <c r="O626" i="1"/>
  <c r="N626" i="1"/>
  <c r="S625" i="1"/>
  <c r="R625" i="1"/>
  <c r="Q625" i="1"/>
  <c r="P625" i="1"/>
  <c r="O625" i="1"/>
  <c r="N625" i="1"/>
  <c r="S624" i="1"/>
  <c r="R624" i="1"/>
  <c r="Q624" i="1"/>
  <c r="P624" i="1"/>
  <c r="O624" i="1"/>
  <c r="N624" i="1"/>
  <c r="S623" i="1"/>
  <c r="R623" i="1"/>
  <c r="Q623" i="1"/>
  <c r="P623" i="1"/>
  <c r="O623" i="1"/>
  <c r="N623" i="1"/>
  <c r="S622" i="1"/>
  <c r="R622" i="1"/>
  <c r="Q622" i="1"/>
  <c r="P622" i="1"/>
  <c r="O622" i="1"/>
  <c r="N622" i="1"/>
  <c r="S621" i="1"/>
  <c r="R621" i="1"/>
  <c r="Q621" i="1"/>
  <c r="P621" i="1"/>
  <c r="O621" i="1"/>
  <c r="N621" i="1"/>
  <c r="S620" i="1"/>
  <c r="R620" i="1"/>
  <c r="Q620" i="1"/>
  <c r="P620" i="1"/>
  <c r="O620" i="1"/>
  <c r="N620" i="1"/>
  <c r="S619" i="1"/>
  <c r="R619" i="1"/>
  <c r="Q619" i="1"/>
  <c r="P619" i="1"/>
  <c r="O619" i="1"/>
  <c r="N619" i="1"/>
  <c r="S618" i="1"/>
  <c r="R618" i="1"/>
  <c r="Q618" i="1"/>
  <c r="P618" i="1"/>
  <c r="O618" i="1"/>
  <c r="N618" i="1"/>
  <c r="S617" i="1"/>
  <c r="R617" i="1"/>
  <c r="Q617" i="1"/>
  <c r="P617" i="1"/>
  <c r="O617" i="1"/>
  <c r="N617" i="1"/>
  <c r="S616" i="1"/>
  <c r="R616" i="1"/>
  <c r="Q616" i="1"/>
  <c r="P616" i="1"/>
  <c r="O616" i="1"/>
  <c r="N616" i="1"/>
  <c r="S615" i="1"/>
  <c r="R615" i="1"/>
  <c r="Q615" i="1"/>
  <c r="P615" i="1"/>
  <c r="O615" i="1"/>
  <c r="N615" i="1"/>
  <c r="S614" i="1"/>
  <c r="R614" i="1"/>
  <c r="Q614" i="1"/>
  <c r="P614" i="1"/>
  <c r="O614" i="1"/>
  <c r="N614" i="1"/>
  <c r="S613" i="1"/>
  <c r="R613" i="1"/>
  <c r="Q613" i="1"/>
  <c r="P613" i="1"/>
  <c r="O613" i="1"/>
  <c r="N613" i="1"/>
  <c r="S612" i="1"/>
  <c r="R612" i="1"/>
  <c r="Q612" i="1"/>
  <c r="P612" i="1"/>
  <c r="O612" i="1"/>
  <c r="N612" i="1"/>
  <c r="S611" i="1"/>
  <c r="R611" i="1"/>
  <c r="Q611" i="1"/>
  <c r="P611" i="1"/>
  <c r="O611" i="1"/>
  <c r="N611" i="1"/>
  <c r="S610" i="1"/>
  <c r="R610" i="1"/>
  <c r="Q610" i="1"/>
  <c r="P610" i="1"/>
  <c r="O610" i="1"/>
  <c r="N610" i="1"/>
  <c r="S609" i="1"/>
  <c r="R609" i="1"/>
  <c r="Q609" i="1"/>
  <c r="P609" i="1"/>
  <c r="O609" i="1"/>
  <c r="N609" i="1"/>
  <c r="S608" i="1"/>
  <c r="R608" i="1"/>
  <c r="Q608" i="1"/>
  <c r="P608" i="1"/>
  <c r="O608" i="1"/>
  <c r="N608" i="1"/>
  <c r="S607" i="1"/>
  <c r="R607" i="1"/>
  <c r="Q607" i="1"/>
  <c r="P607" i="1"/>
  <c r="O607" i="1"/>
  <c r="N607" i="1"/>
  <c r="S606" i="1"/>
  <c r="R606" i="1"/>
  <c r="Q606" i="1"/>
  <c r="P606" i="1"/>
  <c r="O606" i="1"/>
  <c r="N606" i="1"/>
  <c r="S605" i="1"/>
  <c r="R605" i="1"/>
  <c r="Q605" i="1"/>
  <c r="P605" i="1"/>
  <c r="O605" i="1"/>
  <c r="N605" i="1"/>
  <c r="S604" i="1"/>
  <c r="R604" i="1"/>
  <c r="Q604" i="1"/>
  <c r="P604" i="1"/>
  <c r="O604" i="1"/>
  <c r="N604" i="1"/>
  <c r="S603" i="1"/>
  <c r="R603" i="1"/>
  <c r="Q603" i="1"/>
  <c r="P603" i="1"/>
  <c r="O603" i="1"/>
  <c r="N603" i="1"/>
  <c r="S602" i="1"/>
  <c r="R602" i="1"/>
  <c r="Q602" i="1"/>
  <c r="P602" i="1"/>
  <c r="O602" i="1"/>
  <c r="N602" i="1"/>
  <c r="S601" i="1"/>
  <c r="R601" i="1"/>
  <c r="Q601" i="1"/>
  <c r="P601" i="1"/>
  <c r="O601" i="1"/>
  <c r="N601" i="1"/>
  <c r="S600" i="1"/>
  <c r="R600" i="1"/>
  <c r="Q600" i="1"/>
  <c r="P600" i="1"/>
  <c r="O600" i="1"/>
  <c r="N600" i="1"/>
  <c r="S599" i="1"/>
  <c r="R599" i="1"/>
  <c r="Q599" i="1"/>
  <c r="P599" i="1"/>
  <c r="O599" i="1"/>
  <c r="N599" i="1"/>
  <c r="S598" i="1"/>
  <c r="R598" i="1"/>
  <c r="Q598" i="1"/>
  <c r="P598" i="1"/>
  <c r="O598" i="1"/>
  <c r="N598" i="1"/>
  <c r="S597" i="1"/>
  <c r="R597" i="1"/>
  <c r="Q597" i="1"/>
  <c r="P597" i="1"/>
  <c r="O597" i="1"/>
  <c r="N597" i="1"/>
  <c r="S596" i="1"/>
  <c r="R596" i="1"/>
  <c r="Q596" i="1"/>
  <c r="P596" i="1"/>
  <c r="O596" i="1"/>
  <c r="N596" i="1"/>
  <c r="S595" i="1"/>
  <c r="R595" i="1"/>
  <c r="Q595" i="1"/>
  <c r="P595" i="1"/>
  <c r="O595" i="1"/>
  <c r="N595" i="1"/>
  <c r="S594" i="1"/>
  <c r="R594" i="1"/>
  <c r="Q594" i="1"/>
  <c r="P594" i="1"/>
  <c r="O594" i="1"/>
  <c r="N594" i="1"/>
  <c r="S593" i="1"/>
  <c r="R593" i="1"/>
  <c r="Q593" i="1"/>
  <c r="P593" i="1"/>
  <c r="O593" i="1"/>
  <c r="N593" i="1"/>
  <c r="S592" i="1"/>
  <c r="R592" i="1"/>
  <c r="Q592" i="1"/>
  <c r="P592" i="1"/>
  <c r="O592" i="1"/>
  <c r="N592" i="1"/>
  <c r="S591" i="1"/>
  <c r="R591" i="1"/>
  <c r="Q591" i="1"/>
  <c r="P591" i="1"/>
  <c r="O591" i="1"/>
  <c r="N591" i="1"/>
  <c r="S590" i="1"/>
  <c r="R590" i="1"/>
  <c r="Q590" i="1"/>
  <c r="P590" i="1"/>
  <c r="O590" i="1"/>
  <c r="N590" i="1"/>
  <c r="S589" i="1"/>
  <c r="R589" i="1"/>
  <c r="Q589" i="1"/>
  <c r="P589" i="1"/>
  <c r="O589" i="1"/>
  <c r="N589" i="1"/>
  <c r="S588" i="1"/>
  <c r="R588" i="1"/>
  <c r="Q588" i="1"/>
  <c r="P588" i="1"/>
  <c r="O588" i="1"/>
  <c r="N588" i="1"/>
  <c r="S587" i="1"/>
  <c r="R587" i="1"/>
  <c r="Q587" i="1"/>
  <c r="P587" i="1"/>
  <c r="O587" i="1"/>
  <c r="N587" i="1"/>
  <c r="S586" i="1"/>
  <c r="R586" i="1"/>
  <c r="Q586" i="1"/>
  <c r="P586" i="1"/>
  <c r="O586" i="1"/>
  <c r="N586" i="1"/>
  <c r="S585" i="1"/>
  <c r="R585" i="1"/>
  <c r="Q585" i="1"/>
  <c r="P585" i="1"/>
  <c r="O585" i="1"/>
  <c r="N585" i="1"/>
  <c r="S584" i="1"/>
  <c r="R584" i="1"/>
  <c r="Q584" i="1"/>
  <c r="P584" i="1"/>
  <c r="O584" i="1"/>
  <c r="N584" i="1"/>
  <c r="S583" i="1"/>
  <c r="R583" i="1"/>
  <c r="Q583" i="1"/>
  <c r="P583" i="1"/>
  <c r="O583" i="1"/>
  <c r="N583" i="1"/>
  <c r="S582" i="1"/>
  <c r="R582" i="1"/>
  <c r="Q582" i="1"/>
  <c r="P582" i="1"/>
  <c r="O582" i="1"/>
  <c r="N582" i="1"/>
  <c r="S581" i="1"/>
  <c r="R581" i="1"/>
  <c r="Q581" i="1"/>
  <c r="P581" i="1"/>
  <c r="O581" i="1"/>
  <c r="N581" i="1"/>
  <c r="S580" i="1"/>
  <c r="R580" i="1"/>
  <c r="Q580" i="1"/>
  <c r="P580" i="1"/>
  <c r="O580" i="1"/>
  <c r="N580" i="1"/>
  <c r="S579" i="1"/>
  <c r="R579" i="1"/>
  <c r="Q579" i="1"/>
  <c r="P579" i="1"/>
  <c r="O579" i="1"/>
  <c r="N579" i="1"/>
  <c r="S578" i="1"/>
  <c r="R578" i="1"/>
  <c r="Q578" i="1"/>
  <c r="P578" i="1"/>
  <c r="O578" i="1"/>
  <c r="N578" i="1"/>
  <c r="S577" i="1"/>
  <c r="R577" i="1"/>
  <c r="Q577" i="1"/>
  <c r="P577" i="1"/>
  <c r="O577" i="1"/>
  <c r="N577" i="1"/>
  <c r="S576" i="1"/>
  <c r="R576" i="1"/>
  <c r="Q576" i="1"/>
  <c r="P576" i="1"/>
  <c r="O576" i="1"/>
  <c r="N576" i="1"/>
  <c r="S575" i="1"/>
  <c r="R575" i="1"/>
  <c r="Q575" i="1"/>
  <c r="P575" i="1"/>
  <c r="O575" i="1"/>
  <c r="N575" i="1"/>
  <c r="S574" i="1"/>
  <c r="R574" i="1"/>
  <c r="Q574" i="1"/>
  <c r="P574" i="1"/>
  <c r="O574" i="1"/>
  <c r="N574" i="1"/>
  <c r="S573" i="1"/>
  <c r="R573" i="1"/>
  <c r="Q573" i="1"/>
  <c r="P573" i="1"/>
  <c r="O573" i="1"/>
  <c r="N573" i="1"/>
  <c r="S572" i="1"/>
  <c r="R572" i="1"/>
  <c r="Q572" i="1"/>
  <c r="P572" i="1"/>
  <c r="O572" i="1"/>
  <c r="N572" i="1"/>
  <c r="S571" i="1"/>
  <c r="R571" i="1"/>
  <c r="Q571" i="1"/>
  <c r="P571" i="1"/>
  <c r="O571" i="1"/>
  <c r="N571" i="1"/>
  <c r="S570" i="1"/>
  <c r="R570" i="1"/>
  <c r="Q570" i="1"/>
  <c r="P570" i="1"/>
  <c r="O570" i="1"/>
  <c r="N570" i="1"/>
  <c r="S569" i="1"/>
  <c r="R569" i="1"/>
  <c r="Q569" i="1"/>
  <c r="P569" i="1"/>
  <c r="O569" i="1"/>
  <c r="N569" i="1"/>
  <c r="S568" i="1"/>
  <c r="R568" i="1"/>
  <c r="Q568" i="1"/>
  <c r="P568" i="1"/>
  <c r="O568" i="1"/>
  <c r="N568" i="1"/>
  <c r="S567" i="1"/>
  <c r="R567" i="1"/>
  <c r="Q567" i="1"/>
  <c r="P567" i="1"/>
  <c r="O567" i="1"/>
  <c r="N567" i="1"/>
  <c r="S566" i="1"/>
  <c r="R566" i="1"/>
  <c r="Q566" i="1"/>
  <c r="P566" i="1"/>
  <c r="O566" i="1"/>
  <c r="N566" i="1"/>
  <c r="S565" i="1"/>
  <c r="R565" i="1"/>
  <c r="Q565" i="1"/>
  <c r="P565" i="1"/>
  <c r="O565" i="1"/>
  <c r="N565" i="1"/>
  <c r="S564" i="1"/>
  <c r="R564" i="1"/>
  <c r="Q564" i="1"/>
  <c r="P564" i="1"/>
  <c r="O564" i="1"/>
  <c r="N564" i="1"/>
  <c r="S563" i="1"/>
  <c r="R563" i="1"/>
  <c r="Q563" i="1"/>
  <c r="P563" i="1"/>
  <c r="O563" i="1"/>
  <c r="N563" i="1"/>
  <c r="S562" i="1"/>
  <c r="R562" i="1"/>
  <c r="Q562" i="1"/>
  <c r="P562" i="1"/>
  <c r="O562" i="1"/>
  <c r="N562" i="1"/>
  <c r="S561" i="1"/>
  <c r="R561" i="1"/>
  <c r="Q561" i="1"/>
  <c r="P561" i="1"/>
  <c r="O561" i="1"/>
  <c r="N561" i="1"/>
  <c r="S560" i="1"/>
  <c r="R560" i="1"/>
  <c r="Q560" i="1"/>
  <c r="P560" i="1"/>
  <c r="O560" i="1"/>
  <c r="N560" i="1"/>
  <c r="S559" i="1"/>
  <c r="R559" i="1"/>
  <c r="Q559" i="1"/>
  <c r="P559" i="1"/>
  <c r="O559" i="1"/>
  <c r="N559" i="1"/>
  <c r="S558" i="1"/>
  <c r="R558" i="1"/>
  <c r="Q558" i="1"/>
  <c r="P558" i="1"/>
  <c r="O558" i="1"/>
  <c r="N558" i="1"/>
  <c r="S557" i="1"/>
  <c r="R557" i="1"/>
  <c r="Q557" i="1"/>
  <c r="P557" i="1"/>
  <c r="O557" i="1"/>
  <c r="N557" i="1"/>
  <c r="S556" i="1"/>
  <c r="R556" i="1"/>
  <c r="Q556" i="1"/>
  <c r="P556" i="1"/>
  <c r="O556" i="1"/>
  <c r="N556" i="1"/>
  <c r="S555" i="1"/>
  <c r="R555" i="1"/>
  <c r="Q555" i="1"/>
  <c r="P555" i="1"/>
  <c r="O555" i="1"/>
  <c r="N555" i="1"/>
  <c r="S554" i="1"/>
  <c r="R554" i="1"/>
  <c r="Q554" i="1"/>
  <c r="P554" i="1"/>
  <c r="O554" i="1"/>
  <c r="N554" i="1"/>
  <c r="S553" i="1"/>
  <c r="R553" i="1"/>
  <c r="Q553" i="1"/>
  <c r="P553" i="1"/>
  <c r="O553" i="1"/>
  <c r="N553" i="1"/>
  <c r="S552" i="1"/>
  <c r="R552" i="1"/>
  <c r="Q552" i="1"/>
  <c r="P552" i="1"/>
  <c r="O552" i="1"/>
  <c r="N552" i="1"/>
  <c r="S551" i="1"/>
  <c r="R551" i="1"/>
  <c r="Q551" i="1"/>
  <c r="P551" i="1"/>
  <c r="O551" i="1"/>
  <c r="N551" i="1"/>
  <c r="S550" i="1"/>
  <c r="R550" i="1"/>
  <c r="Q550" i="1"/>
  <c r="P550" i="1"/>
  <c r="O550" i="1"/>
  <c r="N550" i="1"/>
  <c r="S549" i="1"/>
  <c r="R549" i="1"/>
  <c r="Q549" i="1"/>
  <c r="P549" i="1"/>
  <c r="O549" i="1"/>
  <c r="N549" i="1"/>
  <c r="S548" i="1"/>
  <c r="R548" i="1"/>
  <c r="Q548" i="1"/>
  <c r="P548" i="1"/>
  <c r="O548" i="1"/>
  <c r="N548" i="1"/>
  <c r="S547" i="1"/>
  <c r="R547" i="1"/>
  <c r="Q547" i="1"/>
  <c r="P547" i="1"/>
  <c r="O547" i="1"/>
  <c r="N547" i="1"/>
  <c r="S546" i="1"/>
  <c r="R546" i="1"/>
  <c r="Q546" i="1"/>
  <c r="P546" i="1"/>
  <c r="O546" i="1"/>
  <c r="N546" i="1"/>
  <c r="S545" i="1"/>
  <c r="R545" i="1"/>
  <c r="Q545" i="1"/>
  <c r="P545" i="1"/>
  <c r="O545" i="1"/>
  <c r="N545" i="1"/>
  <c r="S544" i="1"/>
  <c r="R544" i="1"/>
  <c r="Q544" i="1"/>
  <c r="P544" i="1"/>
  <c r="O544" i="1"/>
  <c r="N544" i="1"/>
  <c r="S543" i="1"/>
  <c r="R543" i="1"/>
  <c r="Q543" i="1"/>
  <c r="P543" i="1"/>
  <c r="O543" i="1"/>
  <c r="N543" i="1"/>
  <c r="S542" i="1"/>
  <c r="R542" i="1"/>
  <c r="Q542" i="1"/>
  <c r="P542" i="1"/>
  <c r="O542" i="1"/>
  <c r="N542" i="1"/>
  <c r="S541" i="1"/>
  <c r="R541" i="1"/>
  <c r="Q541" i="1"/>
  <c r="P541" i="1"/>
  <c r="O541" i="1"/>
  <c r="N541" i="1"/>
  <c r="S540" i="1"/>
  <c r="R540" i="1"/>
  <c r="Q540" i="1"/>
  <c r="P540" i="1"/>
  <c r="O540" i="1"/>
  <c r="N540" i="1"/>
  <c r="S539" i="1"/>
  <c r="R539" i="1"/>
  <c r="Q539" i="1"/>
  <c r="P539" i="1"/>
  <c r="O539" i="1"/>
  <c r="N539" i="1"/>
  <c r="S538" i="1"/>
  <c r="R538" i="1"/>
  <c r="Q538" i="1"/>
  <c r="P538" i="1"/>
  <c r="O538" i="1"/>
  <c r="N538" i="1"/>
  <c r="S537" i="1"/>
  <c r="R537" i="1"/>
  <c r="Q537" i="1"/>
  <c r="P537" i="1"/>
  <c r="O537" i="1"/>
  <c r="N537" i="1"/>
  <c r="S536" i="1"/>
  <c r="R536" i="1"/>
  <c r="Q536" i="1"/>
  <c r="P536" i="1"/>
  <c r="O536" i="1"/>
  <c r="N536" i="1"/>
  <c r="S535" i="1"/>
  <c r="R535" i="1"/>
  <c r="Q535" i="1"/>
  <c r="P535" i="1"/>
  <c r="O535" i="1"/>
  <c r="N535" i="1"/>
  <c r="S534" i="1"/>
  <c r="R534" i="1"/>
  <c r="Q534" i="1"/>
  <c r="P534" i="1"/>
  <c r="O534" i="1"/>
  <c r="N534" i="1"/>
  <c r="S533" i="1"/>
  <c r="R533" i="1"/>
  <c r="Q533" i="1"/>
  <c r="P533" i="1"/>
  <c r="O533" i="1"/>
  <c r="N533" i="1"/>
  <c r="S532" i="1"/>
  <c r="R532" i="1"/>
  <c r="Q532" i="1"/>
  <c r="P532" i="1"/>
  <c r="O532" i="1"/>
  <c r="N532" i="1"/>
  <c r="S531" i="1"/>
  <c r="R531" i="1"/>
  <c r="Q531" i="1"/>
  <c r="P531" i="1"/>
  <c r="O531" i="1"/>
  <c r="N531" i="1"/>
  <c r="S530" i="1"/>
  <c r="R530" i="1"/>
  <c r="Q530" i="1"/>
  <c r="P530" i="1"/>
  <c r="O530" i="1"/>
  <c r="N530" i="1"/>
  <c r="S529" i="1"/>
  <c r="R529" i="1"/>
  <c r="Q529" i="1"/>
  <c r="P529" i="1"/>
  <c r="O529" i="1"/>
  <c r="N529" i="1"/>
  <c r="S528" i="1"/>
  <c r="R528" i="1"/>
  <c r="Q528" i="1"/>
  <c r="P528" i="1"/>
  <c r="O528" i="1"/>
  <c r="N528" i="1"/>
  <c r="S527" i="1"/>
  <c r="R527" i="1"/>
  <c r="Q527" i="1"/>
  <c r="P527" i="1"/>
  <c r="O527" i="1"/>
  <c r="N527" i="1"/>
  <c r="S526" i="1"/>
  <c r="R526" i="1"/>
  <c r="Q526" i="1"/>
  <c r="P526" i="1"/>
  <c r="O526" i="1"/>
  <c r="N526" i="1"/>
  <c r="S525" i="1"/>
  <c r="R525" i="1"/>
  <c r="Q525" i="1"/>
  <c r="P525" i="1"/>
  <c r="O525" i="1"/>
  <c r="N525" i="1"/>
  <c r="S524" i="1"/>
  <c r="R524" i="1"/>
  <c r="Q524" i="1"/>
  <c r="P524" i="1"/>
  <c r="O524" i="1"/>
  <c r="N524" i="1"/>
  <c r="S523" i="1"/>
  <c r="R523" i="1"/>
  <c r="Q523" i="1"/>
  <c r="P523" i="1"/>
  <c r="O523" i="1"/>
  <c r="N523" i="1"/>
  <c r="S522" i="1"/>
  <c r="R522" i="1"/>
  <c r="Q522" i="1"/>
  <c r="P522" i="1"/>
  <c r="O522" i="1"/>
  <c r="N522" i="1"/>
  <c r="S521" i="1"/>
  <c r="R521" i="1"/>
  <c r="Q521" i="1"/>
  <c r="P521" i="1"/>
  <c r="O521" i="1"/>
  <c r="N521" i="1"/>
  <c r="S520" i="1"/>
  <c r="R520" i="1"/>
  <c r="Q520" i="1"/>
  <c r="P520" i="1"/>
  <c r="O520" i="1"/>
  <c r="N520" i="1"/>
  <c r="S519" i="1"/>
  <c r="R519" i="1"/>
  <c r="Q519" i="1"/>
  <c r="P519" i="1"/>
  <c r="O519" i="1"/>
  <c r="N519" i="1"/>
  <c r="S518" i="1"/>
  <c r="R518" i="1"/>
  <c r="Q518" i="1"/>
  <c r="P518" i="1"/>
  <c r="O518" i="1"/>
  <c r="N518" i="1"/>
  <c r="S517" i="1"/>
  <c r="R517" i="1"/>
  <c r="Q517" i="1"/>
  <c r="P517" i="1"/>
  <c r="O517" i="1"/>
  <c r="N517" i="1"/>
  <c r="S516" i="1"/>
  <c r="R516" i="1"/>
  <c r="Q516" i="1"/>
  <c r="P516" i="1"/>
  <c r="O516" i="1"/>
  <c r="N516" i="1"/>
  <c r="S515" i="1"/>
  <c r="R515" i="1"/>
  <c r="Q515" i="1"/>
  <c r="P515" i="1"/>
  <c r="O515" i="1"/>
  <c r="N515" i="1"/>
  <c r="S514" i="1"/>
  <c r="R514" i="1"/>
  <c r="Q514" i="1"/>
  <c r="P514" i="1"/>
  <c r="O514" i="1"/>
  <c r="N514" i="1"/>
  <c r="S513" i="1"/>
  <c r="R513" i="1"/>
  <c r="Q513" i="1"/>
  <c r="P513" i="1"/>
  <c r="O513" i="1"/>
  <c r="N513" i="1"/>
  <c r="S512" i="1"/>
  <c r="R512" i="1"/>
  <c r="Q512" i="1"/>
  <c r="P512" i="1"/>
  <c r="O512" i="1"/>
  <c r="N512" i="1"/>
  <c r="S511" i="1"/>
  <c r="R511" i="1"/>
  <c r="Q511" i="1"/>
  <c r="P511" i="1"/>
  <c r="O511" i="1"/>
  <c r="N511" i="1"/>
  <c r="S510" i="1"/>
  <c r="R510" i="1"/>
  <c r="Q510" i="1"/>
  <c r="P510" i="1"/>
  <c r="O510" i="1"/>
  <c r="N510" i="1"/>
  <c r="S509" i="1"/>
  <c r="R509" i="1"/>
  <c r="Q509" i="1"/>
  <c r="P509" i="1"/>
  <c r="O509" i="1"/>
  <c r="N509" i="1"/>
  <c r="S508" i="1"/>
  <c r="R508" i="1"/>
  <c r="Q508" i="1"/>
  <c r="P508" i="1"/>
  <c r="O508" i="1"/>
  <c r="N508" i="1"/>
  <c r="S507" i="1"/>
  <c r="R507" i="1"/>
  <c r="Q507" i="1"/>
  <c r="P507" i="1"/>
  <c r="O507" i="1"/>
  <c r="N507" i="1"/>
  <c r="S506" i="1"/>
  <c r="R506" i="1"/>
  <c r="Q506" i="1"/>
  <c r="P506" i="1"/>
  <c r="O506" i="1"/>
  <c r="N506" i="1"/>
  <c r="S505" i="1"/>
  <c r="R505" i="1"/>
  <c r="Q505" i="1"/>
  <c r="P505" i="1"/>
  <c r="O505" i="1"/>
  <c r="N505" i="1"/>
  <c r="S504" i="1"/>
  <c r="R504" i="1"/>
  <c r="Q504" i="1"/>
  <c r="P504" i="1"/>
  <c r="O504" i="1"/>
  <c r="N504" i="1"/>
  <c r="S503" i="1"/>
  <c r="R503" i="1"/>
  <c r="Q503" i="1"/>
  <c r="P503" i="1"/>
  <c r="O503" i="1"/>
  <c r="N503" i="1"/>
  <c r="S502" i="1"/>
  <c r="R502" i="1"/>
  <c r="Q502" i="1"/>
  <c r="P502" i="1"/>
  <c r="O502" i="1"/>
  <c r="N502" i="1"/>
  <c r="S501" i="1"/>
  <c r="R501" i="1"/>
  <c r="Q501" i="1"/>
  <c r="P501" i="1"/>
  <c r="O501" i="1"/>
  <c r="N501" i="1"/>
  <c r="S500" i="1"/>
  <c r="R500" i="1"/>
  <c r="Q500" i="1"/>
  <c r="P500" i="1"/>
  <c r="O500" i="1"/>
  <c r="N500" i="1"/>
  <c r="S499" i="1"/>
  <c r="R499" i="1"/>
  <c r="Q499" i="1"/>
  <c r="P499" i="1"/>
  <c r="O499" i="1"/>
  <c r="N499" i="1"/>
  <c r="S498" i="1"/>
  <c r="R498" i="1"/>
  <c r="Q498" i="1"/>
  <c r="P498" i="1"/>
  <c r="O498" i="1"/>
  <c r="N498" i="1"/>
  <c r="S497" i="1"/>
  <c r="R497" i="1"/>
  <c r="Q497" i="1"/>
  <c r="P497" i="1"/>
  <c r="O497" i="1"/>
  <c r="N497" i="1"/>
  <c r="S496" i="1"/>
  <c r="R496" i="1"/>
  <c r="Q496" i="1"/>
  <c r="P496" i="1"/>
  <c r="O496" i="1"/>
  <c r="N496" i="1"/>
  <c r="S495" i="1"/>
  <c r="R495" i="1"/>
  <c r="Q495" i="1"/>
  <c r="P495" i="1"/>
  <c r="O495" i="1"/>
  <c r="N495" i="1"/>
  <c r="S494" i="1"/>
  <c r="R494" i="1"/>
  <c r="Q494" i="1"/>
  <c r="P494" i="1"/>
  <c r="O494" i="1"/>
  <c r="N494" i="1"/>
  <c r="S493" i="1"/>
  <c r="R493" i="1"/>
  <c r="Q493" i="1"/>
  <c r="P493" i="1"/>
  <c r="O493" i="1"/>
  <c r="N493" i="1"/>
  <c r="S492" i="1"/>
  <c r="R492" i="1"/>
  <c r="Q492" i="1"/>
  <c r="P492" i="1"/>
  <c r="O492" i="1"/>
  <c r="N492" i="1"/>
  <c r="S491" i="1"/>
  <c r="R491" i="1"/>
  <c r="Q491" i="1"/>
  <c r="P491" i="1"/>
  <c r="O491" i="1"/>
  <c r="N491" i="1"/>
  <c r="S490" i="1"/>
  <c r="R490" i="1"/>
  <c r="Q490" i="1"/>
  <c r="P490" i="1"/>
  <c r="O490" i="1"/>
  <c r="N490" i="1"/>
  <c r="S489" i="1"/>
  <c r="R489" i="1"/>
  <c r="Q489" i="1"/>
  <c r="P489" i="1"/>
  <c r="O489" i="1"/>
  <c r="N489" i="1"/>
  <c r="S488" i="1"/>
  <c r="R488" i="1"/>
  <c r="Q488" i="1"/>
  <c r="P488" i="1"/>
  <c r="O488" i="1"/>
  <c r="N488" i="1"/>
  <c r="S487" i="1"/>
  <c r="R487" i="1"/>
  <c r="Q487" i="1"/>
  <c r="P487" i="1"/>
  <c r="O487" i="1"/>
  <c r="N487" i="1"/>
  <c r="S486" i="1"/>
  <c r="R486" i="1"/>
  <c r="Q486" i="1"/>
  <c r="P486" i="1"/>
  <c r="O486" i="1"/>
  <c r="N486" i="1"/>
  <c r="S485" i="1"/>
  <c r="R485" i="1"/>
  <c r="Q485" i="1"/>
  <c r="P485" i="1"/>
  <c r="O485" i="1"/>
  <c r="N485" i="1"/>
  <c r="S484" i="1"/>
  <c r="R484" i="1"/>
  <c r="Q484" i="1"/>
  <c r="P484" i="1"/>
  <c r="O484" i="1"/>
  <c r="N484" i="1"/>
  <c r="S483" i="1"/>
  <c r="R483" i="1"/>
  <c r="Q483" i="1"/>
  <c r="P483" i="1"/>
  <c r="O483" i="1"/>
  <c r="N483" i="1"/>
  <c r="S482" i="1"/>
  <c r="R482" i="1"/>
  <c r="Q482" i="1"/>
  <c r="P482" i="1"/>
  <c r="O482" i="1"/>
  <c r="N482" i="1"/>
  <c r="S481" i="1"/>
  <c r="R481" i="1"/>
  <c r="Q481" i="1"/>
  <c r="P481" i="1"/>
  <c r="O481" i="1"/>
  <c r="N481" i="1"/>
  <c r="S480" i="1"/>
  <c r="R480" i="1"/>
  <c r="Q480" i="1"/>
  <c r="P480" i="1"/>
  <c r="O480" i="1"/>
  <c r="N480" i="1"/>
  <c r="S479" i="1"/>
  <c r="R479" i="1"/>
  <c r="Q479" i="1"/>
  <c r="P479" i="1"/>
  <c r="O479" i="1"/>
  <c r="N479" i="1"/>
  <c r="S478" i="1"/>
  <c r="R478" i="1"/>
  <c r="Q478" i="1"/>
  <c r="P478" i="1"/>
  <c r="O478" i="1"/>
  <c r="N478" i="1"/>
  <c r="S477" i="1"/>
  <c r="R477" i="1"/>
  <c r="Q477" i="1"/>
  <c r="P477" i="1"/>
  <c r="O477" i="1"/>
  <c r="N477" i="1"/>
  <c r="S476" i="1"/>
  <c r="R476" i="1"/>
  <c r="Q476" i="1"/>
  <c r="P476" i="1"/>
  <c r="O476" i="1"/>
  <c r="N476" i="1"/>
  <c r="S475" i="1"/>
  <c r="R475" i="1"/>
  <c r="Q475" i="1"/>
  <c r="P475" i="1"/>
  <c r="O475" i="1"/>
  <c r="N475" i="1"/>
  <c r="S474" i="1"/>
  <c r="R474" i="1"/>
  <c r="Q474" i="1"/>
  <c r="P474" i="1"/>
  <c r="O474" i="1"/>
  <c r="N474" i="1"/>
  <c r="S473" i="1"/>
  <c r="R473" i="1"/>
  <c r="Q473" i="1"/>
  <c r="P473" i="1"/>
  <c r="O473" i="1"/>
  <c r="N473" i="1"/>
  <c r="S472" i="1"/>
  <c r="R472" i="1"/>
  <c r="Q472" i="1"/>
  <c r="P472" i="1"/>
  <c r="O472" i="1"/>
  <c r="N472" i="1"/>
  <c r="S471" i="1"/>
  <c r="R471" i="1"/>
  <c r="Q471" i="1"/>
  <c r="P471" i="1"/>
  <c r="O471" i="1"/>
  <c r="N471" i="1"/>
  <c r="S470" i="1"/>
  <c r="R470" i="1"/>
  <c r="Q470" i="1"/>
  <c r="P470" i="1"/>
  <c r="O470" i="1"/>
  <c r="N470" i="1"/>
  <c r="S469" i="1"/>
  <c r="R469" i="1"/>
  <c r="Q469" i="1"/>
  <c r="P469" i="1"/>
  <c r="O469" i="1"/>
  <c r="N469" i="1"/>
  <c r="S468" i="1"/>
  <c r="R468" i="1"/>
  <c r="Q468" i="1"/>
  <c r="P468" i="1"/>
  <c r="O468" i="1"/>
  <c r="N468" i="1"/>
  <c r="S467" i="1"/>
  <c r="R467" i="1"/>
  <c r="Q467" i="1"/>
  <c r="P467" i="1"/>
  <c r="O467" i="1"/>
  <c r="N467" i="1"/>
  <c r="S466" i="1"/>
  <c r="R466" i="1"/>
  <c r="Q466" i="1"/>
  <c r="P466" i="1"/>
  <c r="O466" i="1"/>
  <c r="N466" i="1"/>
  <c r="S465" i="1"/>
  <c r="R465" i="1"/>
  <c r="Q465" i="1"/>
  <c r="P465" i="1"/>
  <c r="O465" i="1"/>
  <c r="N465" i="1"/>
  <c r="S464" i="1"/>
  <c r="R464" i="1"/>
  <c r="Q464" i="1"/>
  <c r="P464" i="1"/>
  <c r="O464" i="1"/>
  <c r="N464" i="1"/>
  <c r="S463" i="1"/>
  <c r="R463" i="1"/>
  <c r="Q463" i="1"/>
  <c r="P463" i="1"/>
  <c r="O463" i="1"/>
  <c r="N463" i="1"/>
  <c r="S462" i="1"/>
  <c r="R462" i="1"/>
  <c r="Q462" i="1"/>
  <c r="P462" i="1"/>
  <c r="O462" i="1"/>
  <c r="N462" i="1"/>
  <c r="S461" i="1"/>
  <c r="R461" i="1"/>
  <c r="Q461" i="1"/>
  <c r="P461" i="1"/>
  <c r="O461" i="1"/>
  <c r="N461" i="1"/>
  <c r="S460" i="1"/>
  <c r="R460" i="1"/>
  <c r="Q460" i="1"/>
  <c r="P460" i="1"/>
  <c r="O460" i="1"/>
  <c r="N460" i="1"/>
  <c r="S459" i="1"/>
  <c r="R459" i="1"/>
  <c r="Q459" i="1"/>
  <c r="P459" i="1"/>
  <c r="O459" i="1"/>
  <c r="N459" i="1"/>
  <c r="S458" i="1"/>
  <c r="R458" i="1"/>
  <c r="Q458" i="1"/>
  <c r="P458" i="1"/>
  <c r="O458" i="1"/>
  <c r="N458" i="1"/>
  <c r="S457" i="1"/>
  <c r="R457" i="1"/>
  <c r="Q457" i="1"/>
  <c r="P457" i="1"/>
  <c r="O457" i="1"/>
  <c r="N457" i="1"/>
  <c r="S456" i="1"/>
  <c r="R456" i="1"/>
  <c r="Q456" i="1"/>
  <c r="P456" i="1"/>
  <c r="O456" i="1"/>
  <c r="N456" i="1"/>
  <c r="S455" i="1"/>
  <c r="R455" i="1"/>
  <c r="Q455" i="1"/>
  <c r="P455" i="1"/>
  <c r="O455" i="1"/>
  <c r="N455" i="1"/>
  <c r="S454" i="1"/>
  <c r="R454" i="1"/>
  <c r="Q454" i="1"/>
  <c r="P454" i="1"/>
  <c r="O454" i="1"/>
  <c r="N454" i="1"/>
  <c r="S453" i="1"/>
  <c r="R453" i="1"/>
  <c r="Q453" i="1"/>
  <c r="P453" i="1"/>
  <c r="O453" i="1"/>
  <c r="N453" i="1"/>
  <c r="S452" i="1"/>
  <c r="R452" i="1"/>
  <c r="Q452" i="1"/>
  <c r="P452" i="1"/>
  <c r="O452" i="1"/>
  <c r="N452" i="1"/>
  <c r="S451" i="1"/>
  <c r="R451" i="1"/>
  <c r="Q451" i="1"/>
  <c r="P451" i="1"/>
  <c r="O451" i="1"/>
  <c r="N451" i="1"/>
  <c r="S450" i="1"/>
  <c r="R450" i="1"/>
  <c r="Q450" i="1"/>
  <c r="P450" i="1"/>
  <c r="O450" i="1"/>
  <c r="N450" i="1"/>
  <c r="S449" i="1"/>
  <c r="R449" i="1"/>
  <c r="Q449" i="1"/>
  <c r="P449" i="1"/>
  <c r="O449" i="1"/>
  <c r="N449" i="1"/>
  <c r="S448" i="1"/>
  <c r="R448" i="1"/>
  <c r="Q448" i="1"/>
  <c r="P448" i="1"/>
  <c r="O448" i="1"/>
  <c r="N448" i="1"/>
  <c r="S447" i="1"/>
  <c r="R447" i="1"/>
  <c r="Q447" i="1"/>
  <c r="P447" i="1"/>
  <c r="O447" i="1"/>
  <c r="N447" i="1"/>
  <c r="S446" i="1"/>
  <c r="R446" i="1"/>
  <c r="Q446" i="1"/>
  <c r="P446" i="1"/>
  <c r="O446" i="1"/>
  <c r="N446" i="1"/>
  <c r="S445" i="1"/>
  <c r="R445" i="1"/>
  <c r="Q445" i="1"/>
  <c r="P445" i="1"/>
  <c r="O445" i="1"/>
  <c r="N445" i="1"/>
  <c r="S444" i="1"/>
  <c r="R444" i="1"/>
  <c r="Q444" i="1"/>
  <c r="P444" i="1"/>
  <c r="O444" i="1"/>
  <c r="N444" i="1"/>
  <c r="S443" i="1"/>
  <c r="R443" i="1"/>
  <c r="Q443" i="1"/>
  <c r="P443" i="1"/>
  <c r="O443" i="1"/>
  <c r="N443" i="1"/>
  <c r="S442" i="1"/>
  <c r="R442" i="1"/>
  <c r="Q442" i="1"/>
  <c r="P442" i="1"/>
  <c r="O442" i="1"/>
  <c r="N442" i="1"/>
  <c r="S441" i="1"/>
  <c r="R441" i="1"/>
  <c r="Q441" i="1"/>
  <c r="P441" i="1"/>
  <c r="O441" i="1"/>
  <c r="N441" i="1"/>
  <c r="S440" i="1"/>
  <c r="R440" i="1"/>
  <c r="Q440" i="1"/>
  <c r="P440" i="1"/>
  <c r="O440" i="1"/>
  <c r="N440" i="1"/>
  <c r="S439" i="1"/>
  <c r="R439" i="1"/>
  <c r="Q439" i="1"/>
  <c r="P439" i="1"/>
  <c r="O439" i="1"/>
  <c r="N439" i="1"/>
  <c r="S438" i="1"/>
  <c r="R438" i="1"/>
  <c r="Q438" i="1"/>
  <c r="P438" i="1"/>
  <c r="O438" i="1"/>
  <c r="N438" i="1"/>
  <c r="S437" i="1"/>
  <c r="R437" i="1"/>
  <c r="Q437" i="1"/>
  <c r="P437" i="1"/>
  <c r="O437" i="1"/>
  <c r="N437" i="1"/>
  <c r="S436" i="1"/>
  <c r="R436" i="1"/>
  <c r="Q436" i="1"/>
  <c r="P436" i="1"/>
  <c r="O436" i="1"/>
  <c r="N436" i="1"/>
  <c r="S435" i="1"/>
  <c r="R435" i="1"/>
  <c r="Q435" i="1"/>
  <c r="P435" i="1"/>
  <c r="O435" i="1"/>
  <c r="N435" i="1"/>
  <c r="S434" i="1"/>
  <c r="R434" i="1"/>
  <c r="Q434" i="1"/>
  <c r="P434" i="1"/>
  <c r="O434" i="1"/>
  <c r="N434" i="1"/>
  <c r="S433" i="1"/>
  <c r="R433" i="1"/>
  <c r="Q433" i="1"/>
  <c r="P433" i="1"/>
  <c r="O433" i="1"/>
  <c r="N433" i="1"/>
  <c r="S432" i="1"/>
  <c r="R432" i="1"/>
  <c r="Q432" i="1"/>
  <c r="P432" i="1"/>
  <c r="O432" i="1"/>
  <c r="N432" i="1"/>
  <c r="S431" i="1"/>
  <c r="R431" i="1"/>
  <c r="Q431" i="1"/>
  <c r="P431" i="1"/>
  <c r="O431" i="1"/>
  <c r="N431" i="1"/>
  <c r="S430" i="1"/>
  <c r="R430" i="1"/>
  <c r="Q430" i="1"/>
  <c r="P430" i="1"/>
  <c r="O430" i="1"/>
  <c r="N430" i="1"/>
  <c r="S429" i="1"/>
  <c r="R429" i="1"/>
  <c r="Q429" i="1"/>
  <c r="P429" i="1"/>
  <c r="O429" i="1"/>
  <c r="N429" i="1"/>
  <c r="S428" i="1"/>
  <c r="R428" i="1"/>
  <c r="Q428" i="1"/>
  <c r="P428" i="1"/>
  <c r="O428" i="1"/>
  <c r="N428" i="1"/>
  <c r="S427" i="1"/>
  <c r="R427" i="1"/>
  <c r="Q427" i="1"/>
  <c r="P427" i="1"/>
  <c r="O427" i="1"/>
  <c r="N427" i="1"/>
  <c r="S426" i="1"/>
  <c r="R426" i="1"/>
  <c r="Q426" i="1"/>
  <c r="P426" i="1"/>
  <c r="O426" i="1"/>
  <c r="N426" i="1"/>
  <c r="S425" i="1"/>
  <c r="R425" i="1"/>
  <c r="Q425" i="1"/>
  <c r="P425" i="1"/>
  <c r="O425" i="1"/>
  <c r="N425" i="1"/>
  <c r="S424" i="1"/>
  <c r="R424" i="1"/>
  <c r="Q424" i="1"/>
  <c r="P424" i="1"/>
  <c r="O424" i="1"/>
  <c r="N424" i="1"/>
  <c r="S423" i="1"/>
  <c r="R423" i="1"/>
  <c r="Q423" i="1"/>
  <c r="P423" i="1"/>
  <c r="O423" i="1"/>
  <c r="N423" i="1"/>
  <c r="S422" i="1"/>
  <c r="R422" i="1"/>
  <c r="Q422" i="1"/>
  <c r="P422" i="1"/>
  <c r="O422" i="1"/>
  <c r="N422" i="1"/>
  <c r="S421" i="1"/>
  <c r="R421" i="1"/>
  <c r="Q421" i="1"/>
  <c r="P421" i="1"/>
  <c r="O421" i="1"/>
  <c r="N421" i="1"/>
  <c r="S420" i="1"/>
  <c r="R420" i="1"/>
  <c r="Q420" i="1"/>
  <c r="P420" i="1"/>
  <c r="O420" i="1"/>
  <c r="N420" i="1"/>
  <c r="S419" i="1"/>
  <c r="R419" i="1"/>
  <c r="Q419" i="1"/>
  <c r="P419" i="1"/>
  <c r="O419" i="1"/>
  <c r="N419" i="1"/>
  <c r="S418" i="1"/>
  <c r="R418" i="1"/>
  <c r="Q418" i="1"/>
  <c r="P418" i="1"/>
  <c r="O418" i="1"/>
  <c r="N418" i="1"/>
  <c r="S417" i="1"/>
  <c r="R417" i="1"/>
  <c r="Q417" i="1"/>
  <c r="P417" i="1"/>
  <c r="O417" i="1"/>
  <c r="N417" i="1"/>
  <c r="S416" i="1"/>
  <c r="R416" i="1"/>
  <c r="Q416" i="1"/>
  <c r="P416" i="1"/>
  <c r="O416" i="1"/>
  <c r="N416" i="1"/>
  <c r="S415" i="1"/>
  <c r="R415" i="1"/>
  <c r="Q415" i="1"/>
  <c r="P415" i="1"/>
  <c r="O415" i="1"/>
  <c r="N415" i="1"/>
  <c r="S414" i="1"/>
  <c r="R414" i="1"/>
  <c r="Q414" i="1"/>
  <c r="P414" i="1"/>
  <c r="O414" i="1"/>
  <c r="N414" i="1"/>
  <c r="S413" i="1"/>
  <c r="R413" i="1"/>
  <c r="Q413" i="1"/>
  <c r="P413" i="1"/>
  <c r="O413" i="1"/>
  <c r="N413" i="1"/>
  <c r="S412" i="1"/>
  <c r="R412" i="1"/>
  <c r="Q412" i="1"/>
  <c r="P412" i="1"/>
  <c r="O412" i="1"/>
  <c r="N412" i="1"/>
  <c r="S411" i="1"/>
  <c r="R411" i="1"/>
  <c r="Q411" i="1"/>
  <c r="P411" i="1"/>
  <c r="O411" i="1"/>
  <c r="N411" i="1"/>
  <c r="S410" i="1"/>
  <c r="R410" i="1"/>
  <c r="Q410" i="1"/>
  <c r="P410" i="1"/>
  <c r="O410" i="1"/>
  <c r="N410" i="1"/>
  <c r="S409" i="1"/>
  <c r="R409" i="1"/>
  <c r="Q409" i="1"/>
  <c r="P409" i="1"/>
  <c r="O409" i="1"/>
  <c r="N409" i="1"/>
  <c r="S408" i="1"/>
  <c r="R408" i="1"/>
  <c r="Q408" i="1"/>
  <c r="P408" i="1"/>
  <c r="O408" i="1"/>
  <c r="N408" i="1"/>
  <c r="S407" i="1"/>
  <c r="R407" i="1"/>
  <c r="Q407" i="1"/>
  <c r="P407" i="1"/>
  <c r="O407" i="1"/>
  <c r="N407" i="1"/>
  <c r="S406" i="1"/>
  <c r="R406" i="1"/>
  <c r="Q406" i="1"/>
  <c r="P406" i="1"/>
  <c r="O406" i="1"/>
  <c r="N406" i="1"/>
  <c r="S405" i="1"/>
  <c r="R405" i="1"/>
  <c r="Q405" i="1"/>
  <c r="P405" i="1"/>
  <c r="O405" i="1"/>
  <c r="N405" i="1"/>
  <c r="S404" i="1"/>
  <c r="R404" i="1"/>
  <c r="Q404" i="1"/>
  <c r="P404" i="1"/>
  <c r="O404" i="1"/>
  <c r="N404" i="1"/>
  <c r="S403" i="1"/>
  <c r="R403" i="1"/>
  <c r="Q403" i="1"/>
  <c r="P403" i="1"/>
  <c r="O403" i="1"/>
  <c r="N403" i="1"/>
  <c r="S402" i="1"/>
  <c r="R402" i="1"/>
  <c r="Q402" i="1"/>
  <c r="P402" i="1"/>
  <c r="O402" i="1"/>
  <c r="N402" i="1"/>
  <c r="S401" i="1"/>
  <c r="R401" i="1"/>
  <c r="Q401" i="1"/>
  <c r="P401" i="1"/>
  <c r="O401" i="1"/>
  <c r="N401" i="1"/>
  <c r="S400" i="1"/>
  <c r="R400" i="1"/>
  <c r="Q400" i="1"/>
  <c r="P400" i="1"/>
  <c r="O400" i="1"/>
  <c r="N400" i="1"/>
  <c r="S399" i="1"/>
  <c r="R399" i="1"/>
  <c r="Q399" i="1"/>
  <c r="P399" i="1"/>
  <c r="O399" i="1"/>
  <c r="N399" i="1"/>
  <c r="S398" i="1"/>
  <c r="R398" i="1"/>
  <c r="Q398" i="1"/>
  <c r="P398" i="1"/>
  <c r="O398" i="1"/>
  <c r="N398" i="1"/>
  <c r="S397" i="1"/>
  <c r="R397" i="1"/>
  <c r="Q397" i="1"/>
  <c r="P397" i="1"/>
  <c r="O397" i="1"/>
  <c r="N397" i="1"/>
  <c r="S396" i="1"/>
  <c r="R396" i="1"/>
  <c r="Q396" i="1"/>
  <c r="P396" i="1"/>
  <c r="O396" i="1"/>
  <c r="N396" i="1"/>
  <c r="S395" i="1"/>
  <c r="R395" i="1"/>
  <c r="Q395" i="1"/>
  <c r="P395" i="1"/>
  <c r="O395" i="1"/>
  <c r="N395" i="1"/>
  <c r="S394" i="1"/>
  <c r="R394" i="1"/>
  <c r="Q394" i="1"/>
  <c r="P394" i="1"/>
  <c r="O394" i="1"/>
  <c r="N394" i="1"/>
  <c r="S393" i="1"/>
  <c r="R393" i="1"/>
  <c r="Q393" i="1"/>
  <c r="P393" i="1"/>
  <c r="O393" i="1"/>
  <c r="N393" i="1"/>
  <c r="S392" i="1"/>
  <c r="R392" i="1"/>
  <c r="Q392" i="1"/>
  <c r="P392" i="1"/>
  <c r="O392" i="1"/>
  <c r="N392" i="1"/>
  <c r="S391" i="1"/>
  <c r="R391" i="1"/>
  <c r="Q391" i="1"/>
  <c r="P391" i="1"/>
  <c r="O391" i="1"/>
  <c r="N391" i="1"/>
  <c r="S390" i="1"/>
  <c r="R390" i="1"/>
  <c r="Q390" i="1"/>
  <c r="P390" i="1"/>
  <c r="O390" i="1"/>
  <c r="N390" i="1"/>
  <c r="S389" i="1"/>
  <c r="R389" i="1"/>
  <c r="Q389" i="1"/>
  <c r="P389" i="1"/>
  <c r="O389" i="1"/>
  <c r="N389" i="1"/>
  <c r="S388" i="1"/>
  <c r="R388" i="1"/>
  <c r="Q388" i="1"/>
  <c r="P388" i="1"/>
  <c r="O388" i="1"/>
  <c r="N388" i="1"/>
  <c r="S387" i="1"/>
  <c r="R387" i="1"/>
  <c r="Q387" i="1"/>
  <c r="P387" i="1"/>
  <c r="O387" i="1"/>
  <c r="N387" i="1"/>
  <c r="S386" i="1"/>
  <c r="R386" i="1"/>
  <c r="Q386" i="1"/>
  <c r="P386" i="1"/>
  <c r="O386" i="1"/>
  <c r="N386" i="1"/>
  <c r="S385" i="1"/>
  <c r="R385" i="1"/>
  <c r="Q385" i="1"/>
  <c r="P385" i="1"/>
  <c r="O385" i="1"/>
  <c r="N385" i="1"/>
  <c r="S384" i="1"/>
  <c r="R384" i="1"/>
  <c r="Q384" i="1"/>
  <c r="P384" i="1"/>
  <c r="O384" i="1"/>
  <c r="N384" i="1"/>
  <c r="S383" i="1"/>
  <c r="R383" i="1"/>
  <c r="Q383" i="1"/>
  <c r="P383" i="1"/>
  <c r="O383" i="1"/>
  <c r="N383" i="1"/>
  <c r="S382" i="1"/>
  <c r="R382" i="1"/>
  <c r="Q382" i="1"/>
  <c r="P382" i="1"/>
  <c r="O382" i="1"/>
  <c r="N382" i="1"/>
  <c r="S381" i="1"/>
  <c r="R381" i="1"/>
  <c r="Q381" i="1"/>
  <c r="P381" i="1"/>
  <c r="O381" i="1"/>
  <c r="N381" i="1"/>
  <c r="S380" i="1"/>
  <c r="R380" i="1"/>
  <c r="Q380" i="1"/>
  <c r="P380" i="1"/>
  <c r="O380" i="1"/>
  <c r="N380" i="1"/>
  <c r="S379" i="1"/>
  <c r="R379" i="1"/>
  <c r="Q379" i="1"/>
  <c r="P379" i="1"/>
  <c r="O379" i="1"/>
  <c r="N379" i="1"/>
  <c r="S378" i="1"/>
  <c r="R378" i="1"/>
  <c r="Q378" i="1"/>
  <c r="P378" i="1"/>
  <c r="O378" i="1"/>
  <c r="N378" i="1"/>
  <c r="S377" i="1"/>
  <c r="R377" i="1"/>
  <c r="Q377" i="1"/>
  <c r="P377" i="1"/>
  <c r="O377" i="1"/>
  <c r="N377" i="1"/>
  <c r="S376" i="1"/>
  <c r="R376" i="1"/>
  <c r="Q376" i="1"/>
  <c r="P376" i="1"/>
  <c r="O376" i="1"/>
  <c r="N376" i="1"/>
  <c r="S375" i="1"/>
  <c r="R375" i="1"/>
  <c r="Q375" i="1"/>
  <c r="P375" i="1"/>
  <c r="O375" i="1"/>
  <c r="N375" i="1"/>
  <c r="S374" i="1"/>
  <c r="R374" i="1"/>
  <c r="Q374" i="1"/>
  <c r="P374" i="1"/>
  <c r="O374" i="1"/>
  <c r="N374" i="1"/>
  <c r="S373" i="1"/>
  <c r="R373" i="1"/>
  <c r="Q373" i="1"/>
  <c r="P373" i="1"/>
  <c r="O373" i="1"/>
  <c r="N373" i="1"/>
  <c r="S372" i="1"/>
  <c r="R372" i="1"/>
  <c r="Q372" i="1"/>
  <c r="P372" i="1"/>
  <c r="O372" i="1"/>
  <c r="N372" i="1"/>
  <c r="S371" i="1"/>
  <c r="R371" i="1"/>
  <c r="Q371" i="1"/>
  <c r="P371" i="1"/>
  <c r="O371" i="1"/>
  <c r="N371" i="1"/>
  <c r="S370" i="1"/>
  <c r="R370" i="1"/>
  <c r="Q370" i="1"/>
  <c r="P370" i="1"/>
  <c r="O370" i="1"/>
  <c r="N370" i="1"/>
  <c r="S369" i="1"/>
  <c r="R369" i="1"/>
  <c r="Q369" i="1"/>
  <c r="P369" i="1"/>
  <c r="O369" i="1"/>
  <c r="N369" i="1"/>
  <c r="S368" i="1"/>
  <c r="R368" i="1"/>
  <c r="Q368" i="1"/>
  <c r="P368" i="1"/>
  <c r="O368" i="1"/>
  <c r="N368" i="1"/>
  <c r="S367" i="1"/>
  <c r="R367" i="1"/>
  <c r="Q367" i="1"/>
  <c r="P367" i="1"/>
  <c r="O367" i="1"/>
  <c r="N367" i="1"/>
  <c r="S366" i="1"/>
  <c r="R366" i="1"/>
  <c r="Q366" i="1"/>
  <c r="P366" i="1"/>
  <c r="O366" i="1"/>
  <c r="N366" i="1"/>
  <c r="S365" i="1"/>
  <c r="R365" i="1"/>
  <c r="Q365" i="1"/>
  <c r="P365" i="1"/>
  <c r="O365" i="1"/>
  <c r="N365" i="1"/>
  <c r="S364" i="1"/>
  <c r="R364" i="1"/>
  <c r="Q364" i="1"/>
  <c r="P364" i="1"/>
  <c r="O364" i="1"/>
  <c r="N364" i="1"/>
  <c r="S363" i="1"/>
  <c r="R363" i="1"/>
  <c r="Q363" i="1"/>
  <c r="P363" i="1"/>
  <c r="O363" i="1"/>
  <c r="N363" i="1"/>
  <c r="S362" i="1"/>
  <c r="R362" i="1"/>
  <c r="Q362" i="1"/>
  <c r="P362" i="1"/>
  <c r="O362" i="1"/>
  <c r="N362" i="1"/>
  <c r="S361" i="1"/>
  <c r="R361" i="1"/>
  <c r="Q361" i="1"/>
  <c r="P361" i="1"/>
  <c r="O361" i="1"/>
  <c r="N361" i="1"/>
  <c r="S360" i="1"/>
  <c r="R360" i="1"/>
  <c r="Q360" i="1"/>
  <c r="P360" i="1"/>
  <c r="O360" i="1"/>
  <c r="N360" i="1"/>
  <c r="S359" i="1"/>
  <c r="R359" i="1"/>
  <c r="Q359" i="1"/>
  <c r="P359" i="1"/>
  <c r="O359" i="1"/>
  <c r="N359" i="1"/>
  <c r="S358" i="1"/>
  <c r="R358" i="1"/>
  <c r="Q358" i="1"/>
  <c r="P358" i="1"/>
  <c r="O358" i="1"/>
  <c r="N358" i="1"/>
  <c r="S357" i="1"/>
  <c r="R357" i="1"/>
  <c r="Q357" i="1"/>
  <c r="P357" i="1"/>
  <c r="O357" i="1"/>
  <c r="N357" i="1"/>
  <c r="S356" i="1"/>
  <c r="R356" i="1"/>
  <c r="Q356" i="1"/>
  <c r="P356" i="1"/>
  <c r="O356" i="1"/>
  <c r="N356" i="1"/>
  <c r="S355" i="1"/>
  <c r="R355" i="1"/>
  <c r="Q355" i="1"/>
  <c r="P355" i="1"/>
  <c r="O355" i="1"/>
  <c r="N355" i="1"/>
  <c r="S354" i="1"/>
  <c r="R354" i="1"/>
  <c r="Q354" i="1"/>
  <c r="P354" i="1"/>
  <c r="O354" i="1"/>
  <c r="N354" i="1"/>
  <c r="S353" i="1"/>
  <c r="R353" i="1"/>
  <c r="Q353" i="1"/>
  <c r="P353" i="1"/>
  <c r="O353" i="1"/>
  <c r="N353" i="1"/>
  <c r="S352" i="1"/>
  <c r="R352" i="1"/>
  <c r="Q352" i="1"/>
  <c r="P352" i="1"/>
  <c r="O352" i="1"/>
  <c r="N352" i="1"/>
  <c r="S351" i="1"/>
  <c r="R351" i="1"/>
  <c r="Q351" i="1"/>
  <c r="P351" i="1"/>
  <c r="O351" i="1"/>
  <c r="N351" i="1"/>
  <c r="S350" i="1"/>
  <c r="R350" i="1"/>
  <c r="Q350" i="1"/>
  <c r="P350" i="1"/>
  <c r="O350" i="1"/>
  <c r="N350" i="1"/>
  <c r="S349" i="1"/>
  <c r="R349" i="1"/>
  <c r="Q349" i="1"/>
  <c r="P349" i="1"/>
  <c r="O349" i="1"/>
  <c r="N349" i="1"/>
  <c r="S348" i="1"/>
  <c r="R348" i="1"/>
  <c r="Q348" i="1"/>
  <c r="P348" i="1"/>
  <c r="O348" i="1"/>
  <c r="N348" i="1"/>
  <c r="S347" i="1"/>
  <c r="R347" i="1"/>
  <c r="Q347" i="1"/>
  <c r="P347" i="1"/>
  <c r="O347" i="1"/>
  <c r="N347" i="1"/>
  <c r="S346" i="1"/>
  <c r="R346" i="1"/>
  <c r="Q346" i="1"/>
  <c r="P346" i="1"/>
  <c r="O346" i="1"/>
  <c r="N346" i="1"/>
  <c r="S345" i="1"/>
  <c r="R345" i="1"/>
  <c r="Q345" i="1"/>
  <c r="P345" i="1"/>
  <c r="O345" i="1"/>
  <c r="N345" i="1"/>
  <c r="S344" i="1"/>
  <c r="R344" i="1"/>
  <c r="Q344" i="1"/>
  <c r="P344" i="1"/>
  <c r="O344" i="1"/>
  <c r="N344" i="1"/>
  <c r="S343" i="1"/>
  <c r="R343" i="1"/>
  <c r="Q343" i="1"/>
  <c r="P343" i="1"/>
  <c r="O343" i="1"/>
  <c r="N343" i="1"/>
  <c r="S342" i="1"/>
  <c r="R342" i="1"/>
  <c r="Q342" i="1"/>
  <c r="P342" i="1"/>
  <c r="O342" i="1"/>
  <c r="N342" i="1"/>
  <c r="S341" i="1"/>
  <c r="R341" i="1"/>
  <c r="Q341" i="1"/>
  <c r="P341" i="1"/>
  <c r="O341" i="1"/>
  <c r="N341" i="1"/>
  <c r="S340" i="1"/>
  <c r="R340" i="1"/>
  <c r="Q340" i="1"/>
  <c r="P340" i="1"/>
  <c r="O340" i="1"/>
  <c r="N340" i="1"/>
  <c r="S339" i="1"/>
  <c r="R339" i="1"/>
  <c r="Q339" i="1"/>
  <c r="P339" i="1"/>
  <c r="O339" i="1"/>
  <c r="N339" i="1"/>
  <c r="S338" i="1"/>
  <c r="R338" i="1"/>
  <c r="Q338" i="1"/>
  <c r="P338" i="1"/>
  <c r="O338" i="1"/>
  <c r="N338" i="1"/>
  <c r="S337" i="1"/>
  <c r="R337" i="1"/>
  <c r="Q337" i="1"/>
  <c r="P337" i="1"/>
  <c r="O337" i="1"/>
  <c r="N337" i="1"/>
  <c r="S336" i="1"/>
  <c r="R336" i="1"/>
  <c r="Q336" i="1"/>
  <c r="P336" i="1"/>
  <c r="O336" i="1"/>
  <c r="N336" i="1"/>
  <c r="S335" i="1"/>
  <c r="R335" i="1"/>
  <c r="Q335" i="1"/>
  <c r="P335" i="1"/>
  <c r="O335" i="1"/>
  <c r="N335" i="1"/>
  <c r="S334" i="1"/>
  <c r="R334" i="1"/>
  <c r="Q334" i="1"/>
  <c r="P334" i="1"/>
  <c r="O334" i="1"/>
  <c r="N334" i="1"/>
  <c r="S333" i="1"/>
  <c r="R333" i="1"/>
  <c r="Q333" i="1"/>
  <c r="P333" i="1"/>
  <c r="O333" i="1"/>
  <c r="N333" i="1"/>
  <c r="S332" i="1"/>
  <c r="R332" i="1"/>
  <c r="Q332" i="1"/>
  <c r="P332" i="1"/>
  <c r="O332" i="1"/>
  <c r="N332" i="1"/>
  <c r="S331" i="1"/>
  <c r="R331" i="1"/>
  <c r="Q331" i="1"/>
  <c r="P331" i="1"/>
  <c r="O331" i="1"/>
  <c r="N331" i="1"/>
  <c r="S330" i="1"/>
  <c r="R330" i="1"/>
  <c r="Q330" i="1"/>
  <c r="P330" i="1"/>
  <c r="O330" i="1"/>
  <c r="N330" i="1"/>
  <c r="S329" i="1"/>
  <c r="R329" i="1"/>
  <c r="Q329" i="1"/>
  <c r="P329" i="1"/>
  <c r="O329" i="1"/>
  <c r="N329" i="1"/>
  <c r="S328" i="1"/>
  <c r="R328" i="1"/>
  <c r="Q328" i="1"/>
  <c r="P328" i="1"/>
  <c r="O328" i="1"/>
  <c r="N328" i="1"/>
  <c r="S327" i="1"/>
  <c r="R327" i="1"/>
  <c r="Q327" i="1"/>
  <c r="P327" i="1"/>
  <c r="O327" i="1"/>
  <c r="N327" i="1"/>
  <c r="S326" i="1"/>
  <c r="R326" i="1"/>
  <c r="Q326" i="1"/>
  <c r="P326" i="1"/>
  <c r="O326" i="1"/>
  <c r="N326" i="1"/>
  <c r="S325" i="1"/>
  <c r="R325" i="1"/>
  <c r="Q325" i="1"/>
  <c r="P325" i="1"/>
  <c r="O325" i="1"/>
  <c r="N325" i="1"/>
  <c r="S324" i="1"/>
  <c r="R324" i="1"/>
  <c r="Q324" i="1"/>
  <c r="P324" i="1"/>
  <c r="O324" i="1"/>
  <c r="N324" i="1"/>
  <c r="S323" i="1"/>
  <c r="R323" i="1"/>
  <c r="Q323" i="1"/>
  <c r="P323" i="1"/>
  <c r="O323" i="1"/>
  <c r="N323" i="1"/>
  <c r="S322" i="1"/>
  <c r="R322" i="1"/>
  <c r="Q322" i="1"/>
  <c r="P322" i="1"/>
  <c r="O322" i="1"/>
  <c r="N322" i="1"/>
  <c r="S321" i="1"/>
  <c r="R321" i="1"/>
  <c r="Q321" i="1"/>
  <c r="P321" i="1"/>
  <c r="O321" i="1"/>
  <c r="N321" i="1"/>
  <c r="S320" i="1"/>
  <c r="R320" i="1"/>
  <c r="Q320" i="1"/>
  <c r="P320" i="1"/>
  <c r="O320" i="1"/>
  <c r="N320" i="1"/>
  <c r="S319" i="1"/>
  <c r="R319" i="1"/>
  <c r="Q319" i="1"/>
  <c r="P319" i="1"/>
  <c r="O319" i="1"/>
  <c r="N319" i="1"/>
  <c r="S318" i="1"/>
  <c r="R318" i="1"/>
  <c r="Q318" i="1"/>
  <c r="P318" i="1"/>
  <c r="O318" i="1"/>
  <c r="N318" i="1"/>
  <c r="S317" i="1"/>
  <c r="R317" i="1"/>
  <c r="Q317" i="1"/>
  <c r="P317" i="1"/>
  <c r="O317" i="1"/>
  <c r="N317" i="1"/>
  <c r="S316" i="1"/>
  <c r="R316" i="1"/>
  <c r="Q316" i="1"/>
  <c r="P316" i="1"/>
  <c r="O316" i="1"/>
  <c r="N316" i="1"/>
  <c r="S315" i="1"/>
  <c r="R315" i="1"/>
  <c r="Q315" i="1"/>
  <c r="P315" i="1"/>
  <c r="O315" i="1"/>
  <c r="N315" i="1"/>
  <c r="S314" i="1"/>
  <c r="R314" i="1"/>
  <c r="Q314" i="1"/>
  <c r="P314" i="1"/>
  <c r="O314" i="1"/>
  <c r="N314" i="1"/>
  <c r="S313" i="1"/>
  <c r="R313" i="1"/>
  <c r="Q313" i="1"/>
  <c r="P313" i="1"/>
  <c r="O313" i="1"/>
  <c r="N313" i="1"/>
  <c r="S312" i="1"/>
  <c r="R312" i="1"/>
  <c r="Q312" i="1"/>
  <c r="P312" i="1"/>
  <c r="O312" i="1"/>
  <c r="N312" i="1"/>
  <c r="S311" i="1"/>
  <c r="R311" i="1"/>
  <c r="Q311" i="1"/>
  <c r="P311" i="1"/>
  <c r="O311" i="1"/>
  <c r="N311" i="1"/>
  <c r="S310" i="1"/>
  <c r="R310" i="1"/>
  <c r="Q310" i="1"/>
  <c r="P310" i="1"/>
  <c r="O310" i="1"/>
  <c r="N310" i="1"/>
  <c r="S309" i="1"/>
  <c r="R309" i="1"/>
  <c r="Q309" i="1"/>
  <c r="P309" i="1"/>
  <c r="O309" i="1"/>
  <c r="N309" i="1"/>
  <c r="S308" i="1"/>
  <c r="R308" i="1"/>
  <c r="Q308" i="1"/>
  <c r="P308" i="1"/>
  <c r="O308" i="1"/>
  <c r="N308" i="1"/>
  <c r="S307" i="1"/>
  <c r="R307" i="1"/>
  <c r="Q307" i="1"/>
  <c r="P307" i="1"/>
  <c r="O307" i="1"/>
  <c r="N307" i="1"/>
  <c r="S306" i="1"/>
  <c r="R306" i="1"/>
  <c r="Q306" i="1"/>
  <c r="P306" i="1"/>
  <c r="O306" i="1"/>
  <c r="N306" i="1"/>
  <c r="S305" i="1"/>
  <c r="R305" i="1"/>
  <c r="Q305" i="1"/>
  <c r="P305" i="1"/>
  <c r="O305" i="1"/>
  <c r="N305" i="1"/>
  <c r="S304" i="1"/>
  <c r="R304" i="1"/>
  <c r="Q304" i="1"/>
  <c r="P304" i="1"/>
  <c r="O304" i="1"/>
  <c r="N304" i="1"/>
  <c r="S303" i="1"/>
  <c r="R303" i="1"/>
  <c r="Q303" i="1"/>
  <c r="P303" i="1"/>
  <c r="O303" i="1"/>
  <c r="N303" i="1"/>
  <c r="S302" i="1"/>
  <c r="R302" i="1"/>
  <c r="Q302" i="1"/>
  <c r="P302" i="1"/>
  <c r="O302" i="1"/>
  <c r="N302" i="1"/>
  <c r="S301" i="1"/>
  <c r="R301" i="1"/>
  <c r="Q301" i="1"/>
  <c r="P301" i="1"/>
  <c r="O301" i="1"/>
  <c r="N301" i="1"/>
  <c r="S300" i="1"/>
  <c r="R300" i="1"/>
  <c r="Q300" i="1"/>
  <c r="P300" i="1"/>
  <c r="O300" i="1"/>
  <c r="N300" i="1"/>
  <c r="S299" i="1"/>
  <c r="R299" i="1"/>
  <c r="Q299" i="1"/>
  <c r="P299" i="1"/>
  <c r="O299" i="1"/>
  <c r="N299" i="1"/>
  <c r="S298" i="1"/>
  <c r="R298" i="1"/>
  <c r="Q298" i="1"/>
  <c r="P298" i="1"/>
  <c r="O298" i="1"/>
  <c r="N298" i="1"/>
  <c r="S297" i="1"/>
  <c r="R297" i="1"/>
  <c r="Q297" i="1"/>
  <c r="P297" i="1"/>
  <c r="O297" i="1"/>
  <c r="N297" i="1"/>
  <c r="S296" i="1"/>
  <c r="R296" i="1"/>
  <c r="Q296" i="1"/>
  <c r="P296" i="1"/>
  <c r="O296" i="1"/>
  <c r="N296" i="1"/>
  <c r="S295" i="1"/>
  <c r="R295" i="1"/>
  <c r="Q295" i="1"/>
  <c r="P295" i="1"/>
  <c r="O295" i="1"/>
  <c r="N295" i="1"/>
  <c r="S294" i="1"/>
  <c r="R294" i="1"/>
  <c r="Q294" i="1"/>
  <c r="P294" i="1"/>
  <c r="O294" i="1"/>
  <c r="N294" i="1"/>
  <c r="S293" i="1"/>
  <c r="R293" i="1"/>
  <c r="Q293" i="1"/>
  <c r="P293" i="1"/>
  <c r="O293" i="1"/>
  <c r="N293" i="1"/>
  <c r="S292" i="1"/>
  <c r="R292" i="1"/>
  <c r="Q292" i="1"/>
  <c r="P292" i="1"/>
  <c r="O292" i="1"/>
  <c r="N292" i="1"/>
  <c r="S291" i="1"/>
  <c r="R291" i="1"/>
  <c r="Q291" i="1"/>
  <c r="P291" i="1"/>
  <c r="O291" i="1"/>
  <c r="N291" i="1"/>
  <c r="S290" i="1"/>
  <c r="R290" i="1"/>
  <c r="Q290" i="1"/>
  <c r="P290" i="1"/>
  <c r="O290" i="1"/>
  <c r="N290" i="1"/>
  <c r="S289" i="1"/>
  <c r="R289" i="1"/>
  <c r="Q289" i="1"/>
  <c r="P289" i="1"/>
  <c r="O289" i="1"/>
  <c r="N289" i="1"/>
  <c r="S288" i="1"/>
  <c r="R288" i="1"/>
  <c r="Q288" i="1"/>
  <c r="P288" i="1"/>
  <c r="O288" i="1"/>
  <c r="N288" i="1"/>
  <c r="S287" i="1"/>
  <c r="R287" i="1"/>
  <c r="Q287" i="1"/>
  <c r="P287" i="1"/>
  <c r="O287" i="1"/>
  <c r="N287" i="1"/>
  <c r="S286" i="1"/>
  <c r="R286" i="1"/>
  <c r="Q286" i="1"/>
  <c r="P286" i="1"/>
  <c r="O286" i="1"/>
  <c r="N286" i="1"/>
  <c r="S285" i="1"/>
  <c r="R285" i="1"/>
  <c r="Q285" i="1"/>
  <c r="P285" i="1"/>
  <c r="O285" i="1"/>
  <c r="N285" i="1"/>
  <c r="S284" i="1"/>
  <c r="R284" i="1"/>
  <c r="Q284" i="1"/>
  <c r="P284" i="1"/>
  <c r="O284" i="1"/>
  <c r="N284" i="1"/>
  <c r="S283" i="1"/>
  <c r="R283" i="1"/>
  <c r="Q283" i="1"/>
  <c r="P283" i="1"/>
  <c r="O283" i="1"/>
  <c r="N283" i="1"/>
  <c r="S282" i="1"/>
  <c r="R282" i="1"/>
  <c r="Q282" i="1"/>
  <c r="P282" i="1"/>
  <c r="O282" i="1"/>
  <c r="N282" i="1"/>
  <c r="S281" i="1"/>
  <c r="R281" i="1"/>
  <c r="Q281" i="1"/>
  <c r="P281" i="1"/>
  <c r="O281" i="1"/>
  <c r="N281" i="1"/>
  <c r="S280" i="1"/>
  <c r="R280" i="1"/>
  <c r="Q280" i="1"/>
  <c r="P280" i="1"/>
  <c r="O280" i="1"/>
  <c r="N280" i="1"/>
  <c r="S279" i="1"/>
  <c r="R279" i="1"/>
  <c r="Q279" i="1"/>
  <c r="P279" i="1"/>
  <c r="O279" i="1"/>
  <c r="N279" i="1"/>
  <c r="S278" i="1"/>
  <c r="R278" i="1"/>
  <c r="Q278" i="1"/>
  <c r="P278" i="1"/>
  <c r="O278" i="1"/>
  <c r="N278" i="1"/>
  <c r="S277" i="1"/>
  <c r="R277" i="1"/>
  <c r="Q277" i="1"/>
  <c r="P277" i="1"/>
  <c r="O277" i="1"/>
  <c r="N277" i="1"/>
  <c r="S276" i="1"/>
  <c r="R276" i="1"/>
  <c r="Q276" i="1"/>
  <c r="P276" i="1"/>
  <c r="O276" i="1"/>
  <c r="N276" i="1"/>
  <c r="S275" i="1"/>
  <c r="R275" i="1"/>
  <c r="Q275" i="1"/>
  <c r="P275" i="1"/>
  <c r="O275" i="1"/>
  <c r="N275" i="1"/>
  <c r="S274" i="1"/>
  <c r="R274" i="1"/>
  <c r="Q274" i="1"/>
  <c r="P274" i="1"/>
  <c r="O274" i="1"/>
  <c r="N274" i="1"/>
  <c r="S273" i="1"/>
  <c r="R273" i="1"/>
  <c r="Q273" i="1"/>
  <c r="P273" i="1"/>
  <c r="O273" i="1"/>
  <c r="N273" i="1"/>
  <c r="S272" i="1"/>
  <c r="R272" i="1"/>
  <c r="Q272" i="1"/>
  <c r="P272" i="1"/>
  <c r="O272" i="1"/>
  <c r="N272" i="1"/>
  <c r="S271" i="1"/>
  <c r="R271" i="1"/>
  <c r="Q271" i="1"/>
  <c r="P271" i="1"/>
  <c r="O271" i="1"/>
  <c r="N271" i="1"/>
  <c r="S270" i="1"/>
  <c r="R270" i="1"/>
  <c r="Q270" i="1"/>
  <c r="P270" i="1"/>
  <c r="O270" i="1"/>
  <c r="N270" i="1"/>
  <c r="S269" i="1"/>
  <c r="R269" i="1"/>
  <c r="Q269" i="1"/>
  <c r="P269" i="1"/>
  <c r="O269" i="1"/>
  <c r="N269" i="1"/>
  <c r="S268" i="1"/>
  <c r="R268" i="1"/>
  <c r="Q268" i="1"/>
  <c r="P268" i="1"/>
  <c r="O268" i="1"/>
  <c r="N268" i="1"/>
  <c r="S267" i="1"/>
  <c r="R267" i="1"/>
  <c r="Q267" i="1"/>
  <c r="P267" i="1"/>
  <c r="O267" i="1"/>
  <c r="N267" i="1"/>
  <c r="S266" i="1"/>
  <c r="R266" i="1"/>
  <c r="Q266" i="1"/>
  <c r="P266" i="1"/>
  <c r="O266" i="1"/>
  <c r="N266" i="1"/>
  <c r="S265" i="1"/>
  <c r="R265" i="1"/>
  <c r="Q265" i="1"/>
  <c r="P265" i="1"/>
  <c r="O265" i="1"/>
  <c r="N265" i="1"/>
  <c r="S264" i="1"/>
  <c r="R264" i="1"/>
  <c r="Q264" i="1"/>
  <c r="P264" i="1"/>
  <c r="O264" i="1"/>
  <c r="N264" i="1"/>
  <c r="S263" i="1"/>
  <c r="R263" i="1"/>
  <c r="Q263" i="1"/>
  <c r="P263" i="1"/>
  <c r="O263" i="1"/>
  <c r="N263" i="1"/>
  <c r="S262" i="1"/>
  <c r="R262" i="1"/>
  <c r="Q262" i="1"/>
  <c r="P262" i="1"/>
  <c r="O262" i="1"/>
  <c r="N262" i="1"/>
  <c r="S261" i="1"/>
  <c r="R261" i="1"/>
  <c r="Q261" i="1"/>
  <c r="P261" i="1"/>
  <c r="O261" i="1"/>
  <c r="N261" i="1"/>
  <c r="S260" i="1"/>
  <c r="R260" i="1"/>
  <c r="Q260" i="1"/>
  <c r="P260" i="1"/>
  <c r="O260" i="1"/>
  <c r="N260" i="1"/>
  <c r="S259" i="1"/>
  <c r="R259" i="1"/>
  <c r="Q259" i="1"/>
  <c r="P259" i="1"/>
  <c r="O259" i="1"/>
  <c r="N259" i="1"/>
  <c r="S258" i="1"/>
  <c r="R258" i="1"/>
  <c r="Q258" i="1"/>
  <c r="P258" i="1"/>
  <c r="O258" i="1"/>
  <c r="N258" i="1"/>
  <c r="S257" i="1"/>
  <c r="R257" i="1"/>
  <c r="Q257" i="1"/>
  <c r="P257" i="1"/>
  <c r="O257" i="1"/>
  <c r="N257" i="1"/>
  <c r="S256" i="1"/>
  <c r="R256" i="1"/>
  <c r="Q256" i="1"/>
  <c r="P256" i="1"/>
  <c r="O256" i="1"/>
  <c r="N256" i="1"/>
  <c r="S255" i="1"/>
  <c r="R255" i="1"/>
  <c r="Q255" i="1"/>
  <c r="P255" i="1"/>
  <c r="O255" i="1"/>
  <c r="N255" i="1"/>
  <c r="S254" i="1"/>
  <c r="R254" i="1"/>
  <c r="Q254" i="1"/>
  <c r="P254" i="1"/>
  <c r="O254" i="1"/>
  <c r="N254" i="1"/>
  <c r="S253" i="1"/>
  <c r="R253" i="1"/>
  <c r="Q253" i="1"/>
  <c r="P253" i="1"/>
  <c r="O253" i="1"/>
  <c r="N253" i="1"/>
  <c r="S252" i="1"/>
  <c r="R252" i="1"/>
  <c r="Q252" i="1"/>
  <c r="P252" i="1"/>
  <c r="O252" i="1"/>
  <c r="N252" i="1"/>
  <c r="S251" i="1"/>
  <c r="R251" i="1"/>
  <c r="Q251" i="1"/>
  <c r="P251" i="1"/>
  <c r="O251" i="1"/>
  <c r="N251" i="1"/>
  <c r="S250" i="1"/>
  <c r="R250" i="1"/>
  <c r="Q250" i="1"/>
  <c r="P250" i="1"/>
  <c r="O250" i="1"/>
  <c r="N250" i="1"/>
  <c r="S249" i="1"/>
  <c r="R249" i="1"/>
  <c r="Q249" i="1"/>
  <c r="P249" i="1"/>
  <c r="O249" i="1"/>
  <c r="N249" i="1"/>
  <c r="S248" i="1"/>
  <c r="R248" i="1"/>
  <c r="Q248" i="1"/>
  <c r="P248" i="1"/>
  <c r="O248" i="1"/>
  <c r="N248" i="1"/>
  <c r="S247" i="1"/>
  <c r="R247" i="1"/>
  <c r="Q247" i="1"/>
  <c r="P247" i="1"/>
  <c r="O247" i="1"/>
  <c r="N247" i="1"/>
  <c r="S246" i="1"/>
  <c r="R246" i="1"/>
  <c r="Q246" i="1"/>
  <c r="P246" i="1"/>
  <c r="O246" i="1"/>
  <c r="N246" i="1"/>
  <c r="S245" i="1"/>
  <c r="R245" i="1"/>
  <c r="Q245" i="1"/>
  <c r="P245" i="1"/>
  <c r="O245" i="1"/>
  <c r="N245" i="1"/>
  <c r="S244" i="1"/>
  <c r="R244" i="1"/>
  <c r="Q244" i="1"/>
  <c r="P244" i="1"/>
  <c r="O244" i="1"/>
  <c r="N244" i="1"/>
  <c r="S243" i="1"/>
  <c r="R243" i="1"/>
  <c r="Q243" i="1"/>
  <c r="P243" i="1"/>
  <c r="O243" i="1"/>
  <c r="N243" i="1"/>
  <c r="S242" i="1"/>
  <c r="R242" i="1"/>
  <c r="Q242" i="1"/>
  <c r="P242" i="1"/>
  <c r="O242" i="1"/>
  <c r="N242" i="1"/>
  <c r="S241" i="1"/>
  <c r="R241" i="1"/>
  <c r="Q241" i="1"/>
  <c r="P241" i="1"/>
  <c r="O241" i="1"/>
  <c r="N241" i="1"/>
  <c r="S240" i="1"/>
  <c r="R240" i="1"/>
  <c r="Q240" i="1"/>
  <c r="P240" i="1"/>
  <c r="O240" i="1"/>
  <c r="N240" i="1"/>
  <c r="S239" i="1"/>
  <c r="R239" i="1"/>
  <c r="Q239" i="1"/>
  <c r="P239" i="1"/>
  <c r="O239" i="1"/>
  <c r="N239" i="1"/>
  <c r="S238" i="1"/>
  <c r="R238" i="1"/>
  <c r="Q238" i="1"/>
  <c r="P238" i="1"/>
  <c r="O238" i="1"/>
  <c r="N238" i="1"/>
  <c r="S237" i="1"/>
  <c r="R237" i="1"/>
  <c r="Q237" i="1"/>
  <c r="P237" i="1"/>
  <c r="O237" i="1"/>
  <c r="N237" i="1"/>
  <c r="S236" i="1"/>
  <c r="R236" i="1"/>
  <c r="Q236" i="1"/>
  <c r="P236" i="1"/>
  <c r="O236" i="1"/>
  <c r="N236" i="1"/>
  <c r="S235" i="1"/>
  <c r="R235" i="1"/>
  <c r="Q235" i="1"/>
  <c r="P235" i="1"/>
  <c r="O235" i="1"/>
  <c r="N235" i="1"/>
  <c r="S234" i="1"/>
  <c r="R234" i="1"/>
  <c r="Q234" i="1"/>
  <c r="P234" i="1"/>
  <c r="O234" i="1"/>
  <c r="N234" i="1"/>
  <c r="S233" i="1"/>
  <c r="R233" i="1"/>
  <c r="Q233" i="1"/>
  <c r="P233" i="1"/>
  <c r="O233" i="1"/>
  <c r="N233" i="1"/>
  <c r="S232" i="1"/>
  <c r="R232" i="1"/>
  <c r="Q232" i="1"/>
  <c r="P232" i="1"/>
  <c r="O232" i="1"/>
  <c r="N232" i="1"/>
  <c r="S231" i="1"/>
  <c r="R231" i="1"/>
  <c r="Q231" i="1"/>
  <c r="P231" i="1"/>
  <c r="O231" i="1"/>
  <c r="N231" i="1"/>
  <c r="S230" i="1"/>
  <c r="R230" i="1"/>
  <c r="Q230" i="1"/>
  <c r="P230" i="1"/>
  <c r="O230" i="1"/>
  <c r="N230" i="1"/>
  <c r="S229" i="1"/>
  <c r="R229" i="1"/>
  <c r="Q229" i="1"/>
  <c r="P229" i="1"/>
  <c r="O229" i="1"/>
  <c r="N229" i="1"/>
  <c r="S228" i="1"/>
  <c r="R228" i="1"/>
  <c r="Q228" i="1"/>
  <c r="P228" i="1"/>
  <c r="O228" i="1"/>
  <c r="N228" i="1"/>
  <c r="S227" i="1"/>
  <c r="R227" i="1"/>
  <c r="Q227" i="1"/>
  <c r="P227" i="1"/>
  <c r="O227" i="1"/>
  <c r="N227" i="1"/>
  <c r="S226" i="1"/>
  <c r="R226" i="1"/>
  <c r="Q226" i="1"/>
  <c r="P226" i="1"/>
  <c r="O226" i="1"/>
  <c r="N226" i="1"/>
  <c r="S225" i="1"/>
  <c r="R225" i="1"/>
  <c r="Q225" i="1"/>
  <c r="P225" i="1"/>
  <c r="O225" i="1"/>
  <c r="N225" i="1"/>
  <c r="S224" i="1"/>
  <c r="R224" i="1"/>
  <c r="Q224" i="1"/>
  <c r="P224" i="1"/>
  <c r="O224" i="1"/>
  <c r="N224" i="1"/>
  <c r="S223" i="1"/>
  <c r="R223" i="1"/>
  <c r="Q223" i="1"/>
  <c r="P223" i="1"/>
  <c r="O223" i="1"/>
  <c r="N223" i="1"/>
  <c r="S222" i="1"/>
  <c r="R222" i="1"/>
  <c r="Q222" i="1"/>
  <c r="P222" i="1"/>
  <c r="O222" i="1"/>
  <c r="N222" i="1"/>
  <c r="S221" i="1"/>
  <c r="R221" i="1"/>
  <c r="Q221" i="1"/>
  <c r="P221" i="1"/>
  <c r="O221" i="1"/>
  <c r="N221" i="1"/>
  <c r="S220" i="1"/>
  <c r="R220" i="1"/>
  <c r="Q220" i="1"/>
  <c r="P220" i="1"/>
  <c r="O220" i="1"/>
  <c r="N220" i="1"/>
  <c r="S219" i="1"/>
  <c r="R219" i="1"/>
  <c r="Q219" i="1"/>
  <c r="P219" i="1"/>
  <c r="O219" i="1"/>
  <c r="N219" i="1"/>
  <c r="S218" i="1"/>
  <c r="R218" i="1"/>
  <c r="Q218" i="1"/>
  <c r="P218" i="1"/>
  <c r="O218" i="1"/>
  <c r="N218" i="1"/>
  <c r="S217" i="1"/>
  <c r="R217" i="1"/>
  <c r="Q217" i="1"/>
  <c r="P217" i="1"/>
  <c r="O217" i="1"/>
  <c r="N217" i="1"/>
  <c r="S216" i="1"/>
  <c r="R216" i="1"/>
  <c r="Q216" i="1"/>
  <c r="P216" i="1"/>
  <c r="O216" i="1"/>
  <c r="N216" i="1"/>
  <c r="S215" i="1"/>
  <c r="R215" i="1"/>
  <c r="Q215" i="1"/>
  <c r="P215" i="1"/>
  <c r="O215" i="1"/>
  <c r="N215" i="1"/>
  <c r="S214" i="1"/>
  <c r="R214" i="1"/>
  <c r="Q214" i="1"/>
  <c r="P214" i="1"/>
  <c r="O214" i="1"/>
  <c r="N214" i="1"/>
  <c r="S213" i="1"/>
  <c r="R213" i="1"/>
  <c r="Q213" i="1"/>
  <c r="P213" i="1"/>
  <c r="O213" i="1"/>
  <c r="N213" i="1"/>
  <c r="S212" i="1"/>
  <c r="R212" i="1"/>
  <c r="Q212" i="1"/>
  <c r="P212" i="1"/>
  <c r="O212" i="1"/>
  <c r="N212" i="1"/>
  <c r="S211" i="1"/>
  <c r="R211" i="1"/>
  <c r="Q211" i="1"/>
  <c r="P211" i="1"/>
  <c r="O211" i="1"/>
  <c r="N211" i="1"/>
  <c r="S210" i="1"/>
  <c r="R210" i="1"/>
  <c r="Q210" i="1"/>
  <c r="P210" i="1"/>
  <c r="O210" i="1"/>
  <c r="N210" i="1"/>
  <c r="S209" i="1"/>
  <c r="R209" i="1"/>
  <c r="Q209" i="1"/>
  <c r="P209" i="1"/>
  <c r="O209" i="1"/>
  <c r="N209" i="1"/>
  <c r="S208" i="1"/>
  <c r="R208" i="1"/>
  <c r="Q208" i="1"/>
  <c r="P208" i="1"/>
  <c r="O208" i="1"/>
  <c r="N208" i="1"/>
  <c r="S207" i="1"/>
  <c r="R207" i="1"/>
  <c r="Q207" i="1"/>
  <c r="P207" i="1"/>
  <c r="O207" i="1"/>
  <c r="N207" i="1"/>
  <c r="S206" i="1"/>
  <c r="R206" i="1"/>
  <c r="Q206" i="1"/>
  <c r="P206" i="1"/>
  <c r="O206" i="1"/>
  <c r="N206" i="1"/>
  <c r="S205" i="1"/>
  <c r="R205" i="1"/>
  <c r="Q205" i="1"/>
  <c r="P205" i="1"/>
  <c r="O205" i="1"/>
  <c r="N205" i="1"/>
  <c r="S204" i="1"/>
  <c r="R204" i="1"/>
  <c r="Q204" i="1"/>
  <c r="P204" i="1"/>
  <c r="O204" i="1"/>
  <c r="N204" i="1"/>
  <c r="S203" i="1"/>
  <c r="R203" i="1"/>
  <c r="Q203" i="1"/>
  <c r="P203" i="1"/>
  <c r="O203" i="1"/>
  <c r="N203" i="1"/>
  <c r="S202" i="1"/>
  <c r="R202" i="1"/>
  <c r="Q202" i="1"/>
  <c r="P202" i="1"/>
  <c r="O202" i="1"/>
  <c r="N202" i="1"/>
  <c r="S201" i="1"/>
  <c r="R201" i="1"/>
  <c r="Q201" i="1"/>
  <c r="P201" i="1"/>
  <c r="O201" i="1"/>
  <c r="N201" i="1"/>
  <c r="S200" i="1"/>
  <c r="R200" i="1"/>
  <c r="Q200" i="1"/>
  <c r="P200" i="1"/>
  <c r="O200" i="1"/>
  <c r="N200" i="1"/>
  <c r="S199" i="1"/>
  <c r="R199" i="1"/>
  <c r="Q199" i="1"/>
  <c r="P199" i="1"/>
  <c r="O199" i="1"/>
  <c r="N199" i="1"/>
  <c r="S198" i="1"/>
  <c r="R198" i="1"/>
  <c r="Q198" i="1"/>
  <c r="P198" i="1"/>
  <c r="O198" i="1"/>
  <c r="N198" i="1"/>
  <c r="S197" i="1"/>
  <c r="R197" i="1"/>
  <c r="Q197" i="1"/>
  <c r="P197" i="1"/>
  <c r="O197" i="1"/>
  <c r="N197" i="1"/>
  <c r="S196" i="1"/>
  <c r="R196" i="1"/>
  <c r="Q196" i="1"/>
  <c r="P196" i="1"/>
  <c r="O196" i="1"/>
  <c r="N196" i="1"/>
  <c r="S195" i="1"/>
  <c r="R195" i="1"/>
  <c r="Q195" i="1"/>
  <c r="P195" i="1"/>
  <c r="O195" i="1"/>
  <c r="N195" i="1"/>
  <c r="S194" i="1"/>
  <c r="R194" i="1"/>
  <c r="Q194" i="1"/>
  <c r="P194" i="1"/>
  <c r="O194" i="1"/>
  <c r="N194" i="1"/>
  <c r="S193" i="1"/>
  <c r="R193" i="1"/>
  <c r="Q193" i="1"/>
  <c r="P193" i="1"/>
  <c r="O193" i="1"/>
  <c r="N193" i="1"/>
  <c r="S192" i="1"/>
  <c r="R192" i="1"/>
  <c r="Q192" i="1"/>
  <c r="P192" i="1"/>
  <c r="O192" i="1"/>
  <c r="N192" i="1"/>
  <c r="S191" i="1"/>
  <c r="R191" i="1"/>
  <c r="Q191" i="1"/>
  <c r="P191" i="1"/>
  <c r="O191" i="1"/>
  <c r="N191" i="1"/>
  <c r="S190" i="1"/>
  <c r="R190" i="1"/>
  <c r="Q190" i="1"/>
  <c r="P190" i="1"/>
  <c r="O190" i="1"/>
  <c r="N190" i="1"/>
  <c r="S189" i="1"/>
  <c r="R189" i="1"/>
  <c r="Q189" i="1"/>
  <c r="P189" i="1"/>
  <c r="O189" i="1"/>
  <c r="N189" i="1"/>
  <c r="S188" i="1"/>
  <c r="R188" i="1"/>
  <c r="Q188" i="1"/>
  <c r="P188" i="1"/>
  <c r="O188" i="1"/>
  <c r="N188" i="1"/>
  <c r="S187" i="1"/>
  <c r="R187" i="1"/>
  <c r="Q187" i="1"/>
  <c r="P187" i="1"/>
  <c r="O187" i="1"/>
  <c r="N187" i="1"/>
  <c r="S186" i="1"/>
  <c r="R186" i="1"/>
  <c r="Q186" i="1"/>
  <c r="P186" i="1"/>
  <c r="O186" i="1"/>
  <c r="N186" i="1"/>
  <c r="S185" i="1"/>
  <c r="R185" i="1"/>
  <c r="Q185" i="1"/>
  <c r="P185" i="1"/>
  <c r="O185" i="1"/>
  <c r="N185" i="1"/>
  <c r="S184" i="1"/>
  <c r="R184" i="1"/>
  <c r="Q184" i="1"/>
  <c r="P184" i="1"/>
  <c r="O184" i="1"/>
  <c r="N184" i="1"/>
  <c r="S183" i="1"/>
  <c r="R183" i="1"/>
  <c r="Q183" i="1"/>
  <c r="P183" i="1"/>
  <c r="O183" i="1"/>
  <c r="N183" i="1"/>
  <c r="S182" i="1"/>
  <c r="R182" i="1"/>
  <c r="Q182" i="1"/>
  <c r="P182" i="1"/>
  <c r="O182" i="1"/>
  <c r="N182" i="1"/>
  <c r="S181" i="1"/>
  <c r="R181" i="1"/>
  <c r="Q181" i="1"/>
  <c r="P181" i="1"/>
  <c r="O181" i="1"/>
  <c r="N181" i="1"/>
  <c r="S180" i="1"/>
  <c r="R180" i="1"/>
  <c r="Q180" i="1"/>
  <c r="P180" i="1"/>
  <c r="O180" i="1"/>
  <c r="N180" i="1"/>
  <c r="S179" i="1"/>
  <c r="R179" i="1"/>
  <c r="Q179" i="1"/>
  <c r="P179" i="1"/>
  <c r="O179" i="1"/>
  <c r="N179" i="1"/>
  <c r="S178" i="1"/>
  <c r="R178" i="1"/>
  <c r="Q178" i="1"/>
  <c r="P178" i="1"/>
  <c r="O178" i="1"/>
  <c r="N178" i="1"/>
  <c r="S177" i="1"/>
  <c r="R177" i="1"/>
  <c r="Q177" i="1"/>
  <c r="P177" i="1"/>
  <c r="O177" i="1"/>
  <c r="N177" i="1"/>
  <c r="S176" i="1"/>
  <c r="R176" i="1"/>
  <c r="Q176" i="1"/>
  <c r="P176" i="1"/>
  <c r="O176" i="1"/>
  <c r="N176" i="1"/>
  <c r="S175" i="1"/>
  <c r="R175" i="1"/>
  <c r="Q175" i="1"/>
  <c r="P175" i="1"/>
  <c r="O175" i="1"/>
  <c r="N175" i="1"/>
  <c r="S174" i="1"/>
  <c r="R174" i="1"/>
  <c r="Q174" i="1"/>
  <c r="P174" i="1"/>
  <c r="O174" i="1"/>
  <c r="N174" i="1"/>
  <c r="S173" i="1"/>
  <c r="R173" i="1"/>
  <c r="Q173" i="1"/>
  <c r="P173" i="1"/>
  <c r="O173" i="1"/>
  <c r="N173" i="1"/>
  <c r="S172" i="1"/>
  <c r="R172" i="1"/>
  <c r="Q172" i="1"/>
  <c r="P172" i="1"/>
  <c r="O172" i="1"/>
  <c r="N172" i="1"/>
  <c r="S171" i="1"/>
  <c r="R171" i="1"/>
  <c r="Q171" i="1"/>
  <c r="P171" i="1"/>
  <c r="O171" i="1"/>
  <c r="N171" i="1"/>
  <c r="S170" i="1"/>
  <c r="R170" i="1"/>
  <c r="Q170" i="1"/>
  <c r="P170" i="1"/>
  <c r="O170" i="1"/>
  <c r="N170" i="1"/>
  <c r="S169" i="1"/>
  <c r="R169" i="1"/>
  <c r="Q169" i="1"/>
  <c r="P169" i="1"/>
  <c r="O169" i="1"/>
  <c r="N169" i="1"/>
  <c r="S168" i="1"/>
  <c r="R168" i="1"/>
  <c r="Q168" i="1"/>
  <c r="P168" i="1"/>
  <c r="O168" i="1"/>
  <c r="N168" i="1"/>
  <c r="S167" i="1"/>
  <c r="R167" i="1"/>
  <c r="Q167" i="1"/>
  <c r="P167" i="1"/>
  <c r="O167" i="1"/>
  <c r="N167" i="1"/>
  <c r="S166" i="1"/>
  <c r="R166" i="1"/>
  <c r="Q166" i="1"/>
  <c r="P166" i="1"/>
  <c r="O166" i="1"/>
  <c r="N166" i="1"/>
  <c r="S165" i="1"/>
  <c r="R165" i="1"/>
  <c r="Q165" i="1"/>
  <c r="P165" i="1"/>
  <c r="O165" i="1"/>
  <c r="N165" i="1"/>
  <c r="S164" i="1"/>
  <c r="R164" i="1"/>
  <c r="Q164" i="1"/>
  <c r="P164" i="1"/>
  <c r="O164" i="1"/>
  <c r="N164" i="1"/>
  <c r="S163" i="1"/>
  <c r="R163" i="1"/>
  <c r="Q163" i="1"/>
  <c r="P163" i="1"/>
  <c r="O163" i="1"/>
  <c r="N163" i="1"/>
  <c r="S162" i="1"/>
  <c r="R162" i="1"/>
  <c r="Q162" i="1"/>
  <c r="P162" i="1"/>
  <c r="O162" i="1"/>
  <c r="N162" i="1"/>
  <c r="S161" i="1"/>
  <c r="R161" i="1"/>
  <c r="Q161" i="1"/>
  <c r="P161" i="1"/>
  <c r="O161" i="1"/>
  <c r="N161" i="1"/>
  <c r="S160" i="1"/>
  <c r="R160" i="1"/>
  <c r="Q160" i="1"/>
  <c r="P160" i="1"/>
  <c r="O160" i="1"/>
  <c r="N160" i="1"/>
  <c r="S159" i="1"/>
  <c r="R159" i="1"/>
  <c r="Q159" i="1"/>
  <c r="P159" i="1"/>
  <c r="O159" i="1"/>
  <c r="N159" i="1"/>
  <c r="S158" i="1"/>
  <c r="R158" i="1"/>
  <c r="Q158" i="1"/>
  <c r="P158" i="1"/>
  <c r="O158" i="1"/>
  <c r="N158" i="1"/>
  <c r="S157" i="1"/>
  <c r="R157" i="1"/>
  <c r="Q157" i="1"/>
  <c r="P157" i="1"/>
  <c r="O157" i="1"/>
  <c r="N157" i="1"/>
  <c r="S156" i="1"/>
  <c r="R156" i="1"/>
  <c r="Q156" i="1"/>
  <c r="P156" i="1"/>
  <c r="O156" i="1"/>
  <c r="N156" i="1"/>
  <c r="S155" i="1"/>
  <c r="R155" i="1"/>
  <c r="Q155" i="1"/>
  <c r="P155" i="1"/>
  <c r="O155" i="1"/>
  <c r="N155" i="1"/>
  <c r="S154" i="1"/>
  <c r="R154" i="1"/>
  <c r="Q154" i="1"/>
  <c r="P154" i="1"/>
  <c r="O154" i="1"/>
  <c r="N154" i="1"/>
  <c r="S153" i="1"/>
  <c r="R153" i="1"/>
  <c r="Q153" i="1"/>
  <c r="P153" i="1"/>
  <c r="O153" i="1"/>
  <c r="N153" i="1"/>
  <c r="S152" i="1"/>
  <c r="R152" i="1"/>
  <c r="Q152" i="1"/>
  <c r="P152" i="1"/>
  <c r="O152" i="1"/>
  <c r="N152" i="1"/>
  <c r="S151" i="1"/>
  <c r="R151" i="1"/>
  <c r="Q151" i="1"/>
  <c r="P151" i="1"/>
  <c r="O151" i="1"/>
  <c r="N151" i="1"/>
  <c r="S150" i="1"/>
  <c r="R150" i="1"/>
  <c r="Q150" i="1"/>
  <c r="P150" i="1"/>
  <c r="O150" i="1"/>
  <c r="N150" i="1"/>
  <c r="S149" i="1"/>
  <c r="R149" i="1"/>
  <c r="Q149" i="1"/>
  <c r="P149" i="1"/>
  <c r="O149" i="1"/>
  <c r="N149" i="1"/>
  <c r="S148" i="1"/>
  <c r="R148" i="1"/>
  <c r="Q148" i="1"/>
  <c r="P148" i="1"/>
  <c r="O148" i="1"/>
  <c r="N148" i="1"/>
  <c r="S147" i="1"/>
  <c r="R147" i="1"/>
  <c r="Q147" i="1"/>
  <c r="P147" i="1"/>
  <c r="O147" i="1"/>
  <c r="N147" i="1"/>
  <c r="S146" i="1"/>
  <c r="R146" i="1"/>
  <c r="Q146" i="1"/>
  <c r="P146" i="1"/>
  <c r="O146" i="1"/>
  <c r="N146" i="1"/>
  <c r="S145" i="1"/>
  <c r="R145" i="1"/>
  <c r="Q145" i="1"/>
  <c r="P145" i="1"/>
  <c r="O145" i="1"/>
  <c r="N145" i="1"/>
  <c r="S144" i="1"/>
  <c r="R144" i="1"/>
  <c r="Q144" i="1"/>
  <c r="P144" i="1"/>
  <c r="O144" i="1"/>
  <c r="N144" i="1"/>
  <c r="S143" i="1"/>
  <c r="R143" i="1"/>
  <c r="Q143" i="1"/>
  <c r="P143" i="1"/>
  <c r="O143" i="1"/>
  <c r="N143" i="1"/>
  <c r="S142" i="1"/>
  <c r="R142" i="1"/>
  <c r="Q142" i="1"/>
  <c r="P142" i="1"/>
  <c r="O142" i="1"/>
  <c r="N142" i="1"/>
  <c r="S141" i="1"/>
  <c r="R141" i="1"/>
  <c r="Q141" i="1"/>
  <c r="P141" i="1"/>
  <c r="O141" i="1"/>
  <c r="N141" i="1"/>
  <c r="S140" i="1"/>
  <c r="R140" i="1"/>
  <c r="Q140" i="1"/>
  <c r="P140" i="1"/>
  <c r="O140" i="1"/>
  <c r="N140" i="1"/>
  <c r="S139" i="1"/>
  <c r="R139" i="1"/>
  <c r="Q139" i="1"/>
  <c r="P139" i="1"/>
  <c r="O139" i="1"/>
  <c r="N139" i="1"/>
  <c r="S138" i="1"/>
  <c r="R138" i="1"/>
  <c r="Q138" i="1"/>
  <c r="P138" i="1"/>
  <c r="O138" i="1"/>
  <c r="N138" i="1"/>
  <c r="S137" i="1"/>
  <c r="R137" i="1"/>
  <c r="Q137" i="1"/>
  <c r="P137" i="1"/>
  <c r="O137" i="1"/>
  <c r="N137" i="1"/>
  <c r="S136" i="1"/>
  <c r="R136" i="1"/>
  <c r="Q136" i="1"/>
  <c r="P136" i="1"/>
  <c r="O136" i="1"/>
  <c r="N136" i="1"/>
  <c r="S135" i="1"/>
  <c r="R135" i="1"/>
  <c r="Q135" i="1"/>
  <c r="P135" i="1"/>
  <c r="O135" i="1"/>
  <c r="N135" i="1"/>
  <c r="S134" i="1"/>
  <c r="R134" i="1"/>
  <c r="Q134" i="1"/>
  <c r="P134" i="1"/>
  <c r="O134" i="1"/>
  <c r="N134" i="1"/>
  <c r="S133" i="1"/>
  <c r="R133" i="1"/>
  <c r="Q133" i="1"/>
  <c r="P133" i="1"/>
  <c r="O133" i="1"/>
  <c r="N133" i="1"/>
  <c r="S132" i="1"/>
  <c r="R132" i="1"/>
  <c r="Q132" i="1"/>
  <c r="P132" i="1"/>
  <c r="O132" i="1"/>
  <c r="N132" i="1"/>
  <c r="S131" i="1"/>
  <c r="R131" i="1"/>
  <c r="Q131" i="1"/>
  <c r="P131" i="1"/>
  <c r="O131" i="1"/>
  <c r="N131" i="1"/>
  <c r="S130" i="1"/>
  <c r="R130" i="1"/>
  <c r="Q130" i="1"/>
  <c r="P130" i="1"/>
  <c r="O130" i="1"/>
  <c r="N130" i="1"/>
  <c r="S129" i="1"/>
  <c r="R129" i="1"/>
  <c r="Q129" i="1"/>
  <c r="P129" i="1"/>
  <c r="O129" i="1"/>
  <c r="N129" i="1"/>
  <c r="S128" i="1"/>
  <c r="R128" i="1"/>
  <c r="Q128" i="1"/>
  <c r="P128" i="1"/>
  <c r="O128" i="1"/>
  <c r="N128" i="1"/>
  <c r="S127" i="1"/>
  <c r="R127" i="1"/>
  <c r="Q127" i="1"/>
  <c r="P127" i="1"/>
  <c r="O127" i="1"/>
  <c r="N127" i="1"/>
  <c r="S126" i="1"/>
  <c r="R126" i="1"/>
  <c r="Q126" i="1"/>
  <c r="P126" i="1"/>
  <c r="O126" i="1"/>
  <c r="N126" i="1"/>
  <c r="S125" i="1"/>
  <c r="R125" i="1"/>
  <c r="Q125" i="1"/>
  <c r="P125" i="1"/>
  <c r="O125" i="1"/>
  <c r="N125" i="1"/>
  <c r="S124" i="1"/>
  <c r="R124" i="1"/>
  <c r="Q124" i="1"/>
  <c r="P124" i="1"/>
  <c r="O124" i="1"/>
  <c r="N124" i="1"/>
  <c r="S123" i="1"/>
  <c r="R123" i="1"/>
  <c r="Q123" i="1"/>
  <c r="P123" i="1"/>
  <c r="O123" i="1"/>
  <c r="N123" i="1"/>
  <c r="S122" i="1"/>
  <c r="R122" i="1"/>
  <c r="Q122" i="1"/>
  <c r="P122" i="1"/>
  <c r="O122" i="1"/>
  <c r="N122" i="1"/>
  <c r="S121" i="1"/>
  <c r="R121" i="1"/>
  <c r="Q121" i="1"/>
  <c r="P121" i="1"/>
  <c r="O121" i="1"/>
  <c r="N121" i="1"/>
  <c r="S120" i="1"/>
  <c r="R120" i="1"/>
  <c r="Q120" i="1"/>
  <c r="P120" i="1"/>
  <c r="O120" i="1"/>
  <c r="N120" i="1"/>
  <c r="S119" i="1"/>
  <c r="R119" i="1"/>
  <c r="Q119" i="1"/>
  <c r="P119" i="1"/>
  <c r="O119" i="1"/>
  <c r="N119" i="1"/>
  <c r="S118" i="1"/>
  <c r="R118" i="1"/>
  <c r="Q118" i="1"/>
  <c r="P118" i="1"/>
  <c r="O118" i="1"/>
  <c r="N118" i="1"/>
  <c r="S117" i="1"/>
  <c r="R117" i="1"/>
  <c r="Q117" i="1"/>
  <c r="P117" i="1"/>
  <c r="O117" i="1"/>
  <c r="N117" i="1"/>
  <c r="S116" i="1"/>
  <c r="R116" i="1"/>
  <c r="Q116" i="1"/>
  <c r="P116" i="1"/>
  <c r="O116" i="1"/>
  <c r="N116" i="1"/>
  <c r="S115" i="1"/>
  <c r="R115" i="1"/>
  <c r="Q115" i="1"/>
  <c r="P115" i="1"/>
  <c r="O115" i="1"/>
  <c r="N115" i="1"/>
  <c r="S114" i="1"/>
  <c r="R114" i="1"/>
  <c r="Q114" i="1"/>
  <c r="P114" i="1"/>
  <c r="O114" i="1"/>
  <c r="N114" i="1"/>
  <c r="S113" i="1"/>
  <c r="R113" i="1"/>
  <c r="Q113" i="1"/>
  <c r="P113" i="1"/>
  <c r="O113" i="1"/>
  <c r="N113" i="1"/>
  <c r="S112" i="1"/>
  <c r="R112" i="1"/>
  <c r="Q112" i="1"/>
  <c r="P112" i="1"/>
  <c r="O112" i="1"/>
  <c r="N112" i="1"/>
  <c r="S111" i="1"/>
  <c r="R111" i="1"/>
  <c r="Q111" i="1"/>
  <c r="P111" i="1"/>
  <c r="O111" i="1"/>
  <c r="N111" i="1"/>
  <c r="S110" i="1"/>
  <c r="R110" i="1"/>
  <c r="Q110" i="1"/>
  <c r="P110" i="1"/>
  <c r="O110" i="1"/>
  <c r="N110" i="1"/>
  <c r="S109" i="1"/>
  <c r="R109" i="1"/>
  <c r="Q109" i="1"/>
  <c r="P109" i="1"/>
  <c r="O109" i="1"/>
  <c r="N109" i="1"/>
  <c r="S108" i="1"/>
  <c r="R108" i="1"/>
  <c r="Q108" i="1"/>
  <c r="P108" i="1"/>
  <c r="O108" i="1"/>
  <c r="N108" i="1"/>
  <c r="S107" i="1"/>
  <c r="R107" i="1"/>
  <c r="Q107" i="1"/>
  <c r="P107" i="1"/>
  <c r="O107" i="1"/>
  <c r="N107" i="1"/>
  <c r="S106" i="1"/>
  <c r="R106" i="1"/>
  <c r="Q106" i="1"/>
  <c r="P106" i="1"/>
  <c r="O106" i="1"/>
  <c r="N106" i="1"/>
  <c r="S105" i="1"/>
  <c r="R105" i="1"/>
  <c r="Q105" i="1"/>
  <c r="P105" i="1"/>
  <c r="O105" i="1"/>
  <c r="N105" i="1"/>
  <c r="S104" i="1"/>
  <c r="R104" i="1"/>
  <c r="Q104" i="1"/>
  <c r="P104" i="1"/>
  <c r="O104" i="1"/>
  <c r="N104" i="1"/>
  <c r="S103" i="1"/>
  <c r="R103" i="1"/>
  <c r="Q103" i="1"/>
  <c r="P103" i="1"/>
  <c r="O103" i="1"/>
  <c r="N103" i="1"/>
  <c r="S102" i="1"/>
  <c r="R102" i="1"/>
  <c r="Q102" i="1"/>
  <c r="P102" i="1"/>
  <c r="O102" i="1"/>
  <c r="N102" i="1"/>
  <c r="S101" i="1"/>
  <c r="R101" i="1"/>
  <c r="Q101" i="1"/>
  <c r="P101" i="1"/>
  <c r="O101" i="1"/>
  <c r="N101" i="1"/>
  <c r="S100" i="1"/>
  <c r="R100" i="1"/>
  <c r="Q100" i="1"/>
  <c r="P100" i="1"/>
  <c r="O100" i="1"/>
  <c r="N100" i="1"/>
  <c r="S99" i="1"/>
  <c r="R99" i="1"/>
  <c r="Q99" i="1"/>
  <c r="P99" i="1"/>
  <c r="O99" i="1"/>
  <c r="N99" i="1"/>
  <c r="S98" i="1"/>
  <c r="R98" i="1"/>
  <c r="Q98" i="1"/>
  <c r="P98" i="1"/>
  <c r="O98" i="1"/>
  <c r="N98" i="1"/>
  <c r="S97" i="1"/>
  <c r="R97" i="1"/>
  <c r="Q97" i="1"/>
  <c r="P97" i="1"/>
  <c r="O97" i="1"/>
  <c r="N97" i="1"/>
  <c r="S96" i="1"/>
  <c r="R96" i="1"/>
  <c r="Q96" i="1"/>
  <c r="P96" i="1"/>
  <c r="O96" i="1"/>
  <c r="N96" i="1"/>
  <c r="S95" i="1"/>
  <c r="R95" i="1"/>
  <c r="Q95" i="1"/>
  <c r="P95" i="1"/>
  <c r="O95" i="1"/>
  <c r="N95" i="1"/>
  <c r="S94" i="1"/>
  <c r="R94" i="1"/>
  <c r="Q94" i="1"/>
  <c r="P94" i="1"/>
  <c r="O94" i="1"/>
  <c r="N94" i="1"/>
  <c r="S93" i="1"/>
  <c r="R93" i="1"/>
  <c r="Q93" i="1"/>
  <c r="P93" i="1"/>
  <c r="O93" i="1"/>
  <c r="N93" i="1"/>
  <c r="S92" i="1"/>
  <c r="R92" i="1"/>
  <c r="Q92" i="1"/>
  <c r="P92" i="1"/>
  <c r="O92" i="1"/>
  <c r="N92" i="1"/>
  <c r="S91" i="1"/>
  <c r="R91" i="1"/>
  <c r="Q91" i="1"/>
  <c r="P91" i="1"/>
  <c r="O91" i="1"/>
  <c r="N91" i="1"/>
  <c r="S90" i="1"/>
  <c r="R90" i="1"/>
  <c r="Q90" i="1"/>
  <c r="P90" i="1"/>
  <c r="O90" i="1"/>
  <c r="N90" i="1"/>
  <c r="S89" i="1"/>
  <c r="R89" i="1"/>
  <c r="Q89" i="1"/>
  <c r="P89" i="1"/>
  <c r="O89" i="1"/>
  <c r="N89" i="1"/>
  <c r="S88" i="1"/>
  <c r="R88" i="1"/>
  <c r="Q88" i="1"/>
  <c r="P88" i="1"/>
  <c r="O88" i="1"/>
  <c r="N88" i="1"/>
  <c r="S87" i="1"/>
  <c r="R87" i="1"/>
  <c r="Q87" i="1"/>
  <c r="P87" i="1"/>
  <c r="O87" i="1"/>
  <c r="N87" i="1"/>
  <c r="S86" i="1"/>
  <c r="R86" i="1"/>
  <c r="Q86" i="1"/>
  <c r="P86" i="1"/>
  <c r="O86" i="1"/>
  <c r="N86" i="1"/>
  <c r="S85" i="1"/>
  <c r="R85" i="1"/>
  <c r="Q85" i="1"/>
  <c r="P85" i="1"/>
  <c r="O85" i="1"/>
  <c r="N85" i="1"/>
  <c r="S84" i="1"/>
  <c r="R84" i="1"/>
  <c r="Q84" i="1"/>
  <c r="P84" i="1"/>
  <c r="O84" i="1"/>
  <c r="N84" i="1"/>
  <c r="S83" i="1"/>
  <c r="R83" i="1"/>
  <c r="Q83" i="1"/>
  <c r="P83" i="1"/>
  <c r="O83" i="1"/>
  <c r="N83" i="1"/>
  <c r="S82" i="1"/>
  <c r="R82" i="1"/>
  <c r="Q82" i="1"/>
  <c r="P82" i="1"/>
  <c r="O82" i="1"/>
  <c r="N82" i="1"/>
  <c r="S81" i="1"/>
  <c r="R81" i="1"/>
  <c r="Q81" i="1"/>
  <c r="P81" i="1"/>
  <c r="O81" i="1"/>
  <c r="N81" i="1"/>
  <c r="S80" i="1"/>
  <c r="R80" i="1"/>
  <c r="Q80" i="1"/>
  <c r="P80" i="1"/>
  <c r="O80" i="1"/>
  <c r="N80" i="1"/>
  <c r="S79" i="1"/>
  <c r="R79" i="1"/>
  <c r="Q79" i="1"/>
  <c r="P79" i="1"/>
  <c r="O79" i="1"/>
  <c r="N79" i="1"/>
  <c r="S78" i="1"/>
  <c r="R78" i="1"/>
  <c r="Q78" i="1"/>
  <c r="P78" i="1"/>
  <c r="O78" i="1"/>
  <c r="N78" i="1"/>
  <c r="S77" i="1"/>
  <c r="R77" i="1"/>
  <c r="Q77" i="1"/>
  <c r="P77" i="1"/>
  <c r="O77" i="1"/>
  <c r="N77" i="1"/>
  <c r="S76" i="1"/>
  <c r="R76" i="1"/>
  <c r="Q76" i="1"/>
  <c r="P76" i="1"/>
  <c r="O76" i="1"/>
  <c r="N76" i="1"/>
  <c r="S75" i="1"/>
  <c r="R75" i="1"/>
  <c r="Q75" i="1"/>
  <c r="P75" i="1"/>
  <c r="O75" i="1"/>
  <c r="N75" i="1"/>
  <c r="S74" i="1"/>
  <c r="R74" i="1"/>
  <c r="Q74" i="1"/>
  <c r="P74" i="1"/>
  <c r="O74" i="1"/>
  <c r="N74" i="1"/>
  <c r="S73" i="1"/>
  <c r="R73" i="1"/>
  <c r="Q73" i="1"/>
  <c r="P73" i="1"/>
  <c r="O73" i="1"/>
  <c r="N73" i="1"/>
  <c r="S72" i="1"/>
  <c r="R72" i="1"/>
  <c r="Q72" i="1"/>
  <c r="P72" i="1"/>
  <c r="O72" i="1"/>
  <c r="N72" i="1"/>
  <c r="S71" i="1"/>
  <c r="R71" i="1"/>
  <c r="Q71" i="1"/>
  <c r="P71" i="1"/>
  <c r="O71" i="1"/>
  <c r="N71" i="1"/>
  <c r="S70" i="1"/>
  <c r="R70" i="1"/>
  <c r="Q70" i="1"/>
  <c r="P70" i="1"/>
  <c r="O70" i="1"/>
  <c r="N70" i="1"/>
  <c r="S69" i="1"/>
  <c r="R69" i="1"/>
  <c r="Q69" i="1"/>
  <c r="P69" i="1"/>
  <c r="O69" i="1"/>
  <c r="N69" i="1"/>
  <c r="S68" i="1"/>
  <c r="R68" i="1"/>
  <c r="Q68" i="1"/>
  <c r="P68" i="1"/>
  <c r="O68" i="1"/>
  <c r="N68" i="1"/>
  <c r="S67" i="1"/>
  <c r="R67" i="1"/>
  <c r="Q67" i="1"/>
  <c r="P67" i="1"/>
  <c r="O67" i="1"/>
  <c r="N67" i="1"/>
  <c r="S66" i="1"/>
  <c r="R66" i="1"/>
  <c r="Q66" i="1"/>
  <c r="P66" i="1"/>
  <c r="O66" i="1"/>
  <c r="N66" i="1"/>
  <c r="S65" i="1"/>
  <c r="R65" i="1"/>
  <c r="Q65" i="1"/>
  <c r="P65" i="1"/>
  <c r="O65" i="1"/>
  <c r="N65" i="1"/>
  <c r="S64" i="1"/>
  <c r="R64" i="1"/>
  <c r="Q64" i="1"/>
  <c r="P64" i="1"/>
  <c r="O64" i="1"/>
  <c r="N64" i="1"/>
  <c r="S63" i="1"/>
  <c r="R63" i="1"/>
  <c r="Q63" i="1"/>
  <c r="P63" i="1"/>
  <c r="O63" i="1"/>
  <c r="N63" i="1"/>
  <c r="S62" i="1"/>
  <c r="R62" i="1"/>
  <c r="Q62" i="1"/>
  <c r="P62" i="1"/>
  <c r="O62" i="1"/>
  <c r="N62" i="1"/>
  <c r="S61" i="1"/>
  <c r="R61" i="1"/>
  <c r="Q61" i="1"/>
  <c r="P61" i="1"/>
  <c r="O61" i="1"/>
  <c r="N61" i="1"/>
  <c r="S60" i="1"/>
  <c r="R60" i="1"/>
  <c r="Q60" i="1"/>
  <c r="P60" i="1"/>
  <c r="O60" i="1"/>
  <c r="N60" i="1"/>
  <c r="S59" i="1"/>
  <c r="R59" i="1"/>
  <c r="Q59" i="1"/>
  <c r="P59" i="1"/>
  <c r="O59" i="1"/>
  <c r="N59" i="1"/>
  <c r="S58" i="1"/>
  <c r="R58" i="1"/>
  <c r="Q58" i="1"/>
  <c r="P58" i="1"/>
  <c r="O58" i="1"/>
  <c r="N58" i="1"/>
  <c r="S57" i="1"/>
  <c r="R57" i="1"/>
  <c r="Q57" i="1"/>
  <c r="P57" i="1"/>
  <c r="O57" i="1"/>
  <c r="N57" i="1"/>
  <c r="S56" i="1"/>
  <c r="R56" i="1"/>
  <c r="Q56" i="1"/>
  <c r="P56" i="1"/>
  <c r="O56" i="1"/>
  <c r="N56" i="1"/>
  <c r="S55" i="1"/>
  <c r="R55" i="1"/>
  <c r="Q55" i="1"/>
  <c r="P55" i="1"/>
  <c r="O55" i="1"/>
  <c r="N55" i="1"/>
  <c r="S54" i="1"/>
  <c r="R54" i="1"/>
  <c r="Q54" i="1"/>
  <c r="P54" i="1"/>
  <c r="O54" i="1"/>
  <c r="N54" i="1"/>
  <c r="S53" i="1"/>
  <c r="R53" i="1"/>
  <c r="Q53" i="1"/>
  <c r="P53" i="1"/>
  <c r="O53" i="1"/>
  <c r="N53" i="1"/>
  <c r="S52" i="1"/>
  <c r="R52" i="1"/>
  <c r="Q52" i="1"/>
  <c r="P52" i="1"/>
  <c r="O52" i="1"/>
  <c r="N52" i="1"/>
  <c r="S51" i="1"/>
  <c r="R51" i="1"/>
  <c r="Q51" i="1"/>
  <c r="P51" i="1"/>
  <c r="O51" i="1"/>
  <c r="N51" i="1"/>
  <c r="S50" i="1"/>
  <c r="R50" i="1"/>
  <c r="Q50" i="1"/>
  <c r="P50" i="1"/>
  <c r="O50" i="1"/>
  <c r="N50" i="1"/>
  <c r="S49" i="1"/>
  <c r="R49" i="1"/>
  <c r="Q49" i="1"/>
  <c r="P49" i="1"/>
  <c r="O49" i="1"/>
  <c r="N49" i="1"/>
  <c r="S48" i="1"/>
  <c r="R48" i="1"/>
  <c r="Q48" i="1"/>
  <c r="P48" i="1"/>
  <c r="O48" i="1"/>
  <c r="N48" i="1"/>
  <c r="S47" i="1"/>
  <c r="R47" i="1"/>
  <c r="Q47" i="1"/>
  <c r="P47" i="1"/>
  <c r="O47" i="1"/>
  <c r="N47" i="1"/>
  <c r="S46" i="1"/>
  <c r="R46" i="1"/>
  <c r="Q46" i="1"/>
  <c r="P46" i="1"/>
  <c r="O46" i="1"/>
  <c r="N46" i="1"/>
  <c r="S45" i="1"/>
  <c r="R45" i="1"/>
  <c r="Q45" i="1"/>
  <c r="P45" i="1"/>
  <c r="O45" i="1"/>
  <c r="N45" i="1"/>
  <c r="S44" i="1"/>
  <c r="R44" i="1"/>
  <c r="Q44" i="1"/>
  <c r="P44" i="1"/>
  <c r="O44" i="1"/>
  <c r="N44" i="1"/>
  <c r="S43" i="1"/>
  <c r="R43" i="1"/>
  <c r="Q43" i="1"/>
  <c r="P43" i="1"/>
  <c r="O43" i="1"/>
  <c r="N43" i="1"/>
  <c r="S42" i="1"/>
  <c r="R42" i="1"/>
  <c r="Q42" i="1"/>
  <c r="P42" i="1"/>
  <c r="O42" i="1"/>
  <c r="N42" i="1"/>
  <c r="S41" i="1"/>
  <c r="R41" i="1"/>
  <c r="Q41" i="1"/>
  <c r="P41" i="1"/>
  <c r="O41" i="1"/>
  <c r="N41" i="1"/>
  <c r="S40" i="1"/>
  <c r="R40" i="1"/>
  <c r="Q40" i="1"/>
  <c r="P40" i="1"/>
  <c r="O40" i="1"/>
  <c r="N40" i="1"/>
  <c r="S39" i="1"/>
  <c r="R39" i="1"/>
  <c r="Q39" i="1"/>
  <c r="P39" i="1"/>
  <c r="O39" i="1"/>
  <c r="N39" i="1"/>
  <c r="S38" i="1"/>
  <c r="R38" i="1"/>
  <c r="Q38" i="1"/>
  <c r="P38" i="1"/>
  <c r="O38" i="1"/>
  <c r="N38" i="1"/>
  <c r="S37" i="1"/>
  <c r="R37" i="1"/>
  <c r="Q37" i="1"/>
  <c r="P37" i="1"/>
  <c r="O37" i="1"/>
  <c r="N37" i="1"/>
  <c r="S36" i="1"/>
  <c r="R36" i="1"/>
  <c r="Q36" i="1"/>
  <c r="P36" i="1"/>
  <c r="O36" i="1"/>
  <c r="N36" i="1"/>
  <c r="S35" i="1"/>
  <c r="R35" i="1"/>
  <c r="Q35" i="1"/>
  <c r="P35" i="1"/>
  <c r="O35" i="1"/>
  <c r="N35" i="1"/>
  <c r="S34" i="1"/>
  <c r="R34" i="1"/>
  <c r="Q34" i="1"/>
  <c r="P34" i="1"/>
  <c r="O34" i="1"/>
  <c r="N34" i="1"/>
  <c r="S33" i="1"/>
  <c r="R33" i="1"/>
  <c r="Q33" i="1"/>
  <c r="P33" i="1"/>
  <c r="O33" i="1"/>
  <c r="N33" i="1"/>
  <c r="S32" i="1"/>
  <c r="R32" i="1"/>
  <c r="Q32" i="1"/>
  <c r="P32" i="1"/>
  <c r="O32" i="1"/>
  <c r="N32" i="1"/>
  <c r="S31" i="1"/>
  <c r="R31" i="1"/>
  <c r="Q31" i="1"/>
  <c r="P31" i="1"/>
  <c r="O31" i="1"/>
  <c r="N31" i="1"/>
  <c r="S30" i="1"/>
  <c r="R30" i="1"/>
  <c r="Q30" i="1"/>
  <c r="P30" i="1"/>
  <c r="O30" i="1"/>
  <c r="N30" i="1"/>
  <c r="S29" i="1"/>
  <c r="R29" i="1"/>
  <c r="Q29" i="1"/>
  <c r="P29" i="1"/>
  <c r="O29" i="1"/>
  <c r="N29" i="1"/>
  <c r="S28" i="1"/>
  <c r="R28" i="1"/>
  <c r="Q28" i="1"/>
  <c r="P28" i="1"/>
  <c r="O28" i="1"/>
  <c r="N28" i="1"/>
  <c r="S27" i="1"/>
  <c r="R27" i="1"/>
  <c r="Q27" i="1"/>
  <c r="P27" i="1"/>
  <c r="O27" i="1"/>
  <c r="N27" i="1"/>
  <c r="S26" i="1"/>
  <c r="R26" i="1"/>
  <c r="Q26" i="1"/>
  <c r="P26" i="1"/>
  <c r="O26" i="1"/>
  <c r="N26" i="1"/>
  <c r="S25" i="1"/>
  <c r="R25" i="1"/>
  <c r="Q25" i="1"/>
  <c r="P25" i="1"/>
  <c r="O25" i="1"/>
  <c r="N25" i="1"/>
  <c r="S24" i="1"/>
  <c r="R24" i="1"/>
  <c r="Q24" i="1"/>
  <c r="P24" i="1"/>
  <c r="O24" i="1"/>
  <c r="N24" i="1"/>
  <c r="S23" i="1"/>
  <c r="R23" i="1"/>
  <c r="Q23" i="1"/>
  <c r="P23" i="1"/>
  <c r="O23" i="1"/>
  <c r="N23" i="1"/>
  <c r="S22" i="1"/>
  <c r="R22" i="1"/>
  <c r="Q22" i="1"/>
  <c r="P22" i="1"/>
  <c r="O22" i="1"/>
  <c r="N22" i="1"/>
  <c r="S21" i="1"/>
  <c r="R21" i="1"/>
  <c r="Q21" i="1"/>
  <c r="P21" i="1"/>
  <c r="O21" i="1"/>
  <c r="N21" i="1"/>
  <c r="S20" i="1"/>
  <c r="R20" i="1"/>
  <c r="Q20" i="1"/>
  <c r="P20" i="1"/>
  <c r="O20" i="1"/>
  <c r="N20" i="1"/>
  <c r="S19" i="1"/>
  <c r="R19" i="1"/>
  <c r="Q19" i="1"/>
  <c r="P19" i="1"/>
  <c r="O19" i="1"/>
  <c r="N19" i="1"/>
  <c r="S18" i="1"/>
  <c r="R18" i="1"/>
  <c r="Q18" i="1"/>
  <c r="P18" i="1"/>
  <c r="O18" i="1"/>
  <c r="N18" i="1"/>
  <c r="S17" i="1"/>
  <c r="R17" i="1"/>
  <c r="Q17" i="1"/>
  <c r="P17" i="1"/>
  <c r="O17" i="1"/>
  <c r="N17" i="1"/>
  <c r="S16" i="1"/>
  <c r="R16" i="1"/>
  <c r="Q16" i="1"/>
  <c r="P16" i="1"/>
  <c r="O16" i="1"/>
  <c r="N16" i="1"/>
  <c r="S15" i="1"/>
  <c r="R15" i="1"/>
  <c r="Q15" i="1"/>
  <c r="P15" i="1"/>
  <c r="O15" i="1"/>
  <c r="N15" i="1"/>
  <c r="S14" i="1"/>
  <c r="R14" i="1"/>
  <c r="Q14" i="1"/>
  <c r="P14" i="1"/>
  <c r="O14" i="1"/>
  <c r="N14" i="1"/>
  <c r="S13" i="1"/>
  <c r="R13" i="1"/>
  <c r="Q13" i="1"/>
  <c r="P13" i="1"/>
  <c r="O13" i="1"/>
  <c r="N13" i="1"/>
  <c r="S12" i="1"/>
  <c r="R12" i="1"/>
  <c r="Q12" i="1"/>
  <c r="P12" i="1"/>
  <c r="O12" i="1"/>
  <c r="N12" i="1"/>
  <c r="S11" i="1"/>
  <c r="R11" i="1"/>
  <c r="Q11" i="1"/>
  <c r="P11" i="1"/>
  <c r="O11" i="1"/>
  <c r="N11" i="1"/>
  <c r="S10" i="1"/>
  <c r="R10" i="1"/>
  <c r="Q10" i="1"/>
  <c r="P10" i="1"/>
  <c r="O10" i="1"/>
  <c r="N10" i="1"/>
  <c r="S9" i="1"/>
  <c r="R9" i="1"/>
  <c r="Q9" i="1"/>
  <c r="P9" i="1"/>
  <c r="O9" i="1"/>
  <c r="N9" i="1"/>
  <c r="S8" i="1"/>
  <c r="R8" i="1"/>
  <c r="Q8" i="1"/>
  <c r="P8" i="1"/>
  <c r="O8" i="1"/>
  <c r="N8" i="1"/>
  <c r="S7" i="1"/>
  <c r="R7" i="1"/>
  <c r="Q7" i="1"/>
  <c r="P7" i="1"/>
  <c r="O7" i="1"/>
  <c r="N7" i="1"/>
  <c r="S6" i="1"/>
  <c r="R6" i="1"/>
  <c r="Q6" i="1"/>
  <c r="P6" i="1"/>
  <c r="O6" i="1"/>
  <c r="N6" i="1"/>
  <c r="S5" i="1"/>
  <c r="R5" i="1"/>
  <c r="Q5" i="1"/>
  <c r="P5" i="1"/>
  <c r="O5" i="1"/>
  <c r="N5" i="1"/>
  <c r="S4" i="1"/>
  <c r="R4" i="1"/>
  <c r="Q4" i="1"/>
  <c r="P4" i="1"/>
  <c r="O4" i="1"/>
  <c r="N4" i="1"/>
  <c r="S3" i="1"/>
  <c r="R3" i="1"/>
  <c r="Q3" i="1"/>
  <c r="P3" i="1"/>
  <c r="O3" i="1"/>
  <c r="N3" i="1"/>
  <c r="S2" i="1"/>
  <c r="R2" i="1"/>
  <c r="Q2" i="1"/>
  <c r="P2" i="1"/>
  <c r="O2" i="1"/>
  <c r="N2" i="1"/>
</calcChain>
</file>

<file path=xl/sharedStrings.xml><?xml version="1.0" encoding="utf-8"?>
<sst xmlns="http://schemas.openxmlformats.org/spreadsheetml/2006/main" count="12198" uniqueCount="2082">
  <si>
    <t>Campaign_ID</t>
  </si>
  <si>
    <t>Campaign_Name</t>
  </si>
  <si>
    <t>Marketing_Channel</t>
  </si>
  <si>
    <t>Start_Date</t>
  </si>
  <si>
    <t>End_Date</t>
  </si>
  <si>
    <t>Impressions</t>
  </si>
  <si>
    <t>Clicks</t>
  </si>
  <si>
    <t>Conversions</t>
  </si>
  <si>
    <t>Total_Spend</t>
  </si>
  <si>
    <t>Revenue_Generated</t>
  </si>
  <si>
    <t>Location</t>
  </si>
  <si>
    <t>Age_Group</t>
  </si>
  <si>
    <t>Gender</t>
  </si>
  <si>
    <t>CTR</t>
  </si>
  <si>
    <t>CVR</t>
  </si>
  <si>
    <t>CPC</t>
  </si>
  <si>
    <t>CPA</t>
  </si>
  <si>
    <t>ROI</t>
  </si>
  <si>
    <t>ROAS</t>
  </si>
  <si>
    <t>CMP1</t>
  </si>
  <si>
    <t>Seasonal Steals</t>
  </si>
  <si>
    <t>Influencer Marketing</t>
  </si>
  <si>
    <t>Baia Mare</t>
  </si>
  <si>
    <t>25-34</t>
  </si>
  <si>
    <t>Male</t>
  </si>
  <si>
    <t>CMP2</t>
  </si>
  <si>
    <t>Cart to Couch</t>
  </si>
  <si>
    <t>CMP3</t>
  </si>
  <si>
    <t>Deal of the Day</t>
  </si>
  <si>
    <t>Paid Ads</t>
  </si>
  <si>
    <t>Galați</t>
  </si>
  <si>
    <t>45-54</t>
  </si>
  <si>
    <t>Female</t>
  </si>
  <si>
    <t>CMP4</t>
  </si>
  <si>
    <t>Shop &amp; Share</t>
  </si>
  <si>
    <t>18-24</t>
  </si>
  <si>
    <t>CMP5</t>
  </si>
  <si>
    <t>CMP6</t>
  </si>
  <si>
    <t>Bacău</t>
  </si>
  <si>
    <t>CMP7</t>
  </si>
  <si>
    <t>Wishlist Wonders</t>
  </si>
  <si>
    <t>Email</t>
  </si>
  <si>
    <t>CMP8</t>
  </si>
  <si>
    <t>Târgu Mureș</t>
  </si>
  <si>
    <t>55+</t>
  </si>
  <si>
    <t>CMP9</t>
  </si>
  <si>
    <t>CMP10</t>
  </si>
  <si>
    <t>Flash Sale Frenzy</t>
  </si>
  <si>
    <t>Social Media</t>
  </si>
  <si>
    <t>CMP11</t>
  </si>
  <si>
    <t>35-44</t>
  </si>
  <si>
    <t>CMP12</t>
  </si>
  <si>
    <t>CMP13</t>
  </si>
  <si>
    <t>CMP14</t>
  </si>
  <si>
    <t>CMP15</t>
  </si>
  <si>
    <t>CMP16</t>
  </si>
  <si>
    <t>CMP17</t>
  </si>
  <si>
    <t>CMP18</t>
  </si>
  <si>
    <t>CMP19</t>
  </si>
  <si>
    <t>CMP20</t>
  </si>
  <si>
    <t>CMP21</t>
  </si>
  <si>
    <t>CMP22</t>
  </si>
  <si>
    <t>CMP23</t>
  </si>
  <si>
    <t>CMP24</t>
  </si>
  <si>
    <t>CMP25</t>
  </si>
  <si>
    <t>Suceava</t>
  </si>
  <si>
    <t>CMP26</t>
  </si>
  <si>
    <t>CMP27</t>
  </si>
  <si>
    <t>CMP28</t>
  </si>
  <si>
    <t>CMP29</t>
  </si>
  <si>
    <t>CMP30</t>
  </si>
  <si>
    <t>CMP31</t>
  </si>
  <si>
    <t>CMP32</t>
  </si>
  <si>
    <t>CMP33</t>
  </si>
  <si>
    <t>CMP34</t>
  </si>
  <si>
    <t>CMP35</t>
  </si>
  <si>
    <t>CMP36</t>
  </si>
  <si>
    <t>CMP37</t>
  </si>
  <si>
    <t>CMP38</t>
  </si>
  <si>
    <t>CMP39</t>
  </si>
  <si>
    <t>CMP40</t>
  </si>
  <si>
    <t>CMP41</t>
  </si>
  <si>
    <t>CMP42</t>
  </si>
  <si>
    <t>CMP43</t>
  </si>
  <si>
    <t>CMP44</t>
  </si>
  <si>
    <t>CMP45</t>
  </si>
  <si>
    <t>CMP46</t>
  </si>
  <si>
    <t>CMP47</t>
  </si>
  <si>
    <t>CMP48</t>
  </si>
  <si>
    <t>CMP49</t>
  </si>
  <si>
    <t>CMP50</t>
  </si>
  <si>
    <t>CMP51</t>
  </si>
  <si>
    <t>CMP52</t>
  </si>
  <si>
    <t>CMP53</t>
  </si>
  <si>
    <t>CMP54</t>
  </si>
  <si>
    <t>CMP55</t>
  </si>
  <si>
    <t>CMP56</t>
  </si>
  <si>
    <t>CMP57</t>
  </si>
  <si>
    <t>CMP58</t>
  </si>
  <si>
    <t>CMP59</t>
  </si>
  <si>
    <t>CMP60</t>
  </si>
  <si>
    <t>CMP61</t>
  </si>
  <si>
    <t>CMP62</t>
  </si>
  <si>
    <t>CMP63</t>
  </si>
  <si>
    <t>CMP64</t>
  </si>
  <si>
    <t>CMP65</t>
  </si>
  <si>
    <t>CMP66</t>
  </si>
  <si>
    <t>CMP67</t>
  </si>
  <si>
    <t>CMP68</t>
  </si>
  <si>
    <t>CMP69</t>
  </si>
  <si>
    <t>CMP70</t>
  </si>
  <si>
    <t>CMP71</t>
  </si>
  <si>
    <t>CMP72</t>
  </si>
  <si>
    <t>CMP73</t>
  </si>
  <si>
    <t>CMP74</t>
  </si>
  <si>
    <t>CMP75</t>
  </si>
  <si>
    <t>CMP76</t>
  </si>
  <si>
    <t>CMP77</t>
  </si>
  <si>
    <t>CMP78</t>
  </si>
  <si>
    <t>CMP79</t>
  </si>
  <si>
    <t>CMP80</t>
  </si>
  <si>
    <t>CMP81</t>
  </si>
  <si>
    <t>CMP82</t>
  </si>
  <si>
    <t>CMP83</t>
  </si>
  <si>
    <t>CMP84</t>
  </si>
  <si>
    <t>CMP85</t>
  </si>
  <si>
    <t>CMP86</t>
  </si>
  <si>
    <t>CMP87</t>
  </si>
  <si>
    <t>CMP88</t>
  </si>
  <si>
    <t>CMP89</t>
  </si>
  <si>
    <t>CMP90</t>
  </si>
  <si>
    <t>CMP91</t>
  </si>
  <si>
    <t>CMP92</t>
  </si>
  <si>
    <t>CMP93</t>
  </si>
  <si>
    <t>CMP94</t>
  </si>
  <si>
    <t>CMP95</t>
  </si>
  <si>
    <t>CMP96</t>
  </si>
  <si>
    <t>CMP97</t>
  </si>
  <si>
    <t>CMP98</t>
  </si>
  <si>
    <t>CMP99</t>
  </si>
  <si>
    <t>CMP100</t>
  </si>
  <si>
    <t>CMP101</t>
  </si>
  <si>
    <t>CMP102</t>
  </si>
  <si>
    <t>CMP103</t>
  </si>
  <si>
    <t>CMP104</t>
  </si>
  <si>
    <t>CMP105</t>
  </si>
  <si>
    <t>CMP106</t>
  </si>
  <si>
    <t>CMP107</t>
  </si>
  <si>
    <t>CMP108</t>
  </si>
  <si>
    <t>CMP109</t>
  </si>
  <si>
    <t>CMP110</t>
  </si>
  <si>
    <t>CMP111</t>
  </si>
  <si>
    <t>CMP112</t>
  </si>
  <si>
    <t>CMP113</t>
  </si>
  <si>
    <t>CMP114</t>
  </si>
  <si>
    <t>CMP115</t>
  </si>
  <si>
    <t>CMP116</t>
  </si>
  <si>
    <t>CMP117</t>
  </si>
  <si>
    <t>CMP118</t>
  </si>
  <si>
    <t>CMP119</t>
  </si>
  <si>
    <t>CMP120</t>
  </si>
  <si>
    <t>CMP121</t>
  </si>
  <si>
    <t>CMP122</t>
  </si>
  <si>
    <t>CMP123</t>
  </si>
  <si>
    <t>CMP124</t>
  </si>
  <si>
    <t>CMP125</t>
  </si>
  <si>
    <t>CMP126</t>
  </si>
  <si>
    <t>CMP127</t>
  </si>
  <si>
    <t>CMP128</t>
  </si>
  <si>
    <t>CMP129</t>
  </si>
  <si>
    <t>CMP130</t>
  </si>
  <si>
    <t>CMP131</t>
  </si>
  <si>
    <t>CMP132</t>
  </si>
  <si>
    <t>CMP133</t>
  </si>
  <si>
    <t>CMP134</t>
  </si>
  <si>
    <t>CMP135</t>
  </si>
  <si>
    <t>CMP136</t>
  </si>
  <si>
    <t>CMP137</t>
  </si>
  <si>
    <t>CMP138</t>
  </si>
  <si>
    <t>CMP139</t>
  </si>
  <si>
    <t>CMP140</t>
  </si>
  <si>
    <t>CMP141</t>
  </si>
  <si>
    <t>CMP142</t>
  </si>
  <si>
    <t>CMP143</t>
  </si>
  <si>
    <t>CMP144</t>
  </si>
  <si>
    <t>CMP145</t>
  </si>
  <si>
    <t>CMP146</t>
  </si>
  <si>
    <t>CMP147</t>
  </si>
  <si>
    <t>CMP148</t>
  </si>
  <si>
    <t>CMP149</t>
  </si>
  <si>
    <t>CMP150</t>
  </si>
  <si>
    <t>CMP151</t>
  </si>
  <si>
    <t>CMP152</t>
  </si>
  <si>
    <t>CMP153</t>
  </si>
  <si>
    <t>CMP154</t>
  </si>
  <si>
    <t>CMP155</t>
  </si>
  <si>
    <t>CMP156</t>
  </si>
  <si>
    <t>CMP157</t>
  </si>
  <si>
    <t>CMP158</t>
  </si>
  <si>
    <t>CMP159</t>
  </si>
  <si>
    <t>CMP160</t>
  </si>
  <si>
    <t>CMP161</t>
  </si>
  <si>
    <t>CMP162</t>
  </si>
  <si>
    <t>CMP163</t>
  </si>
  <si>
    <t>CMP164</t>
  </si>
  <si>
    <t>CMP165</t>
  </si>
  <si>
    <t>CMP166</t>
  </si>
  <si>
    <t>CMP167</t>
  </si>
  <si>
    <t>CMP168</t>
  </si>
  <si>
    <t>CMP169</t>
  </si>
  <si>
    <t>CMP170</t>
  </si>
  <si>
    <t>CMP171</t>
  </si>
  <si>
    <t>CMP172</t>
  </si>
  <si>
    <t>CMP173</t>
  </si>
  <si>
    <t>CMP174</t>
  </si>
  <si>
    <t>CMP175</t>
  </si>
  <si>
    <t>CMP176</t>
  </si>
  <si>
    <t>CMP177</t>
  </si>
  <si>
    <t>CMP178</t>
  </si>
  <si>
    <t>CMP179</t>
  </si>
  <si>
    <t>CMP180</t>
  </si>
  <si>
    <t>CMP181</t>
  </si>
  <si>
    <t>CMP182</t>
  </si>
  <si>
    <t>CMP183</t>
  </si>
  <si>
    <t>CMP184</t>
  </si>
  <si>
    <t>CMP185</t>
  </si>
  <si>
    <t>CMP186</t>
  </si>
  <si>
    <t>CMP187</t>
  </si>
  <si>
    <t>CMP188</t>
  </si>
  <si>
    <t>CMP189</t>
  </si>
  <si>
    <t>CMP190</t>
  </si>
  <si>
    <t>CMP191</t>
  </si>
  <si>
    <t>CMP192</t>
  </si>
  <si>
    <t>CMP193</t>
  </si>
  <si>
    <t>CMP194</t>
  </si>
  <si>
    <t>CMP195</t>
  </si>
  <si>
    <t>CMP196</t>
  </si>
  <si>
    <t>CMP197</t>
  </si>
  <si>
    <t>CMP198</t>
  </si>
  <si>
    <t>CMP199</t>
  </si>
  <si>
    <t>CMP200</t>
  </si>
  <si>
    <t>CMP201</t>
  </si>
  <si>
    <t>CMP202</t>
  </si>
  <si>
    <t>CMP203</t>
  </si>
  <si>
    <t>CMP204</t>
  </si>
  <si>
    <t>CMP205</t>
  </si>
  <si>
    <t>CMP206</t>
  </si>
  <si>
    <t>CMP207</t>
  </si>
  <si>
    <t>CMP208</t>
  </si>
  <si>
    <t>CMP209</t>
  </si>
  <si>
    <t>CMP210</t>
  </si>
  <si>
    <t>CMP211</t>
  </si>
  <si>
    <t>CMP212</t>
  </si>
  <si>
    <t>CMP213</t>
  </si>
  <si>
    <t>CMP214</t>
  </si>
  <si>
    <t>CMP215</t>
  </si>
  <si>
    <t>CMP216</t>
  </si>
  <si>
    <t>CMP217</t>
  </si>
  <si>
    <t>CMP218</t>
  </si>
  <si>
    <t>CMP219</t>
  </si>
  <si>
    <t>CMP220</t>
  </si>
  <si>
    <t>CMP221</t>
  </si>
  <si>
    <t>CMP222</t>
  </si>
  <si>
    <t>CMP223</t>
  </si>
  <si>
    <t>CMP224</t>
  </si>
  <si>
    <t>CMP225</t>
  </si>
  <si>
    <t>CMP226</t>
  </si>
  <si>
    <t>CMP227</t>
  </si>
  <si>
    <t>CMP228</t>
  </si>
  <si>
    <t>CMP229</t>
  </si>
  <si>
    <t>CMP230</t>
  </si>
  <si>
    <t>CMP231</t>
  </si>
  <si>
    <t>CMP232</t>
  </si>
  <si>
    <t>CMP233</t>
  </si>
  <si>
    <t>CMP234</t>
  </si>
  <si>
    <t>CMP235</t>
  </si>
  <si>
    <t>CMP236</t>
  </si>
  <si>
    <t>CMP237</t>
  </si>
  <si>
    <t>CMP238</t>
  </si>
  <si>
    <t>CMP239</t>
  </si>
  <si>
    <t>CMP240</t>
  </si>
  <si>
    <t>CMP241</t>
  </si>
  <si>
    <t>CMP242</t>
  </si>
  <si>
    <t>CMP243</t>
  </si>
  <si>
    <t>CMP244</t>
  </si>
  <si>
    <t>CMP245</t>
  </si>
  <si>
    <t>CMP246</t>
  </si>
  <si>
    <t>CMP247</t>
  </si>
  <si>
    <t>CMP248</t>
  </si>
  <si>
    <t>CMP249</t>
  </si>
  <si>
    <t>CMP250</t>
  </si>
  <si>
    <t>CMP251</t>
  </si>
  <si>
    <t>CMP252</t>
  </si>
  <si>
    <t>CMP253</t>
  </si>
  <si>
    <t>CMP254</t>
  </si>
  <si>
    <t>CMP255</t>
  </si>
  <si>
    <t>CMP256</t>
  </si>
  <si>
    <t>CMP257</t>
  </si>
  <si>
    <t>CMP258</t>
  </si>
  <si>
    <t>CMP259</t>
  </si>
  <si>
    <t>CMP260</t>
  </si>
  <si>
    <t>CMP261</t>
  </si>
  <si>
    <t>CMP262</t>
  </si>
  <si>
    <t>CMP263</t>
  </si>
  <si>
    <t>CMP264</t>
  </si>
  <si>
    <t>CMP265</t>
  </si>
  <si>
    <t>CMP266</t>
  </si>
  <si>
    <t>CMP267</t>
  </si>
  <si>
    <t>CMP268</t>
  </si>
  <si>
    <t>CMP269</t>
  </si>
  <si>
    <t>CMP270</t>
  </si>
  <si>
    <t>CMP271</t>
  </si>
  <si>
    <t>CMP272</t>
  </si>
  <si>
    <t>CMP273</t>
  </si>
  <si>
    <t>CMP274</t>
  </si>
  <si>
    <t>CMP275</t>
  </si>
  <si>
    <t>CMP276</t>
  </si>
  <si>
    <t>CMP277</t>
  </si>
  <si>
    <t>CMP278</t>
  </si>
  <si>
    <t>CMP279</t>
  </si>
  <si>
    <t>CMP280</t>
  </si>
  <si>
    <t>CMP281</t>
  </si>
  <si>
    <t>CMP282</t>
  </si>
  <si>
    <t>CMP283</t>
  </si>
  <si>
    <t>CMP284</t>
  </si>
  <si>
    <t>CMP285</t>
  </si>
  <si>
    <t>CMP286</t>
  </si>
  <si>
    <t>CMP287</t>
  </si>
  <si>
    <t>CMP288</t>
  </si>
  <si>
    <t>CMP289</t>
  </si>
  <si>
    <t>CMP290</t>
  </si>
  <si>
    <t>CMP291</t>
  </si>
  <si>
    <t>CMP292</t>
  </si>
  <si>
    <t>CMP293</t>
  </si>
  <si>
    <t>CMP294</t>
  </si>
  <si>
    <t>CMP295</t>
  </si>
  <si>
    <t>CMP296</t>
  </si>
  <si>
    <t>CMP297</t>
  </si>
  <si>
    <t>CMP298</t>
  </si>
  <si>
    <t>CMP299</t>
  </si>
  <si>
    <t>CMP300</t>
  </si>
  <si>
    <t>CMP301</t>
  </si>
  <si>
    <t>CMP302</t>
  </si>
  <si>
    <t>CMP303</t>
  </si>
  <si>
    <t>CMP304</t>
  </si>
  <si>
    <t>CMP305</t>
  </si>
  <si>
    <t>CMP306</t>
  </si>
  <si>
    <t>CMP307</t>
  </si>
  <si>
    <t>CMP308</t>
  </si>
  <si>
    <t>CMP309</t>
  </si>
  <si>
    <t>CMP310</t>
  </si>
  <si>
    <t>CMP311</t>
  </si>
  <si>
    <t>CMP312</t>
  </si>
  <si>
    <t>CMP313</t>
  </si>
  <si>
    <t>CMP314</t>
  </si>
  <si>
    <t>CMP315</t>
  </si>
  <si>
    <t>CMP316</t>
  </si>
  <si>
    <t>CMP317</t>
  </si>
  <si>
    <t>CMP318</t>
  </si>
  <si>
    <t>CMP319</t>
  </si>
  <si>
    <t>CMP320</t>
  </si>
  <si>
    <t>CMP321</t>
  </si>
  <si>
    <t>CMP322</t>
  </si>
  <si>
    <t>CMP323</t>
  </si>
  <si>
    <t>CMP324</t>
  </si>
  <si>
    <t>CMP325</t>
  </si>
  <si>
    <t>CMP326</t>
  </si>
  <si>
    <t>CMP327</t>
  </si>
  <si>
    <t>CMP328</t>
  </si>
  <si>
    <t>CMP329</t>
  </si>
  <si>
    <t>CMP330</t>
  </si>
  <si>
    <t>CMP331</t>
  </si>
  <si>
    <t>CMP332</t>
  </si>
  <si>
    <t>CMP333</t>
  </si>
  <si>
    <t>CMP334</t>
  </si>
  <si>
    <t>CMP335</t>
  </si>
  <si>
    <t>CMP336</t>
  </si>
  <si>
    <t>CMP337</t>
  </si>
  <si>
    <t>CMP338</t>
  </si>
  <si>
    <t>CMP339</t>
  </si>
  <si>
    <t>CMP340</t>
  </si>
  <si>
    <t>CMP341</t>
  </si>
  <si>
    <t>CMP342</t>
  </si>
  <si>
    <t>CMP343</t>
  </si>
  <si>
    <t>CMP344</t>
  </si>
  <si>
    <t>CMP345</t>
  </si>
  <si>
    <t>CMP346</t>
  </si>
  <si>
    <t>CMP347</t>
  </si>
  <si>
    <t>CMP348</t>
  </si>
  <si>
    <t>CMP349</t>
  </si>
  <si>
    <t>CMP350</t>
  </si>
  <si>
    <t>CMP351</t>
  </si>
  <si>
    <t>CMP352</t>
  </si>
  <si>
    <t>CMP353</t>
  </si>
  <si>
    <t>CMP354</t>
  </si>
  <si>
    <t>CMP355</t>
  </si>
  <si>
    <t>CMP356</t>
  </si>
  <si>
    <t>CMP357</t>
  </si>
  <si>
    <t>CMP358</t>
  </si>
  <si>
    <t>CMP359</t>
  </si>
  <si>
    <t>CMP360</t>
  </si>
  <si>
    <t>CMP361</t>
  </si>
  <si>
    <t>CMP362</t>
  </si>
  <si>
    <t>CMP363</t>
  </si>
  <si>
    <t>CMP364</t>
  </si>
  <si>
    <t>CMP365</t>
  </si>
  <si>
    <t>CMP366</t>
  </si>
  <si>
    <t>CMP367</t>
  </si>
  <si>
    <t>CMP368</t>
  </si>
  <si>
    <t>CMP369</t>
  </si>
  <si>
    <t>CMP370</t>
  </si>
  <si>
    <t>CMP371</t>
  </si>
  <si>
    <t>CMP372</t>
  </si>
  <si>
    <t>CMP373</t>
  </si>
  <si>
    <t>CMP374</t>
  </si>
  <si>
    <t>CMP375</t>
  </si>
  <si>
    <t>CMP376</t>
  </si>
  <si>
    <t>CMP377</t>
  </si>
  <si>
    <t>CMP378</t>
  </si>
  <si>
    <t>CMP379</t>
  </si>
  <si>
    <t>CMP380</t>
  </si>
  <si>
    <t>CMP381</t>
  </si>
  <si>
    <t>CMP382</t>
  </si>
  <si>
    <t>CMP383</t>
  </si>
  <si>
    <t>CMP384</t>
  </si>
  <si>
    <t>CMP385</t>
  </si>
  <si>
    <t>CMP386</t>
  </si>
  <si>
    <t>CMP387</t>
  </si>
  <si>
    <t>CMP388</t>
  </si>
  <si>
    <t>CMP389</t>
  </si>
  <si>
    <t>CMP390</t>
  </si>
  <si>
    <t>CMP391</t>
  </si>
  <si>
    <t>CMP392</t>
  </si>
  <si>
    <t>CMP393</t>
  </si>
  <si>
    <t>CMP394</t>
  </si>
  <si>
    <t>CMP395</t>
  </si>
  <si>
    <t>CMP396</t>
  </si>
  <si>
    <t>CMP397</t>
  </si>
  <si>
    <t>CMP398</t>
  </si>
  <si>
    <t>CMP399</t>
  </si>
  <si>
    <t>CMP400</t>
  </si>
  <si>
    <t>CMP401</t>
  </si>
  <si>
    <t>CMP402</t>
  </si>
  <si>
    <t>CMP403</t>
  </si>
  <si>
    <t>CMP404</t>
  </si>
  <si>
    <t>CMP405</t>
  </si>
  <si>
    <t>CMP406</t>
  </si>
  <si>
    <t>CMP407</t>
  </si>
  <si>
    <t>CMP408</t>
  </si>
  <si>
    <t>CMP409</t>
  </si>
  <si>
    <t>CMP410</t>
  </si>
  <si>
    <t>CMP411</t>
  </si>
  <si>
    <t>CMP412</t>
  </si>
  <si>
    <t>CMP413</t>
  </si>
  <si>
    <t>CMP414</t>
  </si>
  <si>
    <t>CMP415</t>
  </si>
  <si>
    <t>CMP416</t>
  </si>
  <si>
    <t>CMP417</t>
  </si>
  <si>
    <t>CMP418</t>
  </si>
  <si>
    <t>CMP419</t>
  </si>
  <si>
    <t>CMP420</t>
  </si>
  <si>
    <t>CMP421</t>
  </si>
  <si>
    <t>CMP422</t>
  </si>
  <si>
    <t>CMP423</t>
  </si>
  <si>
    <t>CMP424</t>
  </si>
  <si>
    <t>CMP425</t>
  </si>
  <si>
    <t>CMP426</t>
  </si>
  <si>
    <t>CMP427</t>
  </si>
  <si>
    <t>CMP428</t>
  </si>
  <si>
    <t>CMP429</t>
  </si>
  <si>
    <t>CMP430</t>
  </si>
  <si>
    <t>CMP431</t>
  </si>
  <si>
    <t>CMP432</t>
  </si>
  <si>
    <t>CMP433</t>
  </si>
  <si>
    <t>CMP434</t>
  </si>
  <si>
    <t>CMP435</t>
  </si>
  <si>
    <t>CMP436</t>
  </si>
  <si>
    <t>CMP437</t>
  </si>
  <si>
    <t>CMP438</t>
  </si>
  <si>
    <t>CMP439</t>
  </si>
  <si>
    <t>CMP440</t>
  </si>
  <si>
    <t>CMP441</t>
  </si>
  <si>
    <t>CMP442</t>
  </si>
  <si>
    <t>CMP443</t>
  </si>
  <si>
    <t>CMP444</t>
  </si>
  <si>
    <t>CMP445</t>
  </si>
  <si>
    <t>CMP446</t>
  </si>
  <si>
    <t>CMP447</t>
  </si>
  <si>
    <t>CMP448</t>
  </si>
  <si>
    <t>CMP449</t>
  </si>
  <si>
    <t>CMP450</t>
  </si>
  <si>
    <t>CMP451</t>
  </si>
  <si>
    <t>CMP452</t>
  </si>
  <si>
    <t>CMP453</t>
  </si>
  <si>
    <t>CMP454</t>
  </si>
  <si>
    <t>CMP455</t>
  </si>
  <si>
    <t>CMP456</t>
  </si>
  <si>
    <t>CMP457</t>
  </si>
  <si>
    <t>CMP458</t>
  </si>
  <si>
    <t>CMP459</t>
  </si>
  <si>
    <t>CMP460</t>
  </si>
  <si>
    <t>CMP461</t>
  </si>
  <si>
    <t>CMP462</t>
  </si>
  <si>
    <t>CMP463</t>
  </si>
  <si>
    <t>CMP464</t>
  </si>
  <si>
    <t>CMP465</t>
  </si>
  <si>
    <t>CMP466</t>
  </si>
  <si>
    <t>CMP467</t>
  </si>
  <si>
    <t>CMP468</t>
  </si>
  <si>
    <t>CMP469</t>
  </si>
  <si>
    <t>CMP470</t>
  </si>
  <si>
    <t>CMP471</t>
  </si>
  <si>
    <t>CMP472</t>
  </si>
  <si>
    <t>CMP473</t>
  </si>
  <si>
    <t>CMP474</t>
  </si>
  <si>
    <t>CMP475</t>
  </si>
  <si>
    <t>CMP476</t>
  </si>
  <si>
    <t>CMP477</t>
  </si>
  <si>
    <t>CMP478</t>
  </si>
  <si>
    <t>CMP479</t>
  </si>
  <si>
    <t>CMP480</t>
  </si>
  <si>
    <t>CMP481</t>
  </si>
  <si>
    <t>CMP482</t>
  </si>
  <si>
    <t>CMP483</t>
  </si>
  <si>
    <t>CMP484</t>
  </si>
  <si>
    <t>CMP485</t>
  </si>
  <si>
    <t>CMP486</t>
  </si>
  <si>
    <t>CMP487</t>
  </si>
  <si>
    <t>CMP488</t>
  </si>
  <si>
    <t>CMP489</t>
  </si>
  <si>
    <t>CMP490</t>
  </si>
  <si>
    <t>CMP491</t>
  </si>
  <si>
    <t>CMP492</t>
  </si>
  <si>
    <t>CMP493</t>
  </si>
  <si>
    <t>CMP494</t>
  </si>
  <si>
    <t>CMP495</t>
  </si>
  <si>
    <t>CMP496</t>
  </si>
  <si>
    <t>CMP497</t>
  </si>
  <si>
    <t>CMP498</t>
  </si>
  <si>
    <t>CMP499</t>
  </si>
  <si>
    <t>CMP500</t>
  </si>
  <si>
    <t>CMP501</t>
  </si>
  <si>
    <t>CMP502</t>
  </si>
  <si>
    <t>CMP503</t>
  </si>
  <si>
    <t>CMP504</t>
  </si>
  <si>
    <t>CMP505</t>
  </si>
  <si>
    <t>CMP506</t>
  </si>
  <si>
    <t>CMP507</t>
  </si>
  <si>
    <t>CMP508</t>
  </si>
  <si>
    <t>CMP509</t>
  </si>
  <si>
    <t>CMP510</t>
  </si>
  <si>
    <t>CMP511</t>
  </si>
  <si>
    <t>CMP512</t>
  </si>
  <si>
    <t>CMP513</t>
  </si>
  <si>
    <t>CMP514</t>
  </si>
  <si>
    <t>CMP515</t>
  </si>
  <si>
    <t>CMP516</t>
  </si>
  <si>
    <t>CMP517</t>
  </si>
  <si>
    <t>CMP518</t>
  </si>
  <si>
    <t>CMP519</t>
  </si>
  <si>
    <t>CMP520</t>
  </si>
  <si>
    <t>CMP521</t>
  </si>
  <si>
    <t>CMP522</t>
  </si>
  <si>
    <t>CMP523</t>
  </si>
  <si>
    <t>CMP524</t>
  </si>
  <si>
    <t>CMP525</t>
  </si>
  <si>
    <t>CMP526</t>
  </si>
  <si>
    <t>CMP527</t>
  </si>
  <si>
    <t>CMP528</t>
  </si>
  <si>
    <t>CMP529</t>
  </si>
  <si>
    <t>CMP530</t>
  </si>
  <si>
    <t>CMP531</t>
  </si>
  <si>
    <t>CMP532</t>
  </si>
  <si>
    <t>CMP533</t>
  </si>
  <si>
    <t>CMP534</t>
  </si>
  <si>
    <t>CMP535</t>
  </si>
  <si>
    <t>CMP536</t>
  </si>
  <si>
    <t>CMP537</t>
  </si>
  <si>
    <t>CMP538</t>
  </si>
  <si>
    <t>CMP539</t>
  </si>
  <si>
    <t>CMP540</t>
  </si>
  <si>
    <t>CMP541</t>
  </si>
  <si>
    <t>CMP542</t>
  </si>
  <si>
    <t>CMP543</t>
  </si>
  <si>
    <t>CMP544</t>
  </si>
  <si>
    <t>CMP545</t>
  </si>
  <si>
    <t>CMP546</t>
  </si>
  <si>
    <t>CMP547</t>
  </si>
  <si>
    <t>CMP548</t>
  </si>
  <si>
    <t>CMP549</t>
  </si>
  <si>
    <t>CMP550</t>
  </si>
  <si>
    <t>CMP551</t>
  </si>
  <si>
    <t>CMP552</t>
  </si>
  <si>
    <t>CMP553</t>
  </si>
  <si>
    <t>CMP554</t>
  </si>
  <si>
    <t>CMP555</t>
  </si>
  <si>
    <t>CMP556</t>
  </si>
  <si>
    <t>CMP557</t>
  </si>
  <si>
    <t>CMP558</t>
  </si>
  <si>
    <t>CMP559</t>
  </si>
  <si>
    <t>CMP560</t>
  </si>
  <si>
    <t>CMP561</t>
  </si>
  <si>
    <t>CMP562</t>
  </si>
  <si>
    <t>CMP563</t>
  </si>
  <si>
    <t>CMP564</t>
  </si>
  <si>
    <t>CMP565</t>
  </si>
  <si>
    <t>CMP566</t>
  </si>
  <si>
    <t>CMP567</t>
  </si>
  <si>
    <t>CMP568</t>
  </si>
  <si>
    <t>CMP569</t>
  </si>
  <si>
    <t>CMP570</t>
  </si>
  <si>
    <t>CMP571</t>
  </si>
  <si>
    <t>CMP572</t>
  </si>
  <si>
    <t>CMP573</t>
  </si>
  <si>
    <t>CMP574</t>
  </si>
  <si>
    <t>CMP575</t>
  </si>
  <si>
    <t>CMP576</t>
  </si>
  <si>
    <t>CMP577</t>
  </si>
  <si>
    <t>CMP578</t>
  </si>
  <si>
    <t>CMP579</t>
  </si>
  <si>
    <t>CMP580</t>
  </si>
  <si>
    <t>CMP581</t>
  </si>
  <si>
    <t>CMP582</t>
  </si>
  <si>
    <t>CMP583</t>
  </si>
  <si>
    <t>CMP584</t>
  </si>
  <si>
    <t>CMP585</t>
  </si>
  <si>
    <t>CMP586</t>
  </si>
  <si>
    <t>CMP587</t>
  </si>
  <si>
    <t>CMP588</t>
  </si>
  <si>
    <t>CMP589</t>
  </si>
  <si>
    <t>CMP590</t>
  </si>
  <si>
    <t>CMP591</t>
  </si>
  <si>
    <t>CMP592</t>
  </si>
  <si>
    <t>CMP593</t>
  </si>
  <si>
    <t>CMP594</t>
  </si>
  <si>
    <t>CMP595</t>
  </si>
  <si>
    <t>CMP596</t>
  </si>
  <si>
    <t>CMP597</t>
  </si>
  <si>
    <t>CMP598</t>
  </si>
  <si>
    <t>CMP599</t>
  </si>
  <si>
    <t>CMP600</t>
  </si>
  <si>
    <t>CMP601</t>
  </si>
  <si>
    <t>CMP602</t>
  </si>
  <si>
    <t>CMP603</t>
  </si>
  <si>
    <t>CMP604</t>
  </si>
  <si>
    <t>CMP605</t>
  </si>
  <si>
    <t>CMP606</t>
  </si>
  <si>
    <t>CMP607</t>
  </si>
  <si>
    <t>CMP608</t>
  </si>
  <si>
    <t>CMP609</t>
  </si>
  <si>
    <t>CMP610</t>
  </si>
  <si>
    <t>CMP611</t>
  </si>
  <si>
    <t>CMP612</t>
  </si>
  <si>
    <t>CMP613</t>
  </si>
  <si>
    <t>CMP614</t>
  </si>
  <si>
    <t>CMP615</t>
  </si>
  <si>
    <t>CMP616</t>
  </si>
  <si>
    <t>CMP617</t>
  </si>
  <si>
    <t>CMP618</t>
  </si>
  <si>
    <t>CMP619</t>
  </si>
  <si>
    <t>CMP620</t>
  </si>
  <si>
    <t>CMP621</t>
  </si>
  <si>
    <t>CMP622</t>
  </si>
  <si>
    <t>CMP623</t>
  </si>
  <si>
    <t>CMP624</t>
  </si>
  <si>
    <t>CMP625</t>
  </si>
  <si>
    <t>CMP626</t>
  </si>
  <si>
    <t>CMP627</t>
  </si>
  <si>
    <t>CMP628</t>
  </si>
  <si>
    <t>CMP629</t>
  </si>
  <si>
    <t>CMP630</t>
  </si>
  <si>
    <t>CMP631</t>
  </si>
  <si>
    <t>CMP632</t>
  </si>
  <si>
    <t>CMP633</t>
  </si>
  <si>
    <t>CMP634</t>
  </si>
  <si>
    <t>CMP635</t>
  </si>
  <si>
    <t>CMP636</t>
  </si>
  <si>
    <t>CMP637</t>
  </si>
  <si>
    <t>CMP638</t>
  </si>
  <si>
    <t>CMP639</t>
  </si>
  <si>
    <t>CMP640</t>
  </si>
  <si>
    <t>CMP641</t>
  </si>
  <si>
    <t>CMP642</t>
  </si>
  <si>
    <t>CMP643</t>
  </si>
  <si>
    <t>CMP644</t>
  </si>
  <si>
    <t>CMP645</t>
  </si>
  <si>
    <t>CMP646</t>
  </si>
  <si>
    <t>CMP647</t>
  </si>
  <si>
    <t>CMP648</t>
  </si>
  <si>
    <t>CMP649</t>
  </si>
  <si>
    <t>CMP650</t>
  </si>
  <si>
    <t>CMP651</t>
  </si>
  <si>
    <t>CMP652</t>
  </si>
  <si>
    <t>CMP653</t>
  </si>
  <si>
    <t>CMP654</t>
  </si>
  <si>
    <t>CMP655</t>
  </si>
  <si>
    <t>CMP656</t>
  </si>
  <si>
    <t>CMP657</t>
  </si>
  <si>
    <t>CMP658</t>
  </si>
  <si>
    <t>CMP659</t>
  </si>
  <si>
    <t>CMP660</t>
  </si>
  <si>
    <t>CMP661</t>
  </si>
  <si>
    <t>CMP662</t>
  </si>
  <si>
    <t>CMP663</t>
  </si>
  <si>
    <t>CMP664</t>
  </si>
  <si>
    <t>CMP665</t>
  </si>
  <si>
    <t>CMP666</t>
  </si>
  <si>
    <t>CMP667</t>
  </si>
  <si>
    <t>CMP668</t>
  </si>
  <si>
    <t>CMP669</t>
  </si>
  <si>
    <t>CMP670</t>
  </si>
  <si>
    <t>CMP671</t>
  </si>
  <si>
    <t>CMP672</t>
  </si>
  <si>
    <t>CMP673</t>
  </si>
  <si>
    <t>CMP674</t>
  </si>
  <si>
    <t>CMP675</t>
  </si>
  <si>
    <t>CMP676</t>
  </si>
  <si>
    <t>CMP677</t>
  </si>
  <si>
    <t>CMP678</t>
  </si>
  <si>
    <t>CMP679</t>
  </si>
  <si>
    <t>CMP680</t>
  </si>
  <si>
    <t>CMP681</t>
  </si>
  <si>
    <t>CMP682</t>
  </si>
  <si>
    <t>CMP683</t>
  </si>
  <si>
    <t>CMP684</t>
  </si>
  <si>
    <t>CMP685</t>
  </si>
  <si>
    <t>CMP686</t>
  </si>
  <si>
    <t>CMP687</t>
  </si>
  <si>
    <t>CMP688</t>
  </si>
  <si>
    <t>CMP689</t>
  </si>
  <si>
    <t>CMP690</t>
  </si>
  <si>
    <t>CMP691</t>
  </si>
  <si>
    <t>CMP692</t>
  </si>
  <si>
    <t>CMP693</t>
  </si>
  <si>
    <t>CMP694</t>
  </si>
  <si>
    <t>CMP695</t>
  </si>
  <si>
    <t>CMP696</t>
  </si>
  <si>
    <t>CMP697</t>
  </si>
  <si>
    <t>CMP698</t>
  </si>
  <si>
    <t>CMP699</t>
  </si>
  <si>
    <t>CMP700</t>
  </si>
  <si>
    <t>CMP701</t>
  </si>
  <si>
    <t>CMP702</t>
  </si>
  <si>
    <t>CMP703</t>
  </si>
  <si>
    <t>CMP704</t>
  </si>
  <si>
    <t>CMP705</t>
  </si>
  <si>
    <t>CMP706</t>
  </si>
  <si>
    <t>CMP707</t>
  </si>
  <si>
    <t>CMP708</t>
  </si>
  <si>
    <t>CMP709</t>
  </si>
  <si>
    <t>CMP710</t>
  </si>
  <si>
    <t>CMP711</t>
  </si>
  <si>
    <t>CMP712</t>
  </si>
  <si>
    <t>CMP713</t>
  </si>
  <si>
    <t>CMP714</t>
  </si>
  <si>
    <t>CMP715</t>
  </si>
  <si>
    <t>CMP716</t>
  </si>
  <si>
    <t>CMP717</t>
  </si>
  <si>
    <t>CMP718</t>
  </si>
  <si>
    <t>CMP719</t>
  </si>
  <si>
    <t>CMP720</t>
  </si>
  <si>
    <t>CMP721</t>
  </si>
  <si>
    <t>CMP722</t>
  </si>
  <si>
    <t>CMP723</t>
  </si>
  <si>
    <t>CMP724</t>
  </si>
  <si>
    <t>CMP725</t>
  </si>
  <si>
    <t>CMP726</t>
  </si>
  <si>
    <t>CMP727</t>
  </si>
  <si>
    <t>CMP728</t>
  </si>
  <si>
    <t>CMP729</t>
  </si>
  <si>
    <t>CMP730</t>
  </si>
  <si>
    <t>CMP731</t>
  </si>
  <si>
    <t>CMP732</t>
  </si>
  <si>
    <t>CMP733</t>
  </si>
  <si>
    <t>CMP734</t>
  </si>
  <si>
    <t>CMP735</t>
  </si>
  <si>
    <t>CMP736</t>
  </si>
  <si>
    <t>CMP737</t>
  </si>
  <si>
    <t>CMP738</t>
  </si>
  <si>
    <t>CMP739</t>
  </si>
  <si>
    <t>CMP740</t>
  </si>
  <si>
    <t>CMP741</t>
  </si>
  <si>
    <t>CMP742</t>
  </si>
  <si>
    <t>CMP743</t>
  </si>
  <si>
    <t>CMP744</t>
  </si>
  <si>
    <t>CMP745</t>
  </si>
  <si>
    <t>CMP746</t>
  </si>
  <si>
    <t>CMP747</t>
  </si>
  <si>
    <t>CMP748</t>
  </si>
  <si>
    <t>CMP749</t>
  </si>
  <si>
    <t>CMP750</t>
  </si>
  <si>
    <t>CMP751</t>
  </si>
  <si>
    <t>CMP752</t>
  </si>
  <si>
    <t>CMP753</t>
  </si>
  <si>
    <t>CMP754</t>
  </si>
  <si>
    <t>CMP755</t>
  </si>
  <si>
    <t>CMP756</t>
  </si>
  <si>
    <t>CMP757</t>
  </si>
  <si>
    <t>CMP758</t>
  </si>
  <si>
    <t>CMP759</t>
  </si>
  <si>
    <t>CMP760</t>
  </si>
  <si>
    <t>CMP761</t>
  </si>
  <si>
    <t>CMP762</t>
  </si>
  <si>
    <t>CMP763</t>
  </si>
  <si>
    <t>CMP764</t>
  </si>
  <si>
    <t>CMP765</t>
  </si>
  <si>
    <t>CMP766</t>
  </si>
  <si>
    <t>CMP767</t>
  </si>
  <si>
    <t>CMP768</t>
  </si>
  <si>
    <t>CMP769</t>
  </si>
  <si>
    <t>CMP770</t>
  </si>
  <si>
    <t>CMP771</t>
  </si>
  <si>
    <t>CMP772</t>
  </si>
  <si>
    <t>CMP773</t>
  </si>
  <si>
    <t>CMP774</t>
  </si>
  <si>
    <t>CMP775</t>
  </si>
  <si>
    <t>CMP776</t>
  </si>
  <si>
    <t>CMP777</t>
  </si>
  <si>
    <t>CMP778</t>
  </si>
  <si>
    <t>CMP779</t>
  </si>
  <si>
    <t>CMP780</t>
  </si>
  <si>
    <t>CMP781</t>
  </si>
  <si>
    <t>CMP782</t>
  </si>
  <si>
    <t>CMP783</t>
  </si>
  <si>
    <t>CMP784</t>
  </si>
  <si>
    <t>CMP785</t>
  </si>
  <si>
    <t>CMP786</t>
  </si>
  <si>
    <t>CMP787</t>
  </si>
  <si>
    <t>CMP788</t>
  </si>
  <si>
    <t>CMP789</t>
  </si>
  <si>
    <t>CMP790</t>
  </si>
  <si>
    <t>CMP791</t>
  </si>
  <si>
    <t>CMP792</t>
  </si>
  <si>
    <t>CMP793</t>
  </si>
  <si>
    <t>CMP794</t>
  </si>
  <si>
    <t>CMP795</t>
  </si>
  <si>
    <t>CMP796</t>
  </si>
  <si>
    <t>CMP797</t>
  </si>
  <si>
    <t>CMP798</t>
  </si>
  <si>
    <t>CMP799</t>
  </si>
  <si>
    <t>CMP800</t>
  </si>
  <si>
    <t>CMP801</t>
  </si>
  <si>
    <t>CMP802</t>
  </si>
  <si>
    <t>CMP803</t>
  </si>
  <si>
    <t>CMP804</t>
  </si>
  <si>
    <t>CMP805</t>
  </si>
  <si>
    <t>CMP806</t>
  </si>
  <si>
    <t>CMP807</t>
  </si>
  <si>
    <t>CMP808</t>
  </si>
  <si>
    <t>CMP809</t>
  </si>
  <si>
    <t>CMP810</t>
  </si>
  <si>
    <t>CMP811</t>
  </si>
  <si>
    <t>CMP812</t>
  </si>
  <si>
    <t>CMP813</t>
  </si>
  <si>
    <t>CMP814</t>
  </si>
  <si>
    <t>CMP815</t>
  </si>
  <si>
    <t>CMP816</t>
  </si>
  <si>
    <t>CMP817</t>
  </si>
  <si>
    <t>CMP818</t>
  </si>
  <si>
    <t>CMP819</t>
  </si>
  <si>
    <t>CMP820</t>
  </si>
  <si>
    <t>CMP821</t>
  </si>
  <si>
    <t>CMP822</t>
  </si>
  <si>
    <t>CMP823</t>
  </si>
  <si>
    <t>CMP824</t>
  </si>
  <si>
    <t>CMP825</t>
  </si>
  <si>
    <t>CMP826</t>
  </si>
  <si>
    <t>CMP827</t>
  </si>
  <si>
    <t>CMP828</t>
  </si>
  <si>
    <t>CMP829</t>
  </si>
  <si>
    <t>CMP830</t>
  </si>
  <si>
    <t>CMP831</t>
  </si>
  <si>
    <t>CMP832</t>
  </si>
  <si>
    <t>CMP833</t>
  </si>
  <si>
    <t>CMP834</t>
  </si>
  <si>
    <t>CMP835</t>
  </si>
  <si>
    <t>CMP836</t>
  </si>
  <si>
    <t>CMP837</t>
  </si>
  <si>
    <t>CMP838</t>
  </si>
  <si>
    <t>CMP839</t>
  </si>
  <si>
    <t>CMP840</t>
  </si>
  <si>
    <t>CMP841</t>
  </si>
  <si>
    <t>CMP842</t>
  </si>
  <si>
    <t>CMP843</t>
  </si>
  <si>
    <t>CMP844</t>
  </si>
  <si>
    <t>CMP845</t>
  </si>
  <si>
    <t>CMP846</t>
  </si>
  <si>
    <t>CMP847</t>
  </si>
  <si>
    <t>CMP848</t>
  </si>
  <si>
    <t>CMP849</t>
  </si>
  <si>
    <t>CMP850</t>
  </si>
  <si>
    <t>CMP851</t>
  </si>
  <si>
    <t>CMP852</t>
  </si>
  <si>
    <t>CMP853</t>
  </si>
  <si>
    <t>CMP854</t>
  </si>
  <si>
    <t>CMP855</t>
  </si>
  <si>
    <t>CMP856</t>
  </si>
  <si>
    <t>CMP857</t>
  </si>
  <si>
    <t>CMP858</t>
  </si>
  <si>
    <t>CMP859</t>
  </si>
  <si>
    <t>CMP860</t>
  </si>
  <si>
    <t>CMP861</t>
  </si>
  <si>
    <t>CMP862</t>
  </si>
  <si>
    <t>CMP863</t>
  </si>
  <si>
    <t>CMP864</t>
  </si>
  <si>
    <t>CMP865</t>
  </si>
  <si>
    <t>CMP866</t>
  </si>
  <si>
    <t>CMP867</t>
  </si>
  <si>
    <t>CMP868</t>
  </si>
  <si>
    <t>CMP869</t>
  </si>
  <si>
    <t>CMP870</t>
  </si>
  <si>
    <t>CMP871</t>
  </si>
  <si>
    <t>CMP872</t>
  </si>
  <si>
    <t>CMP873</t>
  </si>
  <si>
    <t>CMP874</t>
  </si>
  <si>
    <t>CMP875</t>
  </si>
  <si>
    <t>CMP876</t>
  </si>
  <si>
    <t>CMP877</t>
  </si>
  <si>
    <t>CMP878</t>
  </si>
  <si>
    <t>CMP879</t>
  </si>
  <si>
    <t>CMP880</t>
  </si>
  <si>
    <t>CMP881</t>
  </si>
  <si>
    <t>CMP882</t>
  </si>
  <si>
    <t>CMP883</t>
  </si>
  <si>
    <t>CMP884</t>
  </si>
  <si>
    <t>CMP885</t>
  </si>
  <si>
    <t>CMP886</t>
  </si>
  <si>
    <t>CMP887</t>
  </si>
  <si>
    <t>CMP888</t>
  </si>
  <si>
    <t>CMP889</t>
  </si>
  <si>
    <t>CMP890</t>
  </si>
  <si>
    <t>CMP891</t>
  </si>
  <si>
    <t>CMP892</t>
  </si>
  <si>
    <t>CMP893</t>
  </si>
  <si>
    <t>CMP894</t>
  </si>
  <si>
    <t>CMP895</t>
  </si>
  <si>
    <t>CMP896</t>
  </si>
  <si>
    <t>CMP897</t>
  </si>
  <si>
    <t>CMP898</t>
  </si>
  <si>
    <t>CMP899</t>
  </si>
  <si>
    <t>CMP900</t>
  </si>
  <si>
    <t>CMP901</t>
  </si>
  <si>
    <t>CMP902</t>
  </si>
  <si>
    <t>CMP903</t>
  </si>
  <si>
    <t>CMP904</t>
  </si>
  <si>
    <t>CMP905</t>
  </si>
  <si>
    <t>CMP906</t>
  </si>
  <si>
    <t>CMP907</t>
  </si>
  <si>
    <t>CMP908</t>
  </si>
  <si>
    <t>CMP909</t>
  </si>
  <si>
    <t>CMP910</t>
  </si>
  <si>
    <t>CMP911</t>
  </si>
  <si>
    <t>CMP912</t>
  </si>
  <si>
    <t>CMP913</t>
  </si>
  <si>
    <t>CMP914</t>
  </si>
  <si>
    <t>CMP915</t>
  </si>
  <si>
    <t>CMP916</t>
  </si>
  <si>
    <t>CMP917</t>
  </si>
  <si>
    <t>CMP918</t>
  </si>
  <si>
    <t>CMP919</t>
  </si>
  <si>
    <t>CMP920</t>
  </si>
  <si>
    <t>CMP921</t>
  </si>
  <si>
    <t>CMP922</t>
  </si>
  <si>
    <t>CMP923</t>
  </si>
  <si>
    <t>CMP924</t>
  </si>
  <si>
    <t>CMP925</t>
  </si>
  <si>
    <t>CMP926</t>
  </si>
  <si>
    <t>CMP927</t>
  </si>
  <si>
    <t>CMP928</t>
  </si>
  <si>
    <t>CMP929</t>
  </si>
  <si>
    <t>CMP930</t>
  </si>
  <si>
    <t>CMP931</t>
  </si>
  <si>
    <t>CMP932</t>
  </si>
  <si>
    <t>CMP933</t>
  </si>
  <si>
    <t>CMP934</t>
  </si>
  <si>
    <t>CMP935</t>
  </si>
  <si>
    <t>CMP936</t>
  </si>
  <si>
    <t>CMP937</t>
  </si>
  <si>
    <t>CMP938</t>
  </si>
  <si>
    <t>CMP939</t>
  </si>
  <si>
    <t>CMP940</t>
  </si>
  <si>
    <t>CMP941</t>
  </si>
  <si>
    <t>CMP942</t>
  </si>
  <si>
    <t>CMP943</t>
  </si>
  <si>
    <t>CMP944</t>
  </si>
  <si>
    <t>CMP945</t>
  </si>
  <si>
    <t>CMP946</t>
  </si>
  <si>
    <t>CMP947</t>
  </si>
  <si>
    <t>CMP948</t>
  </si>
  <si>
    <t>CMP949</t>
  </si>
  <si>
    <t>CMP950</t>
  </si>
  <si>
    <t>CMP951</t>
  </si>
  <si>
    <t>CMP952</t>
  </si>
  <si>
    <t>CMP953</t>
  </si>
  <si>
    <t>CMP954</t>
  </si>
  <si>
    <t>CMP955</t>
  </si>
  <si>
    <t>CMP956</t>
  </si>
  <si>
    <t>CMP957</t>
  </si>
  <si>
    <t>CMP958</t>
  </si>
  <si>
    <t>CMP959</t>
  </si>
  <si>
    <t>CMP960</t>
  </si>
  <si>
    <t>CMP961</t>
  </si>
  <si>
    <t>CMP962</t>
  </si>
  <si>
    <t>CMP963</t>
  </si>
  <si>
    <t>CMP964</t>
  </si>
  <si>
    <t>CMP965</t>
  </si>
  <si>
    <t>CMP966</t>
  </si>
  <si>
    <t>CMP967</t>
  </si>
  <si>
    <t>CMP968</t>
  </si>
  <si>
    <t>CMP969</t>
  </si>
  <si>
    <t>CMP970</t>
  </si>
  <si>
    <t>CMP971</t>
  </si>
  <si>
    <t>CMP972</t>
  </si>
  <si>
    <t>CMP973</t>
  </si>
  <si>
    <t>CMP974</t>
  </si>
  <si>
    <t>CMP975</t>
  </si>
  <si>
    <t>CMP976</t>
  </si>
  <si>
    <t>CMP977</t>
  </si>
  <si>
    <t>CMP978</t>
  </si>
  <si>
    <t>CMP979</t>
  </si>
  <si>
    <t>CMP980</t>
  </si>
  <si>
    <t>CMP981</t>
  </si>
  <si>
    <t>CMP982</t>
  </si>
  <si>
    <t>CMP983</t>
  </si>
  <si>
    <t>CMP984</t>
  </si>
  <si>
    <t>CMP985</t>
  </si>
  <si>
    <t>CMP986</t>
  </si>
  <si>
    <t>CMP987</t>
  </si>
  <si>
    <t>CMP988</t>
  </si>
  <si>
    <t>CMP989</t>
  </si>
  <si>
    <t>CMP990</t>
  </si>
  <si>
    <t>CMP991</t>
  </si>
  <si>
    <t>CMP992</t>
  </si>
  <si>
    <t>CMP993</t>
  </si>
  <si>
    <t>CMP994</t>
  </si>
  <si>
    <t>CMP995</t>
  </si>
  <si>
    <t>CMP996</t>
  </si>
  <si>
    <t>CMP997</t>
  </si>
  <si>
    <t>CMP998</t>
  </si>
  <si>
    <t>CMP999</t>
  </si>
  <si>
    <t>CMP1000</t>
  </si>
  <si>
    <t>CMP1001</t>
  </si>
  <si>
    <t>CMP1002</t>
  </si>
  <si>
    <t>CMP1003</t>
  </si>
  <si>
    <t>CMP1004</t>
  </si>
  <si>
    <t>CMP1005</t>
  </si>
  <si>
    <t>CMP1006</t>
  </si>
  <si>
    <t>CMP1007</t>
  </si>
  <si>
    <t>CMP1008</t>
  </si>
  <si>
    <t>CMP1009</t>
  </si>
  <si>
    <t>CMP1010</t>
  </si>
  <si>
    <t>CMP1011</t>
  </si>
  <si>
    <t>CMP1012</t>
  </si>
  <si>
    <t>CMP1013</t>
  </si>
  <si>
    <t>CMP1014</t>
  </si>
  <si>
    <t>CMP1015</t>
  </si>
  <si>
    <t>CMP1016</t>
  </si>
  <si>
    <t>CMP1017</t>
  </si>
  <si>
    <t>CMP1018</t>
  </si>
  <si>
    <t>CMP1019</t>
  </si>
  <si>
    <t>CMP1020</t>
  </si>
  <si>
    <t>CMP1021</t>
  </si>
  <si>
    <t>CMP1022</t>
  </si>
  <si>
    <t>CMP1023</t>
  </si>
  <si>
    <t>CMP1024</t>
  </si>
  <si>
    <t>CMP1025</t>
  </si>
  <si>
    <t>CMP1026</t>
  </si>
  <si>
    <t>CMP1027</t>
  </si>
  <si>
    <t>CMP1028</t>
  </si>
  <si>
    <t>CMP1029</t>
  </si>
  <si>
    <t>CMP1030</t>
  </si>
  <si>
    <t>CMP1031</t>
  </si>
  <si>
    <t>CMP1032</t>
  </si>
  <si>
    <t>CMP1033</t>
  </si>
  <si>
    <t>CMP1034</t>
  </si>
  <si>
    <t>CMP1035</t>
  </si>
  <si>
    <t>CMP1036</t>
  </si>
  <si>
    <t>CMP1037</t>
  </si>
  <si>
    <t>CMP1038</t>
  </si>
  <si>
    <t>CMP1039</t>
  </si>
  <si>
    <t>CMP1040</t>
  </si>
  <si>
    <t>CMP1041</t>
  </si>
  <si>
    <t>CMP1042</t>
  </si>
  <si>
    <t>CMP1043</t>
  </si>
  <si>
    <t>CMP1044</t>
  </si>
  <si>
    <t>CMP1045</t>
  </si>
  <si>
    <t>CMP1046</t>
  </si>
  <si>
    <t>CMP1047</t>
  </si>
  <si>
    <t>CMP1048</t>
  </si>
  <si>
    <t>CMP1049</t>
  </si>
  <si>
    <t>CMP1050</t>
  </si>
  <si>
    <t>CMP1051</t>
  </si>
  <si>
    <t>CMP1052</t>
  </si>
  <si>
    <t>CMP1053</t>
  </si>
  <si>
    <t>CMP1054</t>
  </si>
  <si>
    <t>CMP1055</t>
  </si>
  <si>
    <t>CMP1056</t>
  </si>
  <si>
    <t>CMP1057</t>
  </si>
  <si>
    <t>CMP1058</t>
  </si>
  <si>
    <t>CMP1059</t>
  </si>
  <si>
    <t>CMP1060</t>
  </si>
  <si>
    <t>CMP1061</t>
  </si>
  <si>
    <t>CMP1062</t>
  </si>
  <si>
    <t>CMP1063</t>
  </si>
  <si>
    <t>CMP1064</t>
  </si>
  <si>
    <t>CMP1065</t>
  </si>
  <si>
    <t>CMP1066</t>
  </si>
  <si>
    <t>CMP1067</t>
  </si>
  <si>
    <t>CMP1068</t>
  </si>
  <si>
    <t>CMP1069</t>
  </si>
  <si>
    <t>CMP1070</t>
  </si>
  <si>
    <t>CMP1071</t>
  </si>
  <si>
    <t>CMP1072</t>
  </si>
  <si>
    <t>CMP1073</t>
  </si>
  <si>
    <t>CMP1074</t>
  </si>
  <si>
    <t>CMP1075</t>
  </si>
  <si>
    <t>CMP1076</t>
  </si>
  <si>
    <t>CMP1077</t>
  </si>
  <si>
    <t>CMP1078</t>
  </si>
  <si>
    <t>CMP1079</t>
  </si>
  <si>
    <t>CMP1080</t>
  </si>
  <si>
    <t>CMP1081</t>
  </si>
  <si>
    <t>CMP1082</t>
  </si>
  <si>
    <t>CMP1083</t>
  </si>
  <si>
    <t>CMP1084</t>
  </si>
  <si>
    <t>CMP1085</t>
  </si>
  <si>
    <t>CMP1086</t>
  </si>
  <si>
    <t>CMP1087</t>
  </si>
  <si>
    <t>CMP1088</t>
  </si>
  <si>
    <t>CMP1089</t>
  </si>
  <si>
    <t>CMP1090</t>
  </si>
  <si>
    <t>CMP1091</t>
  </si>
  <si>
    <t>CMP1092</t>
  </si>
  <si>
    <t>CMP1093</t>
  </si>
  <si>
    <t>CMP1094</t>
  </si>
  <si>
    <t>CMP1095</t>
  </si>
  <si>
    <t>CMP1096</t>
  </si>
  <si>
    <t>CMP1097</t>
  </si>
  <si>
    <t>CMP1098</t>
  </si>
  <si>
    <t>CMP1099</t>
  </si>
  <si>
    <t>CMP1100</t>
  </si>
  <si>
    <t>CMP1101</t>
  </si>
  <si>
    <t>CMP1102</t>
  </si>
  <si>
    <t>CMP1103</t>
  </si>
  <si>
    <t>CMP1104</t>
  </si>
  <si>
    <t>CMP1105</t>
  </si>
  <si>
    <t>CMP1106</t>
  </si>
  <si>
    <t>CMP1107</t>
  </si>
  <si>
    <t>CMP1108</t>
  </si>
  <si>
    <t>CMP1109</t>
  </si>
  <si>
    <t>CMP1110</t>
  </si>
  <si>
    <t>CMP1111</t>
  </si>
  <si>
    <t>CMP1112</t>
  </si>
  <si>
    <t>CMP1113</t>
  </si>
  <si>
    <t>CMP1114</t>
  </si>
  <si>
    <t>CMP1115</t>
  </si>
  <si>
    <t>CMP1116</t>
  </si>
  <si>
    <t>CMP1117</t>
  </si>
  <si>
    <t>CMP1118</t>
  </si>
  <si>
    <t>CMP1119</t>
  </si>
  <si>
    <t>CMP1120</t>
  </si>
  <si>
    <t>CMP1121</t>
  </si>
  <si>
    <t>CMP1122</t>
  </si>
  <si>
    <t>CMP1123</t>
  </si>
  <si>
    <t>CMP1124</t>
  </si>
  <si>
    <t>CMP1125</t>
  </si>
  <si>
    <t>CMP1126</t>
  </si>
  <si>
    <t>CMP1127</t>
  </si>
  <si>
    <t>CMP1128</t>
  </si>
  <si>
    <t>CMP1129</t>
  </si>
  <si>
    <t>CMP1130</t>
  </si>
  <si>
    <t>CMP1131</t>
  </si>
  <si>
    <t>CMP1132</t>
  </si>
  <si>
    <t>CMP1133</t>
  </si>
  <si>
    <t>CMP1134</t>
  </si>
  <si>
    <t>CMP1135</t>
  </si>
  <si>
    <t>CMP1136</t>
  </si>
  <si>
    <t>CMP1137</t>
  </si>
  <si>
    <t>CMP1138</t>
  </si>
  <si>
    <t>CMP1139</t>
  </si>
  <si>
    <t>CMP1140</t>
  </si>
  <si>
    <t>CMP1141</t>
  </si>
  <si>
    <t>CMP1142</t>
  </si>
  <si>
    <t>CMP1143</t>
  </si>
  <si>
    <t>CMP1144</t>
  </si>
  <si>
    <t>CMP1145</t>
  </si>
  <si>
    <t>CMP1146</t>
  </si>
  <si>
    <t>CMP1147</t>
  </si>
  <si>
    <t>CMP1148</t>
  </si>
  <si>
    <t>CMP1149</t>
  </si>
  <si>
    <t>CMP1150</t>
  </si>
  <si>
    <t>CMP1151</t>
  </si>
  <si>
    <t>CMP1152</t>
  </si>
  <si>
    <t>CMP1153</t>
  </si>
  <si>
    <t>CMP1154</t>
  </si>
  <si>
    <t>CMP1155</t>
  </si>
  <si>
    <t>CMP1156</t>
  </si>
  <si>
    <t>CMP1157</t>
  </si>
  <si>
    <t>CMP1158</t>
  </si>
  <si>
    <t>CMP1159</t>
  </si>
  <si>
    <t>CMP1160</t>
  </si>
  <si>
    <t>CMP1161</t>
  </si>
  <si>
    <t>CMP1162</t>
  </si>
  <si>
    <t>CMP1163</t>
  </si>
  <si>
    <t>CMP1164</t>
  </si>
  <si>
    <t>CMP1165</t>
  </si>
  <si>
    <t>CMP1166</t>
  </si>
  <si>
    <t>CMP1167</t>
  </si>
  <si>
    <t>CMP1168</t>
  </si>
  <si>
    <t>CMP1169</t>
  </si>
  <si>
    <t>CMP1170</t>
  </si>
  <si>
    <t>CMP1171</t>
  </si>
  <si>
    <t>CMP1172</t>
  </si>
  <si>
    <t>CMP1173</t>
  </si>
  <si>
    <t>CMP1174</t>
  </si>
  <si>
    <t>CMP1175</t>
  </si>
  <si>
    <t>CMP1176</t>
  </si>
  <si>
    <t>CMP1177</t>
  </si>
  <si>
    <t>CMP1178</t>
  </si>
  <si>
    <t>CMP1179</t>
  </si>
  <si>
    <t>CMP1180</t>
  </si>
  <si>
    <t>CMP1181</t>
  </si>
  <si>
    <t>CMP1182</t>
  </si>
  <si>
    <t>CMP1183</t>
  </si>
  <si>
    <t>CMP1184</t>
  </si>
  <si>
    <t>CMP1185</t>
  </si>
  <si>
    <t>CMP1186</t>
  </si>
  <si>
    <t>CMP1187</t>
  </si>
  <si>
    <t>CMP1188</t>
  </si>
  <si>
    <t>CMP1189</t>
  </si>
  <si>
    <t>CMP1190</t>
  </si>
  <si>
    <t>CMP1191</t>
  </si>
  <si>
    <t>CMP1192</t>
  </si>
  <si>
    <t>CMP1193</t>
  </si>
  <si>
    <t>CMP1194</t>
  </si>
  <si>
    <t>CMP1195</t>
  </si>
  <si>
    <t>CMP1196</t>
  </si>
  <si>
    <t>CMP1197</t>
  </si>
  <si>
    <t>CMP1198</t>
  </si>
  <si>
    <t>CMP1199</t>
  </si>
  <si>
    <t>CMP1200</t>
  </si>
  <si>
    <t>CMP1201</t>
  </si>
  <si>
    <t>CMP1202</t>
  </si>
  <si>
    <t>CMP1203</t>
  </si>
  <si>
    <t>CMP1204</t>
  </si>
  <si>
    <t>CMP1205</t>
  </si>
  <si>
    <t>CMP1206</t>
  </si>
  <si>
    <t>CMP1207</t>
  </si>
  <si>
    <t>CMP1208</t>
  </si>
  <si>
    <t>CMP1209</t>
  </si>
  <si>
    <t>CMP1210</t>
  </si>
  <si>
    <t>CMP1211</t>
  </si>
  <si>
    <t>CMP1212</t>
  </si>
  <si>
    <t>CMP1213</t>
  </si>
  <si>
    <t>CMP1214</t>
  </si>
  <si>
    <t>CMP1215</t>
  </si>
  <si>
    <t>CMP1216</t>
  </si>
  <si>
    <t>CMP1217</t>
  </si>
  <si>
    <t>CMP1218</t>
  </si>
  <si>
    <t>CMP1219</t>
  </si>
  <si>
    <t>CMP1220</t>
  </si>
  <si>
    <t>CMP1221</t>
  </si>
  <si>
    <t>CMP1222</t>
  </si>
  <si>
    <t>CMP1223</t>
  </si>
  <si>
    <t>CMP1224</t>
  </si>
  <si>
    <t>CMP1225</t>
  </si>
  <si>
    <t>CMP1226</t>
  </si>
  <si>
    <t>CMP1227</t>
  </si>
  <si>
    <t>CMP1228</t>
  </si>
  <si>
    <t>CMP1229</t>
  </si>
  <si>
    <t>CMP1230</t>
  </si>
  <si>
    <t>CMP1231</t>
  </si>
  <si>
    <t>CMP1232</t>
  </si>
  <si>
    <t>CMP1233</t>
  </si>
  <si>
    <t>CMP1234</t>
  </si>
  <si>
    <t>CMP1235</t>
  </si>
  <si>
    <t>CMP1236</t>
  </si>
  <si>
    <t>CMP1237</t>
  </si>
  <si>
    <t>CMP1238</t>
  </si>
  <si>
    <t>CMP1239</t>
  </si>
  <si>
    <t>CMP1240</t>
  </si>
  <si>
    <t>CMP1241</t>
  </si>
  <si>
    <t>CMP1242</t>
  </si>
  <si>
    <t>CMP1243</t>
  </si>
  <si>
    <t>CMP1244</t>
  </si>
  <si>
    <t>CMP1245</t>
  </si>
  <si>
    <t>CMP1246</t>
  </si>
  <si>
    <t>CMP1247</t>
  </si>
  <si>
    <t>CMP1248</t>
  </si>
  <si>
    <t>CMP1249</t>
  </si>
  <si>
    <t>CMP1250</t>
  </si>
  <si>
    <t>CMP1251</t>
  </si>
  <si>
    <t>CMP1252</t>
  </si>
  <si>
    <t>CMP1253</t>
  </si>
  <si>
    <t>CMP1254</t>
  </si>
  <si>
    <t>CMP1255</t>
  </si>
  <si>
    <t>CMP1256</t>
  </si>
  <si>
    <t>CMP1257</t>
  </si>
  <si>
    <t>CMP1258</t>
  </si>
  <si>
    <t>CMP1259</t>
  </si>
  <si>
    <t>CMP1260</t>
  </si>
  <si>
    <t>CMP1261</t>
  </si>
  <si>
    <t>CMP1262</t>
  </si>
  <si>
    <t>CMP1263</t>
  </si>
  <si>
    <t>CMP1264</t>
  </si>
  <si>
    <t>CMP1265</t>
  </si>
  <si>
    <t>CMP1266</t>
  </si>
  <si>
    <t>CMP1267</t>
  </si>
  <si>
    <t>CMP1268</t>
  </si>
  <si>
    <t>CMP1269</t>
  </si>
  <si>
    <t>CMP1270</t>
  </si>
  <si>
    <t>CMP1271</t>
  </si>
  <si>
    <t>CMP1272</t>
  </si>
  <si>
    <t>CMP1273</t>
  </si>
  <si>
    <t>CMP1274</t>
  </si>
  <si>
    <t>CMP1275</t>
  </si>
  <si>
    <t>CMP1276</t>
  </si>
  <si>
    <t>CMP1277</t>
  </si>
  <si>
    <t>CMP1278</t>
  </si>
  <si>
    <t>CMP1279</t>
  </si>
  <si>
    <t>CMP1280</t>
  </si>
  <si>
    <t>CMP1281</t>
  </si>
  <si>
    <t>CMP1282</t>
  </si>
  <si>
    <t>CMP1283</t>
  </si>
  <si>
    <t>CMP1284</t>
  </si>
  <si>
    <t>CMP1285</t>
  </si>
  <si>
    <t>CMP1286</t>
  </si>
  <si>
    <t>CMP1287</t>
  </si>
  <si>
    <t>CMP1288</t>
  </si>
  <si>
    <t>CMP1289</t>
  </si>
  <si>
    <t>CMP1290</t>
  </si>
  <si>
    <t>CMP1291</t>
  </si>
  <si>
    <t>CMP1292</t>
  </si>
  <si>
    <t>CMP1293</t>
  </si>
  <si>
    <t>CMP1294</t>
  </si>
  <si>
    <t>CMP1295</t>
  </si>
  <si>
    <t>CMP1296</t>
  </si>
  <si>
    <t>CMP1297</t>
  </si>
  <si>
    <t>CMP1298</t>
  </si>
  <si>
    <t>CMP1299</t>
  </si>
  <si>
    <t>CMP1300</t>
  </si>
  <si>
    <t>CMP1301</t>
  </si>
  <si>
    <t>CMP1302</t>
  </si>
  <si>
    <t>CMP1303</t>
  </si>
  <si>
    <t>CMP1304</t>
  </si>
  <si>
    <t>CMP1305</t>
  </si>
  <si>
    <t>CMP1306</t>
  </si>
  <si>
    <t>CMP1307</t>
  </si>
  <si>
    <t>CMP1308</t>
  </si>
  <si>
    <t>CMP1309</t>
  </si>
  <si>
    <t>CMP1310</t>
  </si>
  <si>
    <t>CMP1311</t>
  </si>
  <si>
    <t>CMP1312</t>
  </si>
  <si>
    <t>CMP1313</t>
  </si>
  <si>
    <t>CMP1314</t>
  </si>
  <si>
    <t>CMP1315</t>
  </si>
  <si>
    <t>CMP1316</t>
  </si>
  <si>
    <t>CMP1317</t>
  </si>
  <si>
    <t>CMP1318</t>
  </si>
  <si>
    <t>CMP1319</t>
  </si>
  <si>
    <t>CMP1320</t>
  </si>
  <si>
    <t>CMP1321</t>
  </si>
  <si>
    <t>CMP1322</t>
  </si>
  <si>
    <t>CMP1323</t>
  </si>
  <si>
    <t>CMP1324</t>
  </si>
  <si>
    <t>CMP1325</t>
  </si>
  <si>
    <t>CMP1326</t>
  </si>
  <si>
    <t>CMP1327</t>
  </si>
  <si>
    <t>CMP1328</t>
  </si>
  <si>
    <t>CMP1329</t>
  </si>
  <si>
    <t>CMP1330</t>
  </si>
  <si>
    <t>CMP1331</t>
  </si>
  <si>
    <t>CMP1332</t>
  </si>
  <si>
    <t>CMP1333</t>
  </si>
  <si>
    <t>CMP1334</t>
  </si>
  <si>
    <t>CMP1335</t>
  </si>
  <si>
    <t>CMP1336</t>
  </si>
  <si>
    <t>CMP1337</t>
  </si>
  <si>
    <t>CMP1338</t>
  </si>
  <si>
    <t>CMP1339</t>
  </si>
  <si>
    <t>CMP1340</t>
  </si>
  <si>
    <t>CMP1341</t>
  </si>
  <si>
    <t>CMP1342</t>
  </si>
  <si>
    <t>CMP1343</t>
  </si>
  <si>
    <t>CMP1344</t>
  </si>
  <si>
    <t>CMP1345</t>
  </si>
  <si>
    <t>CMP1346</t>
  </si>
  <si>
    <t>CMP1347</t>
  </si>
  <si>
    <t>CMP1348</t>
  </si>
  <si>
    <t>CMP1349</t>
  </si>
  <si>
    <t>CMP1350</t>
  </si>
  <si>
    <t>CMP1351</t>
  </si>
  <si>
    <t>CMP1352</t>
  </si>
  <si>
    <t>CMP1353</t>
  </si>
  <si>
    <t>CMP1354</t>
  </si>
  <si>
    <t>CMP1355</t>
  </si>
  <si>
    <t>CMP1356</t>
  </si>
  <si>
    <t>CMP1357</t>
  </si>
  <si>
    <t>CMP1358</t>
  </si>
  <si>
    <t>CMP1359</t>
  </si>
  <si>
    <t>CMP1360</t>
  </si>
  <si>
    <t>CMP1361</t>
  </si>
  <si>
    <t>CMP1362</t>
  </si>
  <si>
    <t>CMP1363</t>
  </si>
  <si>
    <t>CMP1364</t>
  </si>
  <si>
    <t>CMP1365</t>
  </si>
  <si>
    <t>CMP1366</t>
  </si>
  <si>
    <t>CMP1367</t>
  </si>
  <si>
    <t>CMP1368</t>
  </si>
  <si>
    <t>CMP1369</t>
  </si>
  <si>
    <t>CMP1370</t>
  </si>
  <si>
    <t>CMP1371</t>
  </si>
  <si>
    <t>CMP1372</t>
  </si>
  <si>
    <t>CMP1373</t>
  </si>
  <si>
    <t>CMP1374</t>
  </si>
  <si>
    <t>CMP1375</t>
  </si>
  <si>
    <t>CMP1376</t>
  </si>
  <si>
    <t>CMP1377</t>
  </si>
  <si>
    <t>CMP1378</t>
  </si>
  <si>
    <t>CMP1379</t>
  </si>
  <si>
    <t>CMP1380</t>
  </si>
  <si>
    <t>CMP1381</t>
  </si>
  <si>
    <t>CMP1382</t>
  </si>
  <si>
    <t>CMP1383</t>
  </si>
  <si>
    <t>CMP1384</t>
  </si>
  <si>
    <t>CMP1385</t>
  </si>
  <si>
    <t>CMP1386</t>
  </si>
  <si>
    <t>CMP1387</t>
  </si>
  <si>
    <t>CMP1388</t>
  </si>
  <si>
    <t>CMP1389</t>
  </si>
  <si>
    <t>CMP1390</t>
  </si>
  <si>
    <t>CMP1391</t>
  </si>
  <si>
    <t>CMP1392</t>
  </si>
  <si>
    <t>CMP1393</t>
  </si>
  <si>
    <t>CMP1394</t>
  </si>
  <si>
    <t>CMP1395</t>
  </si>
  <si>
    <t>CMP1396</t>
  </si>
  <si>
    <t>CMP1397</t>
  </si>
  <si>
    <t>CMP1398</t>
  </si>
  <si>
    <t>CMP1399</t>
  </si>
  <si>
    <t>CMP1400</t>
  </si>
  <si>
    <t>CMP1401</t>
  </si>
  <si>
    <t>CMP1402</t>
  </si>
  <si>
    <t>CMP1403</t>
  </si>
  <si>
    <t>CMP1404</t>
  </si>
  <si>
    <t>CMP1405</t>
  </si>
  <si>
    <t>CMP1406</t>
  </si>
  <si>
    <t>CMP1407</t>
  </si>
  <si>
    <t>CMP1408</t>
  </si>
  <si>
    <t>CMP1409</t>
  </si>
  <si>
    <t>CMP1410</t>
  </si>
  <si>
    <t>CMP1411</t>
  </si>
  <si>
    <t>CMP1412</t>
  </si>
  <si>
    <t>CMP1413</t>
  </si>
  <si>
    <t>CMP1414</t>
  </si>
  <si>
    <t>CMP1415</t>
  </si>
  <si>
    <t>CMP1416</t>
  </si>
  <si>
    <t>CMP1417</t>
  </si>
  <si>
    <t>CMP1418</t>
  </si>
  <si>
    <t>CMP1419</t>
  </si>
  <si>
    <t>CMP1420</t>
  </si>
  <si>
    <t>CMP1421</t>
  </si>
  <si>
    <t>CMP1422</t>
  </si>
  <si>
    <t>CMP1423</t>
  </si>
  <si>
    <t>CMP1424</t>
  </si>
  <si>
    <t>CMP1425</t>
  </si>
  <si>
    <t>CMP1426</t>
  </si>
  <si>
    <t>CMP1427</t>
  </si>
  <si>
    <t>CMP1428</t>
  </si>
  <si>
    <t>CMP1429</t>
  </si>
  <si>
    <t>CMP1430</t>
  </si>
  <si>
    <t>CMP1431</t>
  </si>
  <si>
    <t>CMP1432</t>
  </si>
  <si>
    <t>CMP1433</t>
  </si>
  <si>
    <t>CMP1434</t>
  </si>
  <si>
    <t>CMP1435</t>
  </si>
  <si>
    <t>CMP1436</t>
  </si>
  <si>
    <t>CMP1437</t>
  </si>
  <si>
    <t>CMP1438</t>
  </si>
  <si>
    <t>CMP1439</t>
  </si>
  <si>
    <t>CMP1440</t>
  </si>
  <si>
    <t>CMP1441</t>
  </si>
  <si>
    <t>CMP1442</t>
  </si>
  <si>
    <t>CMP1443</t>
  </si>
  <si>
    <t>CMP1444</t>
  </si>
  <si>
    <t>CMP1445</t>
  </si>
  <si>
    <t>CMP1446</t>
  </si>
  <si>
    <t>CMP1447</t>
  </si>
  <si>
    <t>CMP1448</t>
  </si>
  <si>
    <t>CMP1449</t>
  </si>
  <si>
    <t>CMP1450</t>
  </si>
  <si>
    <t>CMP1451</t>
  </si>
  <si>
    <t>CMP1452</t>
  </si>
  <si>
    <t>CMP1453</t>
  </si>
  <si>
    <t>CMP1454</t>
  </si>
  <si>
    <t>CMP1455</t>
  </si>
  <si>
    <t>CMP1456</t>
  </si>
  <si>
    <t>CMP1457</t>
  </si>
  <si>
    <t>CMP1458</t>
  </si>
  <si>
    <t>CMP1459</t>
  </si>
  <si>
    <t>CMP1460</t>
  </si>
  <si>
    <t>CMP1461</t>
  </si>
  <si>
    <t>CMP1462</t>
  </si>
  <si>
    <t>CMP1463</t>
  </si>
  <si>
    <t>CMP1464</t>
  </si>
  <si>
    <t>CMP1465</t>
  </si>
  <si>
    <t>CMP1466</t>
  </si>
  <si>
    <t>CMP1467</t>
  </si>
  <si>
    <t>CMP1468</t>
  </si>
  <si>
    <t>CMP1469</t>
  </si>
  <si>
    <t>CMP1470</t>
  </si>
  <si>
    <t>CMP1471</t>
  </si>
  <si>
    <t>CMP1472</t>
  </si>
  <si>
    <t>CMP1473</t>
  </si>
  <si>
    <t>CMP1474</t>
  </si>
  <si>
    <t>CMP1475</t>
  </si>
  <si>
    <t>CMP1476</t>
  </si>
  <si>
    <t>CMP1477</t>
  </si>
  <si>
    <t>CMP1478</t>
  </si>
  <si>
    <t>CMP1479</t>
  </si>
  <si>
    <t>CMP1480</t>
  </si>
  <si>
    <t>CMP1481</t>
  </si>
  <si>
    <t>CMP1482</t>
  </si>
  <si>
    <t>CMP1483</t>
  </si>
  <si>
    <t>CMP1484</t>
  </si>
  <si>
    <t>CMP1485</t>
  </si>
  <si>
    <t>CMP1486</t>
  </si>
  <si>
    <t>CMP1487</t>
  </si>
  <si>
    <t>CMP1488</t>
  </si>
  <si>
    <t>CMP1489</t>
  </si>
  <si>
    <t>CMP1490</t>
  </si>
  <si>
    <t>CMP1491</t>
  </si>
  <si>
    <t>CMP1492</t>
  </si>
  <si>
    <t>CMP1493</t>
  </si>
  <si>
    <t>CMP1494</t>
  </si>
  <si>
    <t>CMP1495</t>
  </si>
  <si>
    <t>CMP1496</t>
  </si>
  <si>
    <t>CMP1497</t>
  </si>
  <si>
    <t>CMP1498</t>
  </si>
  <si>
    <t>CMP1499</t>
  </si>
  <si>
    <t>CMP1500</t>
  </si>
  <si>
    <t>CMP1501</t>
  </si>
  <si>
    <t>CMP1502</t>
  </si>
  <si>
    <t>CMP1503</t>
  </si>
  <si>
    <t>CMP1504</t>
  </si>
  <si>
    <t>CMP1505</t>
  </si>
  <si>
    <t>CMP1506</t>
  </si>
  <si>
    <t>CMP1507</t>
  </si>
  <si>
    <t>CMP1508</t>
  </si>
  <si>
    <t>CMP1509</t>
  </si>
  <si>
    <t>CMP1510</t>
  </si>
  <si>
    <t>CMP1511</t>
  </si>
  <si>
    <t>CMP1512</t>
  </si>
  <si>
    <t>CMP1513</t>
  </si>
  <si>
    <t>CMP1514</t>
  </si>
  <si>
    <t>CMP1515</t>
  </si>
  <si>
    <t>CMP1516</t>
  </si>
  <si>
    <t>CMP1517</t>
  </si>
  <si>
    <t>CMP1518</t>
  </si>
  <si>
    <t>CMP1519</t>
  </si>
  <si>
    <t>CMP1520</t>
  </si>
  <si>
    <t>CMP1521</t>
  </si>
  <si>
    <t>CMP1522</t>
  </si>
  <si>
    <t>CMP1523</t>
  </si>
  <si>
    <t>CMP1524</t>
  </si>
  <si>
    <t>CMP1525</t>
  </si>
  <si>
    <t>CMP1526</t>
  </si>
  <si>
    <t>CMP1527</t>
  </si>
  <si>
    <t>CMP1528</t>
  </si>
  <si>
    <t>CMP1529</t>
  </si>
  <si>
    <t>CMP1530</t>
  </si>
  <si>
    <t>CMP1531</t>
  </si>
  <si>
    <t>CMP1532</t>
  </si>
  <si>
    <t>CMP1533</t>
  </si>
  <si>
    <t>CMP1534</t>
  </si>
  <si>
    <t>CMP1535</t>
  </si>
  <si>
    <t>CMP1536</t>
  </si>
  <si>
    <t>CMP1537</t>
  </si>
  <si>
    <t>CMP1538</t>
  </si>
  <si>
    <t>CMP1539</t>
  </si>
  <si>
    <t>CMP1540</t>
  </si>
  <si>
    <t>CMP1541</t>
  </si>
  <si>
    <t>CMP1542</t>
  </si>
  <si>
    <t>CMP1543</t>
  </si>
  <si>
    <t>CMP1544</t>
  </si>
  <si>
    <t>CMP1545</t>
  </si>
  <si>
    <t>CMP1546</t>
  </si>
  <si>
    <t>CMP1547</t>
  </si>
  <si>
    <t>CMP1548</t>
  </si>
  <si>
    <t>CMP1549</t>
  </si>
  <si>
    <t>CMP1550</t>
  </si>
  <si>
    <t>CMP1551</t>
  </si>
  <si>
    <t>CMP1552</t>
  </si>
  <si>
    <t>CMP1553</t>
  </si>
  <si>
    <t>CMP1554</t>
  </si>
  <si>
    <t>CMP1555</t>
  </si>
  <si>
    <t>CMP1556</t>
  </si>
  <si>
    <t>CMP1557</t>
  </si>
  <si>
    <t>CMP1558</t>
  </si>
  <si>
    <t>CMP1559</t>
  </si>
  <si>
    <t>CMP1560</t>
  </si>
  <si>
    <t>CMP1561</t>
  </si>
  <si>
    <t>CMP1562</t>
  </si>
  <si>
    <t>CMP1563</t>
  </si>
  <si>
    <t>CMP1564</t>
  </si>
  <si>
    <t>CMP1565</t>
  </si>
  <si>
    <t>CMP1566</t>
  </si>
  <si>
    <t>CMP1567</t>
  </si>
  <si>
    <t>CMP1568</t>
  </si>
  <si>
    <t>CMP1569</t>
  </si>
  <si>
    <t>CMP1570</t>
  </si>
  <si>
    <t>CMP1571</t>
  </si>
  <si>
    <t>CMP1572</t>
  </si>
  <si>
    <t>CMP1573</t>
  </si>
  <si>
    <t>CMP1574</t>
  </si>
  <si>
    <t>CMP1575</t>
  </si>
  <si>
    <t>CMP1576</t>
  </si>
  <si>
    <t>CMP1577</t>
  </si>
  <si>
    <t>CMP1578</t>
  </si>
  <si>
    <t>CMP1579</t>
  </si>
  <si>
    <t>CMP1580</t>
  </si>
  <si>
    <t>CMP1581</t>
  </si>
  <si>
    <t>CMP1582</t>
  </si>
  <si>
    <t>CMP1583</t>
  </si>
  <si>
    <t>CMP1584</t>
  </si>
  <si>
    <t>CMP1585</t>
  </si>
  <si>
    <t>CMP1586</t>
  </si>
  <si>
    <t>CMP1587</t>
  </si>
  <si>
    <t>CMP1588</t>
  </si>
  <si>
    <t>CMP1589</t>
  </si>
  <si>
    <t>CMP1590</t>
  </si>
  <si>
    <t>CMP1591</t>
  </si>
  <si>
    <t>CMP1592</t>
  </si>
  <si>
    <t>CMP1593</t>
  </si>
  <si>
    <t>CMP1594</t>
  </si>
  <si>
    <t>CMP1595</t>
  </si>
  <si>
    <t>CMP1596</t>
  </si>
  <si>
    <t>CMP1597</t>
  </si>
  <si>
    <t>CMP1598</t>
  </si>
  <si>
    <t>CMP1599</t>
  </si>
  <si>
    <t>CMP1600</t>
  </si>
  <si>
    <t>CMP1601</t>
  </si>
  <si>
    <t>CMP1602</t>
  </si>
  <si>
    <t>CMP1603</t>
  </si>
  <si>
    <t>CMP1604</t>
  </si>
  <si>
    <t>CMP1605</t>
  </si>
  <si>
    <t>CMP1606</t>
  </si>
  <si>
    <t>CMP1607</t>
  </si>
  <si>
    <t>CMP1608</t>
  </si>
  <si>
    <t>CMP1609</t>
  </si>
  <si>
    <t>CMP1610</t>
  </si>
  <si>
    <t>CMP1611</t>
  </si>
  <si>
    <t>CMP1612</t>
  </si>
  <si>
    <t>CMP1613</t>
  </si>
  <si>
    <t>CMP1614</t>
  </si>
  <si>
    <t>CMP1615</t>
  </si>
  <si>
    <t>CMP1616</t>
  </si>
  <si>
    <t>CMP1617</t>
  </si>
  <si>
    <t>CMP1618</t>
  </si>
  <si>
    <t>CMP1619</t>
  </si>
  <si>
    <t>CMP1620</t>
  </si>
  <si>
    <t>CMP1621</t>
  </si>
  <si>
    <t>CMP1622</t>
  </si>
  <si>
    <t>CMP1623</t>
  </si>
  <si>
    <t>CMP1624</t>
  </si>
  <si>
    <t>CMP1625</t>
  </si>
  <si>
    <t>CMP1626</t>
  </si>
  <si>
    <t>CMP1627</t>
  </si>
  <si>
    <t>CMP1628</t>
  </si>
  <si>
    <t>CMP1629</t>
  </si>
  <si>
    <t>CMP1630</t>
  </si>
  <si>
    <t>CMP1631</t>
  </si>
  <si>
    <t>CMP1632</t>
  </si>
  <si>
    <t>CMP1633</t>
  </si>
  <si>
    <t>CMP1634</t>
  </si>
  <si>
    <t>CMP1635</t>
  </si>
  <si>
    <t>CMP1636</t>
  </si>
  <si>
    <t>CMP1637</t>
  </si>
  <si>
    <t>CMP1638</t>
  </si>
  <si>
    <t>CMP1639</t>
  </si>
  <si>
    <t>CMP1640</t>
  </si>
  <si>
    <t>CMP1641</t>
  </si>
  <si>
    <t>CMP1642</t>
  </si>
  <si>
    <t>CMP1643</t>
  </si>
  <si>
    <t>CMP1644</t>
  </si>
  <si>
    <t>CMP1645</t>
  </si>
  <si>
    <t>CMP1646</t>
  </si>
  <si>
    <t>CMP1647</t>
  </si>
  <si>
    <t>CMP1648</t>
  </si>
  <si>
    <t>CMP1649</t>
  </si>
  <si>
    <t>CMP1650</t>
  </si>
  <si>
    <t>CMP1651</t>
  </si>
  <si>
    <t>CMP1652</t>
  </si>
  <si>
    <t>CMP1653</t>
  </si>
  <si>
    <t>CMP1654</t>
  </si>
  <si>
    <t>CMP1655</t>
  </si>
  <si>
    <t>CMP1656</t>
  </si>
  <si>
    <t>CMP1657</t>
  </si>
  <si>
    <t>CMP1658</t>
  </si>
  <si>
    <t>CMP1659</t>
  </si>
  <si>
    <t>CMP1660</t>
  </si>
  <si>
    <t>CMP1661</t>
  </si>
  <si>
    <t>CMP1662</t>
  </si>
  <si>
    <t>CMP1663</t>
  </si>
  <si>
    <t>CMP1664</t>
  </si>
  <si>
    <t>CMP1665</t>
  </si>
  <si>
    <t>CMP1666</t>
  </si>
  <si>
    <t>CMP1667</t>
  </si>
  <si>
    <t>CMP1668</t>
  </si>
  <si>
    <t>CMP1669</t>
  </si>
  <si>
    <t>CMP1670</t>
  </si>
  <si>
    <t>CMP1671</t>
  </si>
  <si>
    <t>CMP1672</t>
  </si>
  <si>
    <t>CMP1673</t>
  </si>
  <si>
    <t>CMP1674</t>
  </si>
  <si>
    <t>CMP1675</t>
  </si>
  <si>
    <t>CMP1676</t>
  </si>
  <si>
    <t>CMP1677</t>
  </si>
  <si>
    <t>CMP1678</t>
  </si>
  <si>
    <t>CMP1679</t>
  </si>
  <si>
    <t>CMP1680</t>
  </si>
  <si>
    <t>CMP1681</t>
  </si>
  <si>
    <t>CMP1682</t>
  </si>
  <si>
    <t>CMP1683</t>
  </si>
  <si>
    <t>CMP1684</t>
  </si>
  <si>
    <t>CMP1685</t>
  </si>
  <si>
    <t>CMP1686</t>
  </si>
  <si>
    <t>CMP1687</t>
  </si>
  <si>
    <t>CMP1688</t>
  </si>
  <si>
    <t>CMP1689</t>
  </si>
  <si>
    <t>CMP1690</t>
  </si>
  <si>
    <t>CMP1691</t>
  </si>
  <si>
    <t>CMP1692</t>
  </si>
  <si>
    <t>CMP1693</t>
  </si>
  <si>
    <t>CMP1694</t>
  </si>
  <si>
    <t>CMP1695</t>
  </si>
  <si>
    <t>CMP1696</t>
  </si>
  <si>
    <t>CMP1697</t>
  </si>
  <si>
    <t>CMP1698</t>
  </si>
  <si>
    <t>CMP1699</t>
  </si>
  <si>
    <t>CMP1700</t>
  </si>
  <si>
    <t>CMP1701</t>
  </si>
  <si>
    <t>CMP1702</t>
  </si>
  <si>
    <t>CMP1703</t>
  </si>
  <si>
    <t>CMP1704</t>
  </si>
  <si>
    <t>CMP1705</t>
  </si>
  <si>
    <t>CMP1706</t>
  </si>
  <si>
    <t>CMP1707</t>
  </si>
  <si>
    <t>CMP1708</t>
  </si>
  <si>
    <t>CMP1709</t>
  </si>
  <si>
    <t>CMP1710</t>
  </si>
  <si>
    <t>CMP1711</t>
  </si>
  <si>
    <t>CMP1712</t>
  </si>
  <si>
    <t>CMP1713</t>
  </si>
  <si>
    <t>CMP1714</t>
  </si>
  <si>
    <t>CMP1715</t>
  </si>
  <si>
    <t>CMP1716</t>
  </si>
  <si>
    <t>CMP1717</t>
  </si>
  <si>
    <t>CMP1718</t>
  </si>
  <si>
    <t>CMP1719</t>
  </si>
  <si>
    <t>CMP1720</t>
  </si>
  <si>
    <t>CMP1721</t>
  </si>
  <si>
    <t>CMP1722</t>
  </si>
  <si>
    <t>CMP1723</t>
  </si>
  <si>
    <t>CMP1724</t>
  </si>
  <si>
    <t>CMP1725</t>
  </si>
  <si>
    <t>CMP1726</t>
  </si>
  <si>
    <t>CMP1727</t>
  </si>
  <si>
    <t>CMP1728</t>
  </si>
  <si>
    <t>CMP1729</t>
  </si>
  <si>
    <t>CMP1730</t>
  </si>
  <si>
    <t>CMP1731</t>
  </si>
  <si>
    <t>CMP1732</t>
  </si>
  <si>
    <t>CMP1733</t>
  </si>
  <si>
    <t>CMP1734</t>
  </si>
  <si>
    <t>CMP1735</t>
  </si>
  <si>
    <t>CMP1736</t>
  </si>
  <si>
    <t>CMP1737</t>
  </si>
  <si>
    <t>CMP1738</t>
  </si>
  <si>
    <t>CMP1739</t>
  </si>
  <si>
    <t>CMP1740</t>
  </si>
  <si>
    <t>CMP1741</t>
  </si>
  <si>
    <t>CMP1742</t>
  </si>
  <si>
    <t>CMP1743</t>
  </si>
  <si>
    <t>CMP1744</t>
  </si>
  <si>
    <t>CMP1745</t>
  </si>
  <si>
    <t>CMP1746</t>
  </si>
  <si>
    <t>CMP1747</t>
  </si>
  <si>
    <t>CMP1748</t>
  </si>
  <si>
    <t>CMP1749</t>
  </si>
  <si>
    <t>CMP1750</t>
  </si>
  <si>
    <t>CMP1751</t>
  </si>
  <si>
    <t>CMP1752</t>
  </si>
  <si>
    <t>CMP1753</t>
  </si>
  <si>
    <t>CMP1754</t>
  </si>
  <si>
    <t>CMP1755</t>
  </si>
  <si>
    <t>CMP1756</t>
  </si>
  <si>
    <t>CMP1757</t>
  </si>
  <si>
    <t>CMP1758</t>
  </si>
  <si>
    <t>CMP1759</t>
  </si>
  <si>
    <t>CMP1760</t>
  </si>
  <si>
    <t>CMP1761</t>
  </si>
  <si>
    <t>CMP1762</t>
  </si>
  <si>
    <t>CMP1763</t>
  </si>
  <si>
    <t>CMP1764</t>
  </si>
  <si>
    <t>CMP1765</t>
  </si>
  <si>
    <t>CMP1766</t>
  </si>
  <si>
    <t>CMP1767</t>
  </si>
  <si>
    <t>CMP1768</t>
  </si>
  <si>
    <t>CMP1769</t>
  </si>
  <si>
    <t>CMP1770</t>
  </si>
  <si>
    <t>CMP1771</t>
  </si>
  <si>
    <t>CMP1772</t>
  </si>
  <si>
    <t>CMP1773</t>
  </si>
  <si>
    <t>CMP1774</t>
  </si>
  <si>
    <t>CMP1775</t>
  </si>
  <si>
    <t>CMP1776</t>
  </si>
  <si>
    <t>CMP1777</t>
  </si>
  <si>
    <t>CMP1778</t>
  </si>
  <si>
    <t>CMP1779</t>
  </si>
  <si>
    <t>CMP1780</t>
  </si>
  <si>
    <t>CMP1781</t>
  </si>
  <si>
    <t>CMP1782</t>
  </si>
  <si>
    <t>CMP1783</t>
  </si>
  <si>
    <t>CMP1784</t>
  </si>
  <si>
    <t>CMP1785</t>
  </si>
  <si>
    <t>CMP1786</t>
  </si>
  <si>
    <t>CMP1787</t>
  </si>
  <si>
    <t>CMP1788</t>
  </si>
  <si>
    <t>CMP1789</t>
  </si>
  <si>
    <t>CMP1790</t>
  </si>
  <si>
    <t>CMP1791</t>
  </si>
  <si>
    <t>CMP1792</t>
  </si>
  <si>
    <t>CMP1793</t>
  </si>
  <si>
    <t>CMP1794</t>
  </si>
  <si>
    <t>CMP1795</t>
  </si>
  <si>
    <t>CMP1796</t>
  </si>
  <si>
    <t>CMP1797</t>
  </si>
  <si>
    <t>CMP1798</t>
  </si>
  <si>
    <t>CMP1799</t>
  </si>
  <si>
    <t>CMP1800</t>
  </si>
  <si>
    <t>CMP1801</t>
  </si>
  <si>
    <t>CMP1802</t>
  </si>
  <si>
    <t>CMP1803</t>
  </si>
  <si>
    <t>CMP1804</t>
  </si>
  <si>
    <t>CMP1805</t>
  </si>
  <si>
    <t>CMP1806</t>
  </si>
  <si>
    <t>CMP1807</t>
  </si>
  <si>
    <t>CMP1808</t>
  </si>
  <si>
    <t>CMP1809</t>
  </si>
  <si>
    <t>CMP1810</t>
  </si>
  <si>
    <t>CMP1811</t>
  </si>
  <si>
    <t>CMP1812</t>
  </si>
  <si>
    <t>CMP1813</t>
  </si>
  <si>
    <t>CMP1814</t>
  </si>
  <si>
    <t>CMP1815</t>
  </si>
  <si>
    <t>CMP1816</t>
  </si>
  <si>
    <t>CMP1817</t>
  </si>
  <si>
    <t>CMP1818</t>
  </si>
  <si>
    <t>CMP1819</t>
  </si>
  <si>
    <t>CMP1820</t>
  </si>
  <si>
    <t>CMP1821</t>
  </si>
  <si>
    <t>CMP1822</t>
  </si>
  <si>
    <t>CMP1823</t>
  </si>
  <si>
    <t>CMP1824</t>
  </si>
  <si>
    <t>CMP1825</t>
  </si>
  <si>
    <t>CMP1826</t>
  </si>
  <si>
    <t>CMP1827</t>
  </si>
  <si>
    <t>CMP1828</t>
  </si>
  <si>
    <t>CMP1829</t>
  </si>
  <si>
    <t>CMP1830</t>
  </si>
  <si>
    <t>CMP1831</t>
  </si>
  <si>
    <t>CMP1832</t>
  </si>
  <si>
    <t>CMP1833</t>
  </si>
  <si>
    <t>CMP1834</t>
  </si>
  <si>
    <t>CMP1835</t>
  </si>
  <si>
    <t>CMP1836</t>
  </si>
  <si>
    <t>CMP1837</t>
  </si>
  <si>
    <t>CMP1838</t>
  </si>
  <si>
    <t>CMP1839</t>
  </si>
  <si>
    <t>CMP1840</t>
  </si>
  <si>
    <t>CMP1841</t>
  </si>
  <si>
    <t>CMP1842</t>
  </si>
  <si>
    <t>CMP1843</t>
  </si>
  <si>
    <t>CMP1844</t>
  </si>
  <si>
    <t>CMP1845</t>
  </si>
  <si>
    <t>CMP1846</t>
  </si>
  <si>
    <t>CMP1847</t>
  </si>
  <si>
    <t>CMP1848</t>
  </si>
  <si>
    <t>CMP1849</t>
  </si>
  <si>
    <t>CMP1850</t>
  </si>
  <si>
    <t>CMP1851</t>
  </si>
  <si>
    <t>CMP1852</t>
  </si>
  <si>
    <t>CMP1853</t>
  </si>
  <si>
    <t>CMP1854</t>
  </si>
  <si>
    <t>CMP1855</t>
  </si>
  <si>
    <t>CMP1856</t>
  </si>
  <si>
    <t>CMP1857</t>
  </si>
  <si>
    <t>CMP1858</t>
  </si>
  <si>
    <t>CMP1859</t>
  </si>
  <si>
    <t>CMP1860</t>
  </si>
  <si>
    <t>CMP1861</t>
  </si>
  <si>
    <t>CMP1862</t>
  </si>
  <si>
    <t>CMP1863</t>
  </si>
  <si>
    <t>CMP1864</t>
  </si>
  <si>
    <t>CMP1865</t>
  </si>
  <si>
    <t>CMP1866</t>
  </si>
  <si>
    <t>CMP1867</t>
  </si>
  <si>
    <t>CMP1868</t>
  </si>
  <si>
    <t>CMP1869</t>
  </si>
  <si>
    <t>CMP1870</t>
  </si>
  <si>
    <t>CMP1871</t>
  </si>
  <si>
    <t>CMP1872</t>
  </si>
  <si>
    <t>CMP1873</t>
  </si>
  <si>
    <t>CMP1874</t>
  </si>
  <si>
    <t>CMP1875</t>
  </si>
  <si>
    <t>CMP1876</t>
  </si>
  <si>
    <t>CMP1877</t>
  </si>
  <si>
    <t>CMP1878</t>
  </si>
  <si>
    <t>CMP1879</t>
  </si>
  <si>
    <t>CMP1880</t>
  </si>
  <si>
    <t>CMP1881</t>
  </si>
  <si>
    <t>CMP1882</t>
  </si>
  <si>
    <t>CMP1883</t>
  </si>
  <si>
    <t>CMP1884</t>
  </si>
  <si>
    <t>CMP1885</t>
  </si>
  <si>
    <t>CMP1886</t>
  </si>
  <si>
    <t>CMP1887</t>
  </si>
  <si>
    <t>CMP1888</t>
  </si>
  <si>
    <t>CMP1889</t>
  </si>
  <si>
    <t>CMP1890</t>
  </si>
  <si>
    <t>CMP1891</t>
  </si>
  <si>
    <t>CMP1892</t>
  </si>
  <si>
    <t>CMP1893</t>
  </si>
  <si>
    <t>CMP1894</t>
  </si>
  <si>
    <t>CMP1895</t>
  </si>
  <si>
    <t>CMP1896</t>
  </si>
  <si>
    <t>CMP1897</t>
  </si>
  <si>
    <t>CMP1898</t>
  </si>
  <si>
    <t>CMP1899</t>
  </si>
  <si>
    <t>CMP1900</t>
  </si>
  <si>
    <t>CMP1901</t>
  </si>
  <si>
    <t>CMP1902</t>
  </si>
  <si>
    <t>CMP1903</t>
  </si>
  <si>
    <t>CMP1904</t>
  </si>
  <si>
    <t>CMP1905</t>
  </si>
  <si>
    <t>CMP1906</t>
  </si>
  <si>
    <t>CMP1907</t>
  </si>
  <si>
    <t>CMP1908</t>
  </si>
  <si>
    <t>CMP1909</t>
  </si>
  <si>
    <t>CMP1910</t>
  </si>
  <si>
    <t>CMP1911</t>
  </si>
  <si>
    <t>CMP1912</t>
  </si>
  <si>
    <t>CMP1913</t>
  </si>
  <si>
    <t>CMP1914</t>
  </si>
  <si>
    <t>CMP1915</t>
  </si>
  <si>
    <t>CMP1916</t>
  </si>
  <si>
    <t>CMP1917</t>
  </si>
  <si>
    <t>CMP1918</t>
  </si>
  <si>
    <t>CMP1919</t>
  </si>
  <si>
    <t>CMP1920</t>
  </si>
  <si>
    <t>CMP1921</t>
  </si>
  <si>
    <t>CMP1922</t>
  </si>
  <si>
    <t>CMP1923</t>
  </si>
  <si>
    <t>CMP1924</t>
  </si>
  <si>
    <t>CMP1925</t>
  </si>
  <si>
    <t>CMP1926</t>
  </si>
  <si>
    <t>CMP1927</t>
  </si>
  <si>
    <t>CMP1928</t>
  </si>
  <si>
    <t>CMP1929</t>
  </si>
  <si>
    <t>CMP1930</t>
  </si>
  <si>
    <t>CMP1931</t>
  </si>
  <si>
    <t>CMP1932</t>
  </si>
  <si>
    <t>CMP1933</t>
  </si>
  <si>
    <t>CMP1934</t>
  </si>
  <si>
    <t>CMP1935</t>
  </si>
  <si>
    <t>CMP1936</t>
  </si>
  <si>
    <t>CMP1937</t>
  </si>
  <si>
    <t>CMP1938</t>
  </si>
  <si>
    <t>CMP1939</t>
  </si>
  <si>
    <t>CMP1940</t>
  </si>
  <si>
    <t>CMP1941</t>
  </si>
  <si>
    <t>CMP1942</t>
  </si>
  <si>
    <t>CMP1943</t>
  </si>
  <si>
    <t>CMP1944</t>
  </si>
  <si>
    <t>CMP1945</t>
  </si>
  <si>
    <t>CMP1946</t>
  </si>
  <si>
    <t>CMP1947</t>
  </si>
  <si>
    <t>CMP1948</t>
  </si>
  <si>
    <t>CMP1949</t>
  </si>
  <si>
    <t>CMP1950</t>
  </si>
  <si>
    <t>CMP1951</t>
  </si>
  <si>
    <t>CMP1952</t>
  </si>
  <si>
    <t>CMP1953</t>
  </si>
  <si>
    <t>CMP1954</t>
  </si>
  <si>
    <t>CMP1955</t>
  </si>
  <si>
    <t>CMP1956</t>
  </si>
  <si>
    <t>CMP1957</t>
  </si>
  <si>
    <t>CMP1958</t>
  </si>
  <si>
    <t>CMP1959</t>
  </si>
  <si>
    <t>CMP1960</t>
  </si>
  <si>
    <t>CMP1961</t>
  </si>
  <si>
    <t>CMP1962</t>
  </si>
  <si>
    <t>CMP1963</t>
  </si>
  <si>
    <t>CMP1964</t>
  </si>
  <si>
    <t>CMP1965</t>
  </si>
  <si>
    <t>CMP1966</t>
  </si>
  <si>
    <t>CMP1967</t>
  </si>
  <si>
    <t>CMP1968</t>
  </si>
  <si>
    <t>CMP1969</t>
  </si>
  <si>
    <t>CMP1970</t>
  </si>
  <si>
    <t>CMP1971</t>
  </si>
  <si>
    <t>CMP1972</t>
  </si>
  <si>
    <t>CMP1973</t>
  </si>
  <si>
    <t>CMP1974</t>
  </si>
  <si>
    <t>CMP1975</t>
  </si>
  <si>
    <t>CMP1976</t>
  </si>
  <si>
    <t>CMP1977</t>
  </si>
  <si>
    <t>CMP1978</t>
  </si>
  <si>
    <t>CMP1979</t>
  </si>
  <si>
    <t>CMP1980</t>
  </si>
  <si>
    <t>CMP1981</t>
  </si>
  <si>
    <t>CMP1982</t>
  </si>
  <si>
    <t>CMP1983</t>
  </si>
  <si>
    <t>CMP1984</t>
  </si>
  <si>
    <t>CMP1985</t>
  </si>
  <si>
    <t>CMP1986</t>
  </si>
  <si>
    <t>CMP1987</t>
  </si>
  <si>
    <t>CMP1988</t>
  </si>
  <si>
    <t>CMP1989</t>
  </si>
  <si>
    <t>CMP1990</t>
  </si>
  <si>
    <t>CMP1991</t>
  </si>
  <si>
    <t>CMP1992</t>
  </si>
  <si>
    <t>CMP1993</t>
  </si>
  <si>
    <t>CMP1994</t>
  </si>
  <si>
    <t>CMP1995</t>
  </si>
  <si>
    <t>CMP1996</t>
  </si>
  <si>
    <t>CMP1997</t>
  </si>
  <si>
    <t>CMP1998</t>
  </si>
  <si>
    <t>CMP1999</t>
  </si>
  <si>
    <t>CMP2000</t>
  </si>
  <si>
    <t xml:space="preserve">Total_Spend </t>
  </si>
  <si>
    <t xml:space="preserve">Revenue_Generated </t>
  </si>
  <si>
    <t xml:space="preserve">Conversions </t>
  </si>
  <si>
    <t xml:space="preserve">Clicks </t>
  </si>
  <si>
    <t xml:space="preserve">Impressions </t>
  </si>
  <si>
    <t xml:space="preserve">CVR </t>
  </si>
  <si>
    <t>Values</t>
  </si>
  <si>
    <t xml:space="preserve">ROAS  </t>
  </si>
  <si>
    <t>Years (Start_Date)</t>
  </si>
  <si>
    <t>Months (Start_Date)</t>
  </si>
  <si>
    <t>Count of Campaign_ID</t>
  </si>
  <si>
    <t xml:space="preserve">CVR  </t>
  </si>
  <si>
    <t>2022</t>
  </si>
  <si>
    <t>May</t>
  </si>
  <si>
    <t>Jun</t>
  </si>
  <si>
    <t>Jul</t>
  </si>
  <si>
    <t>Aug</t>
  </si>
  <si>
    <t>Sep</t>
  </si>
  <si>
    <t>Oct</t>
  </si>
  <si>
    <t>Nov</t>
  </si>
  <si>
    <t>Dec</t>
  </si>
  <si>
    <t>2023</t>
  </si>
  <si>
    <t>Jan</t>
  </si>
  <si>
    <t>Feb</t>
  </si>
  <si>
    <t>Mar</t>
  </si>
  <si>
    <t xml:space="preserve">Total_Spend  </t>
  </si>
  <si>
    <t>Grand Total</t>
  </si>
  <si>
    <t xml:space="preserve">ROAS </t>
  </si>
  <si>
    <t xml:space="preserve">CTR  </t>
  </si>
  <si>
    <t xml:space="preserve">CPC  </t>
  </si>
  <si>
    <t xml:space="preserve">Channel ROAS </t>
  </si>
  <si>
    <t xml:space="preserve">Channel CVR </t>
  </si>
  <si>
    <t xml:space="preserve">Conversions  </t>
  </si>
  <si>
    <t xml:space="preserve">Revenue_Generated  </t>
  </si>
  <si>
    <t>Sum of Conversions</t>
  </si>
  <si>
    <t>Sum of Total_Spend</t>
  </si>
  <si>
    <t>Sum of Revenue_Generated</t>
  </si>
  <si>
    <t xml:space="preserve">CTR    </t>
  </si>
  <si>
    <t xml:space="preserve">CVR   </t>
  </si>
  <si>
    <t>Average of CTR</t>
  </si>
  <si>
    <t>Average of ROAS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</si>
</sst>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164" formatCode="0.0%"/>
    <numFmt numFmtId="165" formatCode="yyyy\-mm\-dd"/>
    <numFmt numFmtId="166" formatCode="_-[$$-409]* #,##0.00_ ;_-[$$-409]* \-#,##0.00\ ;_-[$$-409]* &quot;-&quot;??_ ;_-@_ "/>
  </numFmts>
  <fonts count="6">
    <font>
      <sz val="11"/>
      <color theme="1"/>
      <name val="Calibri"/>
      <charset val="134"/>
      <scheme val="minor"/>
    </font>
    <font>
      <b/>
      <sz val="11"/>
      <color theme="1"/>
      <name val="Calibri"/>
      <charset val="134"/>
    </font>
    <font>
      <b/>
      <sz val="11"/>
      <color indexed="8"/>
      <name val="Calibri"/>
      <charset val="134"/>
    </font>
    <font>
      <sz val="11"/>
      <color theme="1"/>
      <name val="Calibri"/>
      <charset val="134"/>
      <scheme val="minor"/>
    </font>
    <font>
      <sz val="11"/>
      <color indexed="8"/>
      <name val="Calibri"/>
      <charset val="134"/>
    </font>
    <font>
      <sz val="11"/>
      <color theme="1"/>
      <name val="Calibri"/>
      <charset val="134"/>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3" fillId="0" borderId="0" applyFont="0" applyFill="0" applyBorder="0" applyAlignment="0" applyProtection="0">
      <alignment vertical="center"/>
    </xf>
  </cellStyleXfs>
  <cellXfs count="35">
    <xf numFmtId="0" fontId="0" fillId="0" borderId="0" xfId="0"/>
    <xf numFmtId="8" fontId="0" fillId="0" borderId="0" xfId="0" applyNumberFormat="1"/>
    <xf numFmtId="9" fontId="0" fillId="0" borderId="0" xfId="1" applyNumberFormat="1" applyFont="1" applyAlignment="1"/>
    <xf numFmtId="9" fontId="0" fillId="0" borderId="0" xfId="0" applyNumberFormat="1"/>
    <xf numFmtId="8" fontId="0" fillId="0" borderId="0" xfId="0" applyNumberFormat="1" applyAlignment="1">
      <alignment horizontal="center" vertical="center"/>
    </xf>
    <xf numFmtId="9" fontId="0" fillId="0" borderId="0" xfId="1" applyNumberFormat="1" applyFont="1" applyAlignment="1">
      <alignment horizontal="center" vertical="center"/>
    </xf>
    <xf numFmtId="3" fontId="0" fillId="0" borderId="0" xfId="0" applyNumberFormat="1" applyAlignment="1">
      <alignment horizontal="center" vertical="center"/>
    </xf>
    <xf numFmtId="9" fontId="0" fillId="0" borderId="0" xfId="0" applyNumberFormat="1" applyAlignment="1">
      <alignment horizontal="center" vertical="center"/>
    </xf>
    <xf numFmtId="165" fontId="0" fillId="0" borderId="0" xfId="0" applyNumberFormat="1"/>
    <xf numFmtId="1" fontId="0" fillId="0" borderId="0" xfId="0" applyNumberFormat="1"/>
    <xf numFmtId="9" fontId="0" fillId="0" borderId="0" xfId="1" applyFont="1" applyAlignment="1"/>
    <xf numFmtId="166" fontId="0" fillId="0" borderId="0" xfId="0" applyNumberFormat="1"/>
    <xf numFmtId="8" fontId="0" fillId="0" borderId="0" xfId="1" applyNumberFormat="1" applyFont="1" applyAlignment="1"/>
    <xf numFmtId="0" fontId="1" fillId="0" borderId="1" xfId="0" applyFont="1" applyBorder="1" applyAlignment="1">
      <alignment horizontal="center" vertical="top"/>
    </xf>
    <xf numFmtId="0" fontId="2" fillId="0" borderId="1" xfId="0" applyNumberFormat="1" applyFont="1" applyFill="1" applyBorder="1" applyAlignment="1" applyProtection="1">
      <alignment horizontal="center" vertical="top"/>
    </xf>
    <xf numFmtId="1" fontId="1" fillId="0" borderId="1" xfId="0" applyNumberFormat="1" applyFont="1" applyBorder="1" applyAlignment="1">
      <alignment horizontal="center" vertical="top"/>
    </xf>
    <xf numFmtId="9" fontId="1" fillId="0" borderId="0" xfId="1" applyFont="1" applyAlignment="1">
      <alignment horizontal="center" vertical="top"/>
    </xf>
    <xf numFmtId="8" fontId="3" fillId="0" borderId="0" xfId="0" applyNumberFormat="1" applyFont="1"/>
    <xf numFmtId="0" fontId="0" fillId="0" borderId="0" xfId="0" applyFont="1" applyAlignment="1">
      <alignment horizontal="center"/>
    </xf>
    <xf numFmtId="165" fontId="4" fillId="0" borderId="0" xfId="0" applyNumberFormat="1" applyFont="1" applyFill="1" applyBorder="1" applyAlignment="1" applyProtection="1"/>
    <xf numFmtId="165" fontId="5" fillId="0" borderId="0" xfId="0" applyNumberFormat="1" applyFont="1" applyAlignment="1">
      <alignment horizontal="center"/>
    </xf>
    <xf numFmtId="1" fontId="0" fillId="0" borderId="0" xfId="0" applyNumberFormat="1" applyFont="1" applyAlignment="1">
      <alignment horizontal="center"/>
    </xf>
    <xf numFmtId="9" fontId="0" fillId="0" borderId="0" xfId="1" applyFont="1" applyAlignment="1">
      <alignment horizontal="center"/>
    </xf>
    <xf numFmtId="8" fontId="0" fillId="0" borderId="0" xfId="0" applyNumberFormat="1" applyAlignment="1">
      <alignment horizontal="center"/>
    </xf>
    <xf numFmtId="0" fontId="0" fillId="0" borderId="0" xfId="0" applyAlignment="1">
      <alignment horizontal="center" vertical="center"/>
    </xf>
    <xf numFmtId="1" fontId="0" fillId="0" borderId="0" xfId="0" applyNumberFormat="1" applyAlignment="1">
      <alignment horizontal="center" vertical="center"/>
    </xf>
    <xf numFmtId="0" fontId="0" fillId="0" borderId="0" xfId="0" pivotButton="1"/>
    <xf numFmtId="0" fontId="0" fillId="0" borderId="0" xfId="0" pivotButton="1" applyAlignment="1">
      <alignment horizontal="center" vertical="center"/>
    </xf>
    <xf numFmtId="0" fontId="0" fillId="0" borderId="0" xfId="0" applyNumberFormat="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0" fillId="2" borderId="0" xfId="0" applyFill="1"/>
  </cellXfs>
  <cellStyles count="2">
    <cellStyle name="Normal" xfId="0" builtinId="0"/>
    <cellStyle name="Percent" xfId="1" builtinId="5"/>
  </cellStyles>
  <dxfs count="223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12" formatCode="&quot;$&quot;#,##0.00_);[Red]\(&quot;$&quot;#,##0.00\)"/>
    </dxf>
    <dxf>
      <numFmt numFmtId="12" formatCode="&quot;$&quot;#,##0.00_);[Red]\(&quot;$&quot;#,##0.00\)"/>
    </dxf>
    <dxf>
      <numFmt numFmtId="13" formatCode="0%"/>
    </dxf>
    <dxf>
      <numFmt numFmtId="13" formatCode="0%"/>
    </dxf>
    <dxf>
      <alignment horizontal="center"/>
    </dxf>
    <dxf>
      <alignment vertical="center"/>
    </dxf>
    <dxf>
      <numFmt numFmtId="2" formatCode="0.00"/>
    </dxf>
    <dxf>
      <numFmt numFmtId="13" formatCode="0%"/>
    </dxf>
    <dxf>
      <numFmt numFmtId="13" formatCode="0%"/>
    </dxf>
    <dxf>
      <alignment vertical="center"/>
    </dxf>
    <dxf>
      <alignment horizontal="center"/>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12" formatCode="&quot;$&quot;#,##0.00_);[Red]\(&quot;$&quot;#,##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horizontal="center"/>
    </dxf>
    <dxf>
      <numFmt numFmtId="4"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4" formatCode="#,##0.00"/>
    </dxf>
    <dxf>
      <numFmt numFmtId="2" formatCode="0.00"/>
    </dxf>
    <dxf>
      <numFmt numFmtId="13" formatCode="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4" formatCode="#,##0.00"/>
    </dxf>
    <dxf>
      <numFmt numFmtId="14" formatCode="0.00%"/>
    </dxf>
    <dxf>
      <numFmt numFmtId="14" formatCode="0.00%"/>
    </dxf>
    <dxf>
      <numFmt numFmtId="164" formatCode="0.0%"/>
    </dxf>
    <dxf>
      <numFmt numFmtId="164" formatCode="0.0%"/>
    </dxf>
    <dxf>
      <numFmt numFmtId="3" formatCode="#,##0"/>
    </dxf>
    <dxf>
      <numFmt numFmtId="3" formatCode="#,##0"/>
    </dxf>
    <dxf>
      <numFmt numFmtId="3" formatCode="#,##0"/>
    </dxf>
    <dxf>
      <numFmt numFmtId="13" formatCode="0%"/>
    </dxf>
    <dxf>
      <alignment vertical="center"/>
    </dxf>
    <dxf>
      <alignment horizontal="center"/>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vertical="center"/>
    </dxf>
    <dxf>
      <numFmt numFmtId="4" formatCode="#,##0.00"/>
    </dxf>
    <dxf>
      <numFmt numFmtId="4" formatCode="#,##0.00"/>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3" formatCode="0%"/>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12" formatCode="&quot;$&quot;#,##0.00_);[Red]\(&quot;$&quot;#,##0.00\)"/>
    </dxf>
    <dxf>
      <numFmt numFmtId="12" formatCode="&quot;$&quot;#,##0.00_);[Red]\(&quot;$&quot;#,##0.00\)"/>
    </dxf>
    <dxf>
      <numFmt numFmtId="13" formatCode="0%"/>
    </dxf>
    <dxf>
      <numFmt numFmtId="13" formatCode="0%"/>
    </dxf>
    <dxf>
      <alignment horizontal="center"/>
    </dxf>
    <dxf>
      <alignment vertical="center"/>
    </dxf>
    <dxf>
      <numFmt numFmtId="2" formatCode="0.00"/>
    </dxf>
    <dxf>
      <numFmt numFmtId="13" formatCode="0%"/>
    </dxf>
    <dxf>
      <numFmt numFmtId="13" formatCode="0%"/>
    </dxf>
    <dxf>
      <alignment vertical="center"/>
    </dxf>
    <dxf>
      <alignment horizontal="center"/>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12" formatCode="&quot;$&quot;#,##0.00_);[Red]\(&quot;$&quot;#,##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horizontal="center"/>
    </dxf>
    <dxf>
      <numFmt numFmtId="4"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4" formatCode="#,##0.00"/>
    </dxf>
    <dxf>
      <numFmt numFmtId="2" formatCode="0.00"/>
    </dxf>
    <dxf>
      <numFmt numFmtId="13" formatCode="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4" formatCode="#,##0.00"/>
    </dxf>
    <dxf>
      <numFmt numFmtId="14" formatCode="0.00%"/>
    </dxf>
    <dxf>
      <numFmt numFmtId="14" formatCode="0.00%"/>
    </dxf>
    <dxf>
      <numFmt numFmtId="164" formatCode="0.0%"/>
    </dxf>
    <dxf>
      <numFmt numFmtId="164" formatCode="0.0%"/>
    </dxf>
    <dxf>
      <numFmt numFmtId="3" formatCode="#,##0"/>
    </dxf>
    <dxf>
      <numFmt numFmtId="3" formatCode="#,##0"/>
    </dxf>
    <dxf>
      <numFmt numFmtId="3" formatCode="#,##0"/>
    </dxf>
    <dxf>
      <numFmt numFmtId="13" formatCode="0%"/>
    </dxf>
    <dxf>
      <alignment vertical="center"/>
    </dxf>
    <dxf>
      <alignment horizontal="center"/>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vertical="center"/>
    </dxf>
    <dxf>
      <numFmt numFmtId="4" formatCode="#,##0.00"/>
    </dxf>
    <dxf>
      <numFmt numFmtId="4" formatCode="#,##0.00"/>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3" formatCode="0%"/>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12" formatCode="&quot;$&quot;#,##0.00_);[Red]\(&quot;$&quot;#,##0.00\)"/>
    </dxf>
    <dxf>
      <numFmt numFmtId="12" formatCode="&quot;$&quot;#,##0.00_);[Red]\(&quot;$&quot;#,##0.00\)"/>
    </dxf>
    <dxf>
      <numFmt numFmtId="13" formatCode="0%"/>
    </dxf>
    <dxf>
      <numFmt numFmtId="13" formatCode="0%"/>
    </dxf>
    <dxf>
      <alignment horizontal="center"/>
    </dxf>
    <dxf>
      <alignment vertical="center"/>
    </dxf>
    <dxf>
      <numFmt numFmtId="2" formatCode="0.00"/>
    </dxf>
    <dxf>
      <numFmt numFmtId="13" formatCode="0%"/>
    </dxf>
    <dxf>
      <numFmt numFmtId="13" formatCode="0%"/>
    </dxf>
    <dxf>
      <alignment vertical="center"/>
    </dxf>
    <dxf>
      <alignment horizontal="center"/>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12" formatCode="&quot;$&quot;#,##0.00_);[Red]\(&quot;$&quot;#,##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horizontal="center"/>
    </dxf>
    <dxf>
      <numFmt numFmtId="4"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4" formatCode="#,##0.00"/>
    </dxf>
    <dxf>
      <numFmt numFmtId="2" formatCode="0.00"/>
    </dxf>
    <dxf>
      <numFmt numFmtId="13" formatCode="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4" formatCode="#,##0.00"/>
    </dxf>
    <dxf>
      <numFmt numFmtId="14" formatCode="0.00%"/>
    </dxf>
    <dxf>
      <numFmt numFmtId="14" formatCode="0.00%"/>
    </dxf>
    <dxf>
      <numFmt numFmtId="164" formatCode="0.0%"/>
    </dxf>
    <dxf>
      <numFmt numFmtId="164" formatCode="0.0%"/>
    </dxf>
    <dxf>
      <numFmt numFmtId="3" formatCode="#,##0"/>
    </dxf>
    <dxf>
      <numFmt numFmtId="3" formatCode="#,##0"/>
    </dxf>
    <dxf>
      <numFmt numFmtId="3" formatCode="#,##0"/>
    </dxf>
    <dxf>
      <numFmt numFmtId="13" formatCode="0%"/>
    </dxf>
    <dxf>
      <alignment vertical="center"/>
    </dxf>
    <dxf>
      <alignment horizontal="center"/>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vertical="center"/>
    </dxf>
    <dxf>
      <numFmt numFmtId="4" formatCode="#,##0.00"/>
    </dxf>
    <dxf>
      <numFmt numFmtId="4" formatCode="#,##0.00"/>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3" formatCode="0%"/>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12" formatCode="&quot;$&quot;#,##0.00_);[Red]\(&quot;$&quot;#,##0.00\)"/>
    </dxf>
    <dxf>
      <numFmt numFmtId="12" formatCode="&quot;$&quot;#,##0.00_);[Red]\(&quot;$&quot;#,##0.00\)"/>
    </dxf>
    <dxf>
      <numFmt numFmtId="13" formatCode="0%"/>
    </dxf>
    <dxf>
      <numFmt numFmtId="13" formatCode="0%"/>
    </dxf>
    <dxf>
      <alignment horizontal="center"/>
    </dxf>
    <dxf>
      <alignment vertical="center"/>
    </dxf>
    <dxf>
      <numFmt numFmtId="2" formatCode="0.00"/>
    </dxf>
    <dxf>
      <numFmt numFmtId="13" formatCode="0%"/>
    </dxf>
    <dxf>
      <numFmt numFmtId="13" formatCode="0%"/>
    </dxf>
    <dxf>
      <alignment vertical="center"/>
    </dxf>
    <dxf>
      <alignment horizontal="center"/>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12" formatCode="&quot;$&quot;#,##0.00_);[Red]\(&quot;$&quot;#,##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horizontal="center"/>
    </dxf>
    <dxf>
      <numFmt numFmtId="4"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4" formatCode="#,##0.00"/>
    </dxf>
    <dxf>
      <numFmt numFmtId="2" formatCode="0.00"/>
    </dxf>
    <dxf>
      <numFmt numFmtId="13" formatCode="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4" formatCode="#,##0.00"/>
    </dxf>
    <dxf>
      <numFmt numFmtId="14" formatCode="0.00%"/>
    </dxf>
    <dxf>
      <numFmt numFmtId="14" formatCode="0.00%"/>
    </dxf>
    <dxf>
      <numFmt numFmtId="164" formatCode="0.0%"/>
    </dxf>
    <dxf>
      <numFmt numFmtId="164" formatCode="0.0%"/>
    </dxf>
    <dxf>
      <numFmt numFmtId="3" formatCode="#,##0"/>
    </dxf>
    <dxf>
      <numFmt numFmtId="3" formatCode="#,##0"/>
    </dxf>
    <dxf>
      <numFmt numFmtId="3" formatCode="#,##0"/>
    </dxf>
    <dxf>
      <numFmt numFmtId="13" formatCode="0%"/>
    </dxf>
    <dxf>
      <alignment vertical="center"/>
    </dxf>
    <dxf>
      <alignment horizontal="center"/>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vertical="center"/>
    </dxf>
    <dxf>
      <numFmt numFmtId="4" formatCode="#,##0.00"/>
    </dxf>
    <dxf>
      <numFmt numFmtId="4" formatCode="#,##0.00"/>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3" formatCode="0%"/>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12" formatCode="&quot;$&quot;#,##0.00_);[Red]\(&quot;$&quot;#,##0.00\)"/>
    </dxf>
    <dxf>
      <numFmt numFmtId="12" formatCode="&quot;$&quot;#,##0.00_);[Red]\(&quot;$&quot;#,##0.00\)"/>
    </dxf>
    <dxf>
      <numFmt numFmtId="13" formatCode="0%"/>
    </dxf>
    <dxf>
      <numFmt numFmtId="13" formatCode="0%"/>
    </dxf>
    <dxf>
      <alignment horizontal="center"/>
    </dxf>
    <dxf>
      <alignment vertical="center"/>
    </dxf>
    <dxf>
      <numFmt numFmtId="2" formatCode="0.00"/>
    </dxf>
    <dxf>
      <numFmt numFmtId="13" formatCode="0%"/>
    </dxf>
    <dxf>
      <numFmt numFmtId="13" formatCode="0%"/>
    </dxf>
    <dxf>
      <alignment vertical="center"/>
    </dxf>
    <dxf>
      <alignment horizontal="center"/>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12" formatCode="&quot;$&quot;#,##0.00_);[Red]\(&quot;$&quot;#,##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horizontal="center"/>
    </dxf>
    <dxf>
      <numFmt numFmtId="4"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4" formatCode="#,##0.00"/>
    </dxf>
    <dxf>
      <numFmt numFmtId="2" formatCode="0.00"/>
    </dxf>
    <dxf>
      <numFmt numFmtId="13" formatCode="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4" formatCode="#,##0.00"/>
    </dxf>
    <dxf>
      <numFmt numFmtId="14" formatCode="0.00%"/>
    </dxf>
    <dxf>
      <numFmt numFmtId="14" formatCode="0.00%"/>
    </dxf>
    <dxf>
      <numFmt numFmtId="164" formatCode="0.0%"/>
    </dxf>
    <dxf>
      <numFmt numFmtId="164" formatCode="0.0%"/>
    </dxf>
    <dxf>
      <numFmt numFmtId="3" formatCode="#,##0"/>
    </dxf>
    <dxf>
      <numFmt numFmtId="3" formatCode="#,##0"/>
    </dxf>
    <dxf>
      <numFmt numFmtId="3" formatCode="#,##0"/>
    </dxf>
    <dxf>
      <numFmt numFmtId="13" formatCode="0%"/>
    </dxf>
    <dxf>
      <alignment vertical="center"/>
    </dxf>
    <dxf>
      <alignment horizontal="center"/>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vertical="center"/>
    </dxf>
    <dxf>
      <numFmt numFmtId="4" formatCode="#,##0.00"/>
    </dxf>
    <dxf>
      <numFmt numFmtId="4" formatCode="#,##0.00"/>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3" formatCode="0%"/>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12" formatCode="&quot;$&quot;#,##0.00_);[Red]\(&quot;$&quot;#,##0.00\)"/>
    </dxf>
    <dxf>
      <numFmt numFmtId="12" formatCode="&quot;$&quot;#,##0.00_);[Red]\(&quot;$&quot;#,##0.00\)"/>
    </dxf>
    <dxf>
      <numFmt numFmtId="13" formatCode="0%"/>
    </dxf>
    <dxf>
      <numFmt numFmtId="13" formatCode="0%"/>
    </dxf>
    <dxf>
      <alignment horizontal="center"/>
    </dxf>
    <dxf>
      <alignment vertical="center"/>
    </dxf>
    <dxf>
      <numFmt numFmtId="2" formatCode="0.00"/>
    </dxf>
    <dxf>
      <numFmt numFmtId="13" formatCode="0%"/>
    </dxf>
    <dxf>
      <numFmt numFmtId="13" formatCode="0%"/>
    </dxf>
    <dxf>
      <alignment vertical="center"/>
    </dxf>
    <dxf>
      <alignment horizontal="center"/>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12" formatCode="&quot;$&quot;#,##0.00_);[Red]\(&quot;$&quot;#,##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horizontal="center"/>
    </dxf>
    <dxf>
      <numFmt numFmtId="4"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4" formatCode="#,##0.00"/>
    </dxf>
    <dxf>
      <numFmt numFmtId="2" formatCode="0.00"/>
    </dxf>
    <dxf>
      <numFmt numFmtId="13" formatCode="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4" formatCode="#,##0.00"/>
    </dxf>
    <dxf>
      <numFmt numFmtId="14" formatCode="0.00%"/>
    </dxf>
    <dxf>
      <numFmt numFmtId="14" formatCode="0.00%"/>
    </dxf>
    <dxf>
      <numFmt numFmtId="164" formatCode="0.0%"/>
    </dxf>
    <dxf>
      <numFmt numFmtId="164" formatCode="0.0%"/>
    </dxf>
    <dxf>
      <numFmt numFmtId="3" formatCode="#,##0"/>
    </dxf>
    <dxf>
      <numFmt numFmtId="3" formatCode="#,##0"/>
    </dxf>
    <dxf>
      <numFmt numFmtId="3" formatCode="#,##0"/>
    </dxf>
    <dxf>
      <numFmt numFmtId="13" formatCode="0%"/>
    </dxf>
    <dxf>
      <alignment vertical="center"/>
    </dxf>
    <dxf>
      <alignment horizontal="center"/>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center"/>
    </dxf>
    <dxf>
      <alignment vertical="center"/>
    </dxf>
    <dxf>
      <numFmt numFmtId="4" formatCode="#,##0.00"/>
    </dxf>
    <dxf>
      <numFmt numFmtId="4" formatCode="#,##0.00"/>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3" formatCode="0%"/>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12" formatCode="&quot;$&quot;#,##0.00_);[Red]\(&quot;$&quot;#,##0.00\)"/>
    </dxf>
    <dxf>
      <numFmt numFmtId="12" formatCode="&quot;$&quot;#,##0.00_);[Red]\(&quot;$&quot;#,##0.00\)"/>
    </dxf>
    <dxf>
      <numFmt numFmtId="13" formatCode="0%"/>
    </dxf>
    <dxf>
      <numFmt numFmtId="13" formatCode="0%"/>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horizontal="center"/>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vertical="center"/>
    </dxf>
    <dxf>
      <alignment horizontal="center"/>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numFmt numFmtId="2" formatCode="0.00"/>
    </dxf>
    <dxf>
      <numFmt numFmtId="13" formatCode="0%"/>
    </dxf>
    <dxf>
      <numFmt numFmtId="13" formatCode="0%"/>
    </dxf>
    <dxf>
      <numFmt numFmtId="12" formatCode="&quot;$&quot;#,##0.00_);[Red]\(&quot;$&quot;#,##0.00\)"/>
    </dxf>
    <dxf>
      <numFmt numFmtId="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numFmt numFmtId="4"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4" formatCode="#,##0.00"/>
    </dxf>
    <dxf>
      <numFmt numFmtId="2" formatCode="0.00"/>
    </dxf>
    <dxf>
      <numFmt numFmtId="13" formatCode="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4" formatCode="#,##0.00"/>
    </dxf>
    <dxf>
      <numFmt numFmtId="14" formatCode="0.00%"/>
    </dxf>
    <dxf>
      <numFmt numFmtId="14" formatCode="0.00%"/>
    </dxf>
    <dxf>
      <numFmt numFmtId="164" formatCode="0.0%"/>
    </dxf>
    <dxf>
      <numFmt numFmtId="164" formatCode="0.0%"/>
    </dxf>
    <dxf>
      <numFmt numFmtId="3" formatCode="#,##0"/>
    </dxf>
    <dxf>
      <numFmt numFmtId="3" formatCode="#,##0"/>
    </dxf>
    <dxf>
      <numFmt numFmtId="3" formatCode="#,##0"/>
    </dxf>
    <dxf>
      <numFmt numFmtId="13" formatCode="0%"/>
    </dxf>
    <dxf>
      <alignment horizontal="center"/>
    </dxf>
    <dxf>
      <alignment vertical="center"/>
    </dxf>
    <dxf>
      <numFmt numFmtId="4" formatCode="#,##0.00"/>
    </dxf>
    <dxf>
      <numFmt numFmtId="4" formatCode="#,##0.00"/>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3" formatCode="0%"/>
    </dxf>
    <dxf>
      <numFmt numFmtId="13" formatCode="0%"/>
    </dxf>
    <dxf>
      <numFmt numFmtId="13" formatCode="0%"/>
    </dxf>
    <dxf>
      <numFmt numFmtId="13" formatCode="0%"/>
    </dxf>
    <dxf>
      <numFmt numFmtId="12" formatCode="&quot;$&quot;#,##0.00_);[Red]\(&quot;$&quot;#,##0.00\)"/>
    </dxf>
    <dxf>
      <numFmt numFmtId="12" formatCode="&quot;$&quot;#,##0.00_);[Red]\(&quot;$&quot;#,##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12" formatCode="&quot;$&quot;#,##0.00_);[Red]\(&quot;$&quot;#,##0.00\)"/>
    </dxf>
    <dxf>
      <numFmt numFmtId="12" formatCode="&quot;$&quot;#,##0.00_);[Red]\(&quot;$&quot;#,##0.00\)"/>
    </dxf>
    <dxf>
      <numFmt numFmtId="13" formatCode="0%"/>
    </dxf>
    <dxf>
      <numFmt numFmtId="13" formatCode="0%"/>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horizontal="center"/>
    </dxf>
    <dxf>
      <numFmt numFmtId="2" formatCode="0.00"/>
    </dxf>
    <dxf>
      <numFmt numFmtId="2" formatCode="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vertical="center"/>
    </dxf>
    <dxf>
      <alignment horizontal="center"/>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numFmt numFmtId="2" formatCode="0.00"/>
    </dxf>
    <dxf>
      <numFmt numFmtId="13" formatCode="0%"/>
    </dxf>
    <dxf>
      <numFmt numFmtId="13" formatCode="0%"/>
    </dxf>
    <dxf>
      <numFmt numFmtId="12" formatCode="&quot;$&quot;#,##0.00_);[Red]\(&quot;$&quot;#,##0.00\)"/>
    </dxf>
    <dxf>
      <numFmt numFmtId="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numFmt numFmtId="4"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4" formatCode="#,##0.00"/>
    </dxf>
    <dxf>
      <numFmt numFmtId="2" formatCode="0.00"/>
    </dxf>
    <dxf>
      <numFmt numFmtId="13" formatCode="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3" formatCode="0%"/>
    </dxf>
    <dxf>
      <numFmt numFmtId="13" formatCode="0%"/>
    </dxf>
    <dxf>
      <numFmt numFmtId="4" formatCode="#,##0.00"/>
    </dxf>
    <dxf>
      <numFmt numFmtId="14" formatCode="0.00%"/>
    </dxf>
    <dxf>
      <numFmt numFmtId="14" formatCode="0.00%"/>
    </dxf>
    <dxf>
      <numFmt numFmtId="164" formatCode="0.0%"/>
    </dxf>
    <dxf>
      <numFmt numFmtId="164" formatCode="0.0%"/>
    </dxf>
    <dxf>
      <numFmt numFmtId="3" formatCode="#,##0"/>
    </dxf>
    <dxf>
      <numFmt numFmtId="3" formatCode="#,##0"/>
    </dxf>
    <dxf>
      <numFmt numFmtId="3" formatCode="#,##0"/>
    </dxf>
    <dxf>
      <numFmt numFmtId="13" formatCode="0%"/>
    </dxf>
    <dxf>
      <alignment horizontal="center"/>
    </dxf>
    <dxf>
      <alignment vertical="center"/>
    </dxf>
    <dxf>
      <numFmt numFmtId="4" formatCode="#,##0.00"/>
    </dxf>
    <dxf>
      <numFmt numFmtId="4" formatCode="#,##0.00"/>
    </dxf>
    <dxf>
      <numFmt numFmtId="4"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3" formatCode="0%"/>
    </dxf>
    <dxf>
      <numFmt numFmtId="13" formatCode="0%"/>
    </dxf>
    <dxf>
      <numFmt numFmtId="13" formatCode="0%"/>
    </dxf>
    <dxf>
      <numFmt numFmtId="13" formatCode="0%"/>
    </dxf>
    <dxf>
      <numFmt numFmtId="12" formatCode="&quot;$&quot;#,##0.00_);[Red]\(&quot;$&quot;#,##0.00\)"/>
    </dxf>
    <dxf>
      <numFmt numFmtId="12" formatCode="&quot;$&quot;#,##0.00_);[Red]\(&quot;$&quot;#,##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3" formatCode="#,##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alignment horizontal="center"/>
    </dxf>
    <dxf>
      <alignment horizontal="center"/>
    </dxf>
    <dxf>
      <alignment vertical="center"/>
    </dxf>
    <dxf>
      <alignment vertical="center"/>
    </dxf>
    <dxf>
      <alignment vertical="center"/>
    </dxf>
    <dxf>
      <numFmt numFmtId="2" formatCode="0.00"/>
    </dxf>
    <dxf>
      <numFmt numFmtId="2" formatCode="0.00"/>
    </dxf>
    <dxf>
      <numFmt numFmtId="2" formatCode="0.00"/>
    </dxf>
    <dxf>
      <alignment horizontal="center"/>
    </dxf>
    <dxf>
      <alignment horizontal="center"/>
    </dxf>
    <dxf>
      <alignment horizontal="center"/>
    </dxf>
    <dxf>
      <alignment vertical="center"/>
    </dxf>
    <dxf>
      <alignment vertical="center"/>
    </dxf>
    <dxf>
      <alignment vertical="center"/>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3" formatCode="#,##0"/>
    </dxf>
    <dxf>
      <numFmt numFmtId="3" formatCode="#,##0"/>
    </dxf>
    <dxf>
      <numFmt numFmtId="3"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3" formatCode="0%"/>
    </dxf>
    <dxf>
      <numFmt numFmtId="1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2" formatCode="&quot;$&quot;#,##0.00_);[Red]\(&quot;$&quot;#,##0.00\)"/>
    </dxf>
    <dxf>
      <numFmt numFmtId="12" formatCode="&quot;$&quot;#,##0.00_);[Red]\(&quot;$&quot;#,##0.00\)"/>
    </dxf>
    <dxf>
      <numFmt numFmtId="13" formatCode="0%"/>
    </dxf>
    <dxf>
      <numFmt numFmtId="13" formatCode="0%"/>
    </dxf>
    <dxf>
      <numFmt numFmtId="13" formatCode="0%"/>
    </dxf>
    <dxf>
      <numFmt numFmtId="13" formatCode="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2"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4" formatCode="#,##0.00"/>
    </dxf>
    <dxf>
      <numFmt numFmtId="4" formatCode="#,##0.00"/>
    </dxf>
    <dxf>
      <numFmt numFmtId="4" formatCode="#,##0.00"/>
    </dxf>
    <dxf>
      <alignment vertical="center"/>
    </dxf>
    <dxf>
      <alignment horizontal="center"/>
    </dxf>
    <dxf>
      <numFmt numFmtId="13" formatCode="0%"/>
    </dxf>
    <dxf>
      <numFmt numFmtId="3" formatCode="#,##0"/>
    </dxf>
    <dxf>
      <numFmt numFmtId="3" formatCode="#,##0"/>
    </dxf>
    <dxf>
      <numFmt numFmtId="3" formatCode="#,##0"/>
    </dxf>
    <dxf>
      <numFmt numFmtId="164" formatCode="0.0%"/>
    </dxf>
    <dxf>
      <numFmt numFmtId="164" formatCode="0.0%"/>
    </dxf>
    <dxf>
      <numFmt numFmtId="14" formatCode="0.00%"/>
    </dxf>
    <dxf>
      <numFmt numFmtId="14" formatCode="0.00%"/>
    </dxf>
    <dxf>
      <numFmt numFmtId="4" formatCode="#,##0.00"/>
    </dxf>
    <dxf>
      <numFmt numFmtId="13" formatCode="0%"/>
    </dxf>
    <dxf>
      <numFmt numFmtId="13" formatCode="0%"/>
    </dxf>
    <dxf>
      <numFmt numFmtId="2"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3" formatCode="0%"/>
    </dxf>
    <dxf>
      <numFmt numFmtId="2" formatCode="0.00"/>
    </dxf>
    <dxf>
      <numFmt numFmtId="4"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4" formatCode="#,##0.00"/>
    </dxf>
    <dxf>
      <alignment horizontal="center"/>
    </dxf>
    <dxf>
      <alignment vertical="center"/>
    </dxf>
    <dxf>
      <numFmt numFmtId="3" formatCode="#,##0"/>
    </dxf>
    <dxf>
      <numFmt numFmtId="12" formatCode="&quot;$&quot;#,##0.00_);[Red]\(&quot;$&quot;#,##0.00\)"/>
    </dxf>
    <dxf>
      <numFmt numFmtId="13" formatCode="0%"/>
    </dxf>
    <dxf>
      <numFmt numFmtId="13" formatCode="0%"/>
    </dxf>
    <dxf>
      <numFmt numFmtId="2" formatCode="0.00"/>
    </dxf>
    <dxf>
      <alignment vertical="center"/>
    </dxf>
    <dxf>
      <alignment horizontal="center"/>
    </dxf>
    <dxf>
      <numFmt numFmtId="13" formatCode="0%"/>
    </dxf>
    <dxf>
      <numFmt numFmtId="13" formatCode="0%"/>
    </dxf>
    <dxf>
      <numFmt numFmtId="13" formatCode="0%"/>
    </dxf>
    <dxf>
      <numFmt numFmtId="13" formatCode="0%"/>
    </dxf>
    <dxf>
      <numFmt numFmtId="2" formatCode="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4" formatCode="#,##0.00"/>
    </dxf>
    <dxf>
      <alignment horizontal="center"/>
    </dxf>
    <dxf>
      <alignment vertical="cent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alignment horizontal="center"/>
    </dxf>
    <dxf>
      <alignment vertical="center"/>
    </dxf>
    <dxf>
      <numFmt numFmtId="13" formatCode="0%"/>
    </dxf>
    <dxf>
      <numFmt numFmtId="13" formatCode="0%"/>
    </dxf>
    <dxf>
      <numFmt numFmtId="12" formatCode="&quot;$&quot;#,##0.00_);[Red]\(&quot;$&quot;#,##0.00\)"/>
    </dxf>
    <dxf>
      <numFmt numFmtId="12" formatCode="&quot;$&quot;#,##0.00_);[Red]\(&quot;$&quot;#,##0.00\)"/>
    </dxf>
    <dxf>
      <numFmt numFmtId="3" formatCode="#,##0"/>
    </dxf>
    <dxf>
      <numFmt numFmtId="3" formatCode="#,##0"/>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0" formatCode="General"/>
      <alignment horizontal="center"/>
    </dxf>
    <dxf>
      <numFmt numFmtId="0" formatCode="General"/>
      <alignment horizontal="center"/>
    </dxf>
    <dxf>
      <numFmt numFmtId="12" formatCode="&quot;$&quot;#,##0.00_);[Red]\(&quot;$&quot;#,##0.00\)"/>
      <alignment horizontal="center"/>
    </dxf>
    <dxf>
      <numFmt numFmtId="12" formatCode="&quot;$&quot;#,##0.00_);[Red]\(&quot;$&quot;#,##0.00\)"/>
      <alignment horizontal="center"/>
    </dxf>
    <dxf>
      <numFmt numFmtId="0" formatCode="General"/>
      <alignment horizontal="center"/>
    </dxf>
    <dxf>
      <numFmt numFmtId="0" formatCode="General"/>
    </dxf>
    <dxf>
      <font>
        <b val="0"/>
        <i val="0"/>
        <strike val="0"/>
        <u val="none"/>
        <sz val="11"/>
        <color theme="1"/>
        <name val="Calibri"/>
        <charset val="134"/>
        <scheme val="none"/>
      </font>
      <alignment horizontal="center"/>
    </dxf>
    <dxf>
      <font>
        <b val="0"/>
        <i val="0"/>
        <strike val="0"/>
        <u val="none"/>
        <sz val="11"/>
        <color theme="1"/>
        <name val="Calibri"/>
        <charset val="134"/>
        <scheme val="none"/>
      </font>
      <alignment horizontal="center"/>
    </dxf>
    <dxf>
      <font>
        <b val="0"/>
        <i val="0"/>
        <strike val="0"/>
        <u val="none"/>
        <sz val="11"/>
        <color theme="1"/>
        <name val="Calibri"/>
        <charset val="134"/>
        <scheme val="none"/>
      </font>
      <alignment horizontal="center"/>
    </dxf>
    <dxf>
      <font>
        <b val="0"/>
        <i val="0"/>
        <strike val="0"/>
        <u val="none"/>
        <sz val="11"/>
        <color theme="1"/>
        <name val="Calibri"/>
        <charset val="134"/>
        <scheme val="none"/>
      </font>
      <alignment horizontal="center"/>
    </dxf>
    <dxf>
      <font>
        <b val="0"/>
        <i val="0"/>
        <strike val="0"/>
        <u val="none"/>
        <sz val="11"/>
        <color theme="1"/>
        <name val="Calibri"/>
        <charset val="134"/>
        <scheme val="none"/>
      </font>
      <alignment horizontal="center"/>
    </dxf>
    <dxf>
      <font>
        <b val="0"/>
        <i val="0"/>
        <strike val="0"/>
        <u val="none"/>
        <sz val="11"/>
        <color theme="1"/>
        <name val="Calibri"/>
        <charset val="134"/>
        <scheme val="none"/>
      </font>
      <numFmt numFmtId="1" formatCode="0"/>
      <alignment horizontal="center"/>
    </dxf>
    <dxf>
      <font>
        <b val="0"/>
        <i val="0"/>
        <strike val="0"/>
        <u val="none"/>
        <sz val="11"/>
        <color theme="1"/>
        <name val="Calibri"/>
        <charset val="134"/>
        <scheme val="none"/>
      </font>
      <numFmt numFmtId="1" formatCode="0"/>
      <alignment horizontal="center"/>
    </dxf>
    <dxf>
      <font>
        <b val="0"/>
        <i val="0"/>
        <strike val="0"/>
        <u val="none"/>
        <sz val="11"/>
        <color theme="1"/>
        <name val="Calibri"/>
        <charset val="134"/>
        <scheme val="none"/>
      </font>
      <numFmt numFmtId="1" formatCode="0"/>
      <alignment horizontal="center"/>
    </dxf>
    <dxf>
      <font>
        <b val="0"/>
        <i val="0"/>
        <strike val="0"/>
        <u val="none"/>
        <sz val="11"/>
        <color theme="1"/>
        <name val="Calibri"/>
        <charset val="134"/>
        <scheme val="none"/>
      </font>
      <numFmt numFmtId="165" formatCode="yyyy\-mm\-dd"/>
      <alignment horizontal="center"/>
    </dxf>
    <dxf>
      <font>
        <b val="0"/>
        <i val="0"/>
        <strike val="0"/>
        <u val="none"/>
        <sz val="11"/>
        <color theme="1"/>
        <name val="Calibri"/>
        <charset val="134"/>
        <scheme val="none"/>
      </font>
      <alignment horizontal="center"/>
    </dxf>
    <dxf>
      <font>
        <b val="0"/>
        <i val="0"/>
        <strike val="0"/>
        <u val="none"/>
        <sz val="11"/>
        <color theme="1"/>
        <name val="Calibri"/>
        <charset val="134"/>
        <scheme val="none"/>
      </font>
      <alignment horizontal="center"/>
    </dxf>
    <dxf>
      <font>
        <b val="0"/>
        <i val="0"/>
        <strike val="0"/>
        <u val="none"/>
        <sz val="11"/>
        <color theme="1"/>
        <name val="Calibri"/>
        <charset val="134"/>
        <scheme val="none"/>
      </font>
      <alignment horizontal="center"/>
    </dxf>
  </dxfs>
  <tableStyles count="1" defaultTableStyle="TableStyleMedium2" defaultPivotStyle="PivotStyleLight16">
    <tableStyle name="Invisible" pivot="0" table="0" count="0" xr9:uid="{FA89FF9A-79A5-4810-B59B-8110945B130F}"/>
  </tableStyles>
  <colors>
    <mruColors>
      <color rgb="FF4A4A4A"/>
      <color rgb="FFF7D6D0"/>
      <color rgb="FFE2B4BD"/>
      <color rgb="FFF7F2EB"/>
      <color rgb="FF8B9A6E"/>
      <color rgb="FF118A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[Data.xlsx]Performance Analysis!campaign performance across channels</c:name>
    <c:fmtId val="0"/>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Analysis'!$B$5</c:f>
              <c:strCache>
                <c:ptCount val="1"/>
                <c:pt idx="0">
                  <c:v>Total_Spend </c:v>
                </c:pt>
              </c:strCache>
            </c:strRef>
          </c:tx>
          <c:spPr>
            <a:solidFill>
              <a:schemeClr val="accent1"/>
            </a:solidFill>
            <a:ln>
              <a:noFill/>
            </a:ln>
            <a:effectLst/>
          </c:spPr>
          <c:invertIfNegative val="0"/>
          <c:cat>
            <c:strRef>
              <c:f>'Performance Analysis'!$A$6:$A$9</c:f>
              <c:strCache>
                <c:ptCount val="4"/>
                <c:pt idx="0">
                  <c:v>Email</c:v>
                </c:pt>
                <c:pt idx="1">
                  <c:v>Influencer Marketing</c:v>
                </c:pt>
                <c:pt idx="2">
                  <c:v>Paid Ads</c:v>
                </c:pt>
                <c:pt idx="3">
                  <c:v>Social Media</c:v>
                </c:pt>
              </c:strCache>
            </c:strRef>
          </c:cat>
          <c:val>
            <c:numRef>
              <c:f>'Performance Analysis'!$B$6:$B$9</c:f>
              <c:numCache>
                <c:formatCode>"$"#,##0.00_);[Red]\("$"#,##0.00\)</c:formatCode>
                <c:ptCount val="4"/>
                <c:pt idx="0">
                  <c:v>2028667.6800000006</c:v>
                </c:pt>
                <c:pt idx="1">
                  <c:v>2065317.5359999996</c:v>
                </c:pt>
                <c:pt idx="2">
                  <c:v>2040957.6960000007</c:v>
                </c:pt>
                <c:pt idx="3">
                  <c:v>2022255.3440000005</c:v>
                </c:pt>
              </c:numCache>
            </c:numRef>
          </c:val>
          <c:extLst>
            <c:ext xmlns:c16="http://schemas.microsoft.com/office/drawing/2014/chart" uri="{C3380CC4-5D6E-409C-BE32-E72D297353CC}">
              <c16:uniqueId val="{00000000-37C1-4D98-AC9F-8D26E20B3BC0}"/>
            </c:ext>
          </c:extLst>
        </c:ser>
        <c:ser>
          <c:idx val="1"/>
          <c:order val="1"/>
          <c:tx>
            <c:strRef>
              <c:f>'Performance Analysis'!$C$5</c:f>
              <c:strCache>
                <c:ptCount val="1"/>
                <c:pt idx="0">
                  <c:v>Revenue_Generated </c:v>
                </c:pt>
              </c:strCache>
            </c:strRef>
          </c:tx>
          <c:spPr>
            <a:solidFill>
              <a:schemeClr val="accent2"/>
            </a:solidFill>
            <a:ln>
              <a:noFill/>
            </a:ln>
            <a:effectLst/>
          </c:spPr>
          <c:invertIfNegative val="0"/>
          <c:cat>
            <c:strRef>
              <c:f>'Performance Analysis'!$A$6:$A$9</c:f>
              <c:strCache>
                <c:ptCount val="4"/>
                <c:pt idx="0">
                  <c:v>Email</c:v>
                </c:pt>
                <c:pt idx="1">
                  <c:v>Influencer Marketing</c:v>
                </c:pt>
                <c:pt idx="2">
                  <c:v>Paid Ads</c:v>
                </c:pt>
                <c:pt idx="3">
                  <c:v>Social Media</c:v>
                </c:pt>
              </c:strCache>
            </c:strRef>
          </c:cat>
          <c:val>
            <c:numRef>
              <c:f>'Performance Analysis'!$C$6:$C$9</c:f>
              <c:numCache>
                <c:formatCode>"$"#,##0.00_);[Red]\("$"#,##0.00\)</c:formatCode>
                <c:ptCount val="4"/>
                <c:pt idx="0">
                  <c:v>5296338.5759999994</c:v>
                </c:pt>
                <c:pt idx="1">
                  <c:v>5297396.4959999984</c:v>
                </c:pt>
                <c:pt idx="2">
                  <c:v>5343504.144000004</c:v>
                </c:pt>
                <c:pt idx="3">
                  <c:v>5284499.8239999982</c:v>
                </c:pt>
              </c:numCache>
            </c:numRef>
          </c:val>
          <c:extLst>
            <c:ext xmlns:c16="http://schemas.microsoft.com/office/drawing/2014/chart" uri="{C3380CC4-5D6E-409C-BE32-E72D297353CC}">
              <c16:uniqueId val="{00000001-37C1-4D98-AC9F-8D26E20B3BC0}"/>
            </c:ext>
          </c:extLst>
        </c:ser>
        <c:ser>
          <c:idx val="2"/>
          <c:order val="2"/>
          <c:tx>
            <c:strRef>
              <c:f>'Performance Analysis'!$D$5</c:f>
              <c:strCache>
                <c:ptCount val="1"/>
                <c:pt idx="0">
                  <c:v>Conversions </c:v>
                </c:pt>
              </c:strCache>
            </c:strRef>
          </c:tx>
          <c:spPr>
            <a:solidFill>
              <a:schemeClr val="accent3"/>
            </a:solidFill>
            <a:ln>
              <a:noFill/>
            </a:ln>
            <a:effectLst/>
          </c:spPr>
          <c:invertIfNegative val="0"/>
          <c:cat>
            <c:strRef>
              <c:f>'Performance Analysis'!$A$6:$A$9</c:f>
              <c:strCache>
                <c:ptCount val="4"/>
                <c:pt idx="0">
                  <c:v>Email</c:v>
                </c:pt>
                <c:pt idx="1">
                  <c:v>Influencer Marketing</c:v>
                </c:pt>
                <c:pt idx="2">
                  <c:v>Paid Ads</c:v>
                </c:pt>
                <c:pt idx="3">
                  <c:v>Social Media</c:v>
                </c:pt>
              </c:strCache>
            </c:strRef>
          </c:cat>
          <c:val>
            <c:numRef>
              <c:f>'Performance Analysis'!$D$6:$D$9</c:f>
              <c:numCache>
                <c:formatCode>#,##0</c:formatCode>
                <c:ptCount val="4"/>
                <c:pt idx="0">
                  <c:v>5372960.0000000019</c:v>
                </c:pt>
                <c:pt idx="1">
                  <c:v>5209179.2000000011</c:v>
                </c:pt>
                <c:pt idx="2">
                  <c:v>4565849.6000000006</c:v>
                </c:pt>
                <c:pt idx="3">
                  <c:v>5107663.9999999953</c:v>
                </c:pt>
              </c:numCache>
            </c:numRef>
          </c:val>
          <c:extLst>
            <c:ext xmlns:c16="http://schemas.microsoft.com/office/drawing/2014/chart" uri="{C3380CC4-5D6E-409C-BE32-E72D297353CC}">
              <c16:uniqueId val="{00000002-37C1-4D98-AC9F-8D26E20B3BC0}"/>
            </c:ext>
          </c:extLst>
        </c:ser>
        <c:ser>
          <c:idx val="3"/>
          <c:order val="3"/>
          <c:tx>
            <c:strRef>
              <c:f>'Performance Analysis'!$E$5</c:f>
              <c:strCache>
                <c:ptCount val="1"/>
                <c:pt idx="0">
                  <c:v>Clicks </c:v>
                </c:pt>
              </c:strCache>
            </c:strRef>
          </c:tx>
          <c:spPr>
            <a:solidFill>
              <a:schemeClr val="accent4"/>
            </a:solidFill>
            <a:ln>
              <a:noFill/>
            </a:ln>
            <a:effectLst/>
          </c:spPr>
          <c:invertIfNegative val="0"/>
          <c:cat>
            <c:strRef>
              <c:f>'Performance Analysis'!$A$6:$A$9</c:f>
              <c:strCache>
                <c:ptCount val="4"/>
                <c:pt idx="0">
                  <c:v>Email</c:v>
                </c:pt>
                <c:pt idx="1">
                  <c:v>Influencer Marketing</c:v>
                </c:pt>
                <c:pt idx="2">
                  <c:v>Paid Ads</c:v>
                </c:pt>
                <c:pt idx="3">
                  <c:v>Social Media</c:v>
                </c:pt>
              </c:strCache>
            </c:strRef>
          </c:cat>
          <c:val>
            <c:numRef>
              <c:f>'Performance Analysis'!$E$6:$E$9</c:f>
              <c:numCache>
                <c:formatCode>#,##0</c:formatCode>
                <c:ptCount val="4"/>
                <c:pt idx="0">
                  <c:v>10558406.399999993</c:v>
                </c:pt>
                <c:pt idx="1">
                  <c:v>10267545.599999994</c:v>
                </c:pt>
                <c:pt idx="2">
                  <c:v>9439471.9999999981</c:v>
                </c:pt>
                <c:pt idx="3">
                  <c:v>10015913.600000005</c:v>
                </c:pt>
              </c:numCache>
            </c:numRef>
          </c:val>
          <c:extLst>
            <c:ext xmlns:c16="http://schemas.microsoft.com/office/drawing/2014/chart" uri="{C3380CC4-5D6E-409C-BE32-E72D297353CC}">
              <c16:uniqueId val="{00000003-37C1-4D98-AC9F-8D26E20B3BC0}"/>
            </c:ext>
          </c:extLst>
        </c:ser>
        <c:ser>
          <c:idx val="4"/>
          <c:order val="4"/>
          <c:tx>
            <c:strRef>
              <c:f>'Performance Analysis'!$F$5</c:f>
              <c:strCache>
                <c:ptCount val="1"/>
                <c:pt idx="0">
                  <c:v>Impressions </c:v>
                </c:pt>
              </c:strCache>
            </c:strRef>
          </c:tx>
          <c:spPr>
            <a:solidFill>
              <a:schemeClr val="accent5"/>
            </a:solidFill>
            <a:ln>
              <a:noFill/>
            </a:ln>
            <a:effectLst/>
          </c:spPr>
          <c:invertIfNegative val="0"/>
          <c:cat>
            <c:strRef>
              <c:f>'Performance Analysis'!$A$6:$A$9</c:f>
              <c:strCache>
                <c:ptCount val="4"/>
                <c:pt idx="0">
                  <c:v>Email</c:v>
                </c:pt>
                <c:pt idx="1">
                  <c:v>Influencer Marketing</c:v>
                </c:pt>
                <c:pt idx="2">
                  <c:v>Paid Ads</c:v>
                </c:pt>
                <c:pt idx="3">
                  <c:v>Social Media</c:v>
                </c:pt>
              </c:strCache>
            </c:strRef>
          </c:cat>
          <c:val>
            <c:numRef>
              <c:f>'Performance Analysis'!$F$6:$F$9</c:f>
              <c:numCache>
                <c:formatCode>#,##0</c:formatCode>
                <c:ptCount val="4"/>
                <c:pt idx="0">
                  <c:v>20505220.799999986</c:v>
                </c:pt>
                <c:pt idx="1">
                  <c:v>20882224</c:v>
                </c:pt>
                <c:pt idx="2">
                  <c:v>19378836.800000001</c:v>
                </c:pt>
                <c:pt idx="3">
                  <c:v>19425852.799999986</c:v>
                </c:pt>
              </c:numCache>
            </c:numRef>
          </c:val>
          <c:extLst>
            <c:ext xmlns:c16="http://schemas.microsoft.com/office/drawing/2014/chart" uri="{C3380CC4-5D6E-409C-BE32-E72D297353CC}">
              <c16:uniqueId val="{00000004-37C1-4D98-AC9F-8D26E20B3BC0}"/>
            </c:ext>
          </c:extLst>
        </c:ser>
        <c:ser>
          <c:idx val="5"/>
          <c:order val="5"/>
          <c:tx>
            <c:strRef>
              <c:f>'Performance Analysis'!$G$5</c:f>
              <c:strCache>
                <c:ptCount val="1"/>
                <c:pt idx="0">
                  <c:v>CTR  </c:v>
                </c:pt>
              </c:strCache>
            </c:strRef>
          </c:tx>
          <c:spPr>
            <a:solidFill>
              <a:schemeClr val="accent6"/>
            </a:solidFill>
            <a:ln>
              <a:noFill/>
            </a:ln>
            <a:effectLst/>
          </c:spPr>
          <c:invertIfNegative val="0"/>
          <c:cat>
            <c:strRef>
              <c:f>'Performance Analysis'!$A$6:$A$9</c:f>
              <c:strCache>
                <c:ptCount val="4"/>
                <c:pt idx="0">
                  <c:v>Email</c:v>
                </c:pt>
                <c:pt idx="1">
                  <c:v>Influencer Marketing</c:v>
                </c:pt>
                <c:pt idx="2">
                  <c:v>Paid Ads</c:v>
                </c:pt>
                <c:pt idx="3">
                  <c:v>Social Media</c:v>
                </c:pt>
              </c:strCache>
            </c:strRef>
          </c:cat>
          <c:val>
            <c:numRef>
              <c:f>'Performance Analysis'!$G$6:$G$9</c:f>
              <c:numCache>
                <c:formatCode>0.0%</c:formatCode>
                <c:ptCount val="4"/>
                <c:pt idx="0">
                  <c:v>0.51491308008738923</c:v>
                </c:pt>
                <c:pt idx="1">
                  <c:v>0.49168831825575637</c:v>
                </c:pt>
                <c:pt idx="2">
                  <c:v>0.48710209479652555</c:v>
                </c:pt>
                <c:pt idx="3">
                  <c:v>0.51559711190645963</c:v>
                </c:pt>
              </c:numCache>
            </c:numRef>
          </c:val>
          <c:extLst>
            <c:ext xmlns:c16="http://schemas.microsoft.com/office/drawing/2014/chart" uri="{C3380CC4-5D6E-409C-BE32-E72D297353CC}">
              <c16:uniqueId val="{00000005-37C1-4D98-AC9F-8D26E20B3BC0}"/>
            </c:ext>
          </c:extLst>
        </c:ser>
        <c:ser>
          <c:idx val="6"/>
          <c:order val="6"/>
          <c:tx>
            <c:strRef>
              <c:f>'Performance Analysis'!$H$5</c:f>
              <c:strCache>
                <c:ptCount val="1"/>
                <c:pt idx="0">
                  <c:v>CPC  </c:v>
                </c:pt>
              </c:strCache>
            </c:strRef>
          </c:tx>
          <c:spPr>
            <a:solidFill>
              <a:schemeClr val="accent1">
                <a:lumMod val="60000"/>
              </a:schemeClr>
            </a:solidFill>
            <a:ln>
              <a:noFill/>
            </a:ln>
            <a:effectLst/>
          </c:spPr>
          <c:invertIfNegative val="0"/>
          <c:cat>
            <c:strRef>
              <c:f>'Performance Analysis'!$A$6:$A$9</c:f>
              <c:strCache>
                <c:ptCount val="4"/>
                <c:pt idx="0">
                  <c:v>Email</c:v>
                </c:pt>
                <c:pt idx="1">
                  <c:v>Influencer Marketing</c:v>
                </c:pt>
                <c:pt idx="2">
                  <c:v>Paid Ads</c:v>
                </c:pt>
                <c:pt idx="3">
                  <c:v>Social Media</c:v>
                </c:pt>
              </c:strCache>
            </c:strRef>
          </c:cat>
          <c:val>
            <c:numRef>
              <c:f>'Performance Analysis'!$H$6:$H$9</c:f>
              <c:numCache>
                <c:formatCode>"$"#,##0.00_);[Red]\("$"#,##0.00\)</c:formatCode>
                <c:ptCount val="4"/>
                <c:pt idx="0">
                  <c:v>0.19213767714036864</c:v>
                </c:pt>
                <c:pt idx="1">
                  <c:v>0.20115007193150433</c:v>
                </c:pt>
                <c:pt idx="2">
                  <c:v>0.21621523915744451</c:v>
                </c:pt>
                <c:pt idx="3">
                  <c:v>0.20190423208123515</c:v>
                </c:pt>
              </c:numCache>
            </c:numRef>
          </c:val>
          <c:extLst>
            <c:ext xmlns:c16="http://schemas.microsoft.com/office/drawing/2014/chart" uri="{C3380CC4-5D6E-409C-BE32-E72D297353CC}">
              <c16:uniqueId val="{00000006-37C1-4D98-AC9F-8D26E20B3BC0}"/>
            </c:ext>
          </c:extLst>
        </c:ser>
        <c:ser>
          <c:idx val="7"/>
          <c:order val="7"/>
          <c:tx>
            <c:strRef>
              <c:f>'Performance Analysis'!$I$5</c:f>
              <c:strCache>
                <c:ptCount val="1"/>
                <c:pt idx="0">
                  <c:v>Channel ROAS </c:v>
                </c:pt>
              </c:strCache>
            </c:strRef>
          </c:tx>
          <c:spPr>
            <a:solidFill>
              <a:schemeClr val="accent2">
                <a:lumMod val="60000"/>
              </a:schemeClr>
            </a:solidFill>
            <a:ln>
              <a:noFill/>
            </a:ln>
            <a:effectLst/>
          </c:spPr>
          <c:invertIfNegative val="0"/>
          <c:cat>
            <c:strRef>
              <c:f>'Performance Analysis'!$A$6:$A$9</c:f>
              <c:strCache>
                <c:ptCount val="4"/>
                <c:pt idx="0">
                  <c:v>Email</c:v>
                </c:pt>
                <c:pt idx="1">
                  <c:v>Influencer Marketing</c:v>
                </c:pt>
                <c:pt idx="2">
                  <c:v>Paid Ads</c:v>
                </c:pt>
                <c:pt idx="3">
                  <c:v>Social Media</c:v>
                </c:pt>
              </c:strCache>
            </c:strRef>
          </c:cat>
          <c:val>
            <c:numRef>
              <c:f>'Performance Analysis'!$I$6:$I$9</c:f>
              <c:numCache>
                <c:formatCode>0%</c:formatCode>
                <c:ptCount val="4"/>
                <c:pt idx="0">
                  <c:v>2.6107472545725172</c:v>
                </c:pt>
                <c:pt idx="1">
                  <c:v>2.5649307690766632</c:v>
                </c:pt>
                <c:pt idx="2">
                  <c:v>2.6181356695793081</c:v>
                </c:pt>
                <c:pt idx="3">
                  <c:v>2.6131713978054378</c:v>
                </c:pt>
              </c:numCache>
            </c:numRef>
          </c:val>
          <c:extLst>
            <c:ext xmlns:c16="http://schemas.microsoft.com/office/drawing/2014/chart" uri="{C3380CC4-5D6E-409C-BE32-E72D297353CC}">
              <c16:uniqueId val="{00000007-37C1-4D98-AC9F-8D26E20B3BC0}"/>
            </c:ext>
          </c:extLst>
        </c:ser>
        <c:ser>
          <c:idx val="8"/>
          <c:order val="8"/>
          <c:tx>
            <c:strRef>
              <c:f>'Performance Analysis'!$J$5</c:f>
              <c:strCache>
                <c:ptCount val="1"/>
                <c:pt idx="0">
                  <c:v>Channel CVR </c:v>
                </c:pt>
              </c:strCache>
            </c:strRef>
          </c:tx>
          <c:spPr>
            <a:solidFill>
              <a:schemeClr val="accent3">
                <a:lumMod val="60000"/>
              </a:schemeClr>
            </a:solidFill>
            <a:ln>
              <a:noFill/>
            </a:ln>
            <a:effectLst/>
          </c:spPr>
          <c:invertIfNegative val="0"/>
          <c:cat>
            <c:strRef>
              <c:f>'Performance Analysis'!$A$6:$A$9</c:f>
              <c:strCache>
                <c:ptCount val="4"/>
                <c:pt idx="0">
                  <c:v>Email</c:v>
                </c:pt>
                <c:pt idx="1">
                  <c:v>Influencer Marketing</c:v>
                </c:pt>
                <c:pt idx="2">
                  <c:v>Paid Ads</c:v>
                </c:pt>
                <c:pt idx="3">
                  <c:v>Social Media</c:v>
                </c:pt>
              </c:strCache>
            </c:strRef>
          </c:cat>
          <c:val>
            <c:numRef>
              <c:f>'Performance Analysis'!$J$6:$J$9</c:f>
              <c:numCache>
                <c:formatCode>0.0%</c:formatCode>
                <c:ptCount val="4"/>
                <c:pt idx="0">
                  <c:v>0.50887982489478767</c:v>
                </c:pt>
                <c:pt idx="1">
                  <c:v>0.50734415048519521</c:v>
                </c:pt>
                <c:pt idx="2">
                  <c:v>0.48369756274503506</c:v>
                </c:pt>
                <c:pt idx="3">
                  <c:v>0.50995487820501895</c:v>
                </c:pt>
              </c:numCache>
            </c:numRef>
          </c:val>
          <c:extLst>
            <c:ext xmlns:c16="http://schemas.microsoft.com/office/drawing/2014/chart" uri="{C3380CC4-5D6E-409C-BE32-E72D297353CC}">
              <c16:uniqueId val="{00000008-37C1-4D98-AC9F-8D26E20B3BC0}"/>
            </c:ext>
          </c:extLst>
        </c:ser>
        <c:dLbls>
          <c:showLegendKey val="0"/>
          <c:showVal val="0"/>
          <c:showCatName val="0"/>
          <c:showSerName val="0"/>
          <c:showPercent val="0"/>
          <c:showBubbleSize val="0"/>
        </c:dLbls>
        <c:gapWidth val="219"/>
        <c:overlap val="-27"/>
        <c:axId val="354194981"/>
        <c:axId val="246796676"/>
      </c:barChart>
      <c:lineChart>
        <c:grouping val="standard"/>
        <c:varyColors val="0"/>
        <c:dLbls>
          <c:showLegendKey val="0"/>
          <c:showVal val="0"/>
          <c:showCatName val="0"/>
          <c:showSerName val="0"/>
          <c:showPercent val="0"/>
          <c:showBubbleSize val="0"/>
        </c:dLbls>
        <c:marker val="1"/>
        <c:smooth val="0"/>
        <c:axId val="354194981"/>
        <c:axId val="246796676"/>
      </c:lineChart>
      <c:catAx>
        <c:axId val="35419498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46796676"/>
        <c:crosses val="autoZero"/>
        <c:auto val="1"/>
        <c:lblAlgn val="ctr"/>
        <c:lblOffset val="100"/>
        <c:noMultiLvlLbl val="0"/>
      </c:catAx>
      <c:valAx>
        <c:axId val="246796676"/>
        <c:scaling>
          <c:orientation val="minMax"/>
        </c:scaling>
        <c:delete val="0"/>
        <c:axPos val="l"/>
        <c:numFmt formatCode="&quot;$&quot;#,##0.00_);[Red]\(&quot;$&quot;#,##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54194981"/>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60b3051-db77-4164-b05c-041dc8df934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[Data.xlsx]Performance Analysis!Campaign Performance Overview:</c:name>
    <c:fmtId val="3"/>
  </c:pivotSource>
  <c:chart>
    <c:title>
      <c:tx>
        <c:rich>
          <a:bodyPr rot="0" spcFirstLastPara="1" vertOverflow="ellipsis" vert="horz" wrap="square" anchor="ctr" anchorCtr="1"/>
          <a:lstStyle/>
          <a:p>
            <a:pPr algn="ctr" rtl="0">
              <a:defRPr lang="en-US" sz="2000" b="1" i="0" u="none" strike="noStrike" kern="1200" cap="none" spc="20" baseline="0">
                <a:solidFill>
                  <a:srgbClr val="0070C0"/>
                </a:solidFill>
                <a:latin typeface="+mn-lt"/>
                <a:ea typeface="+mn-ea"/>
                <a:cs typeface="+mn-cs"/>
              </a:defRPr>
            </a:pPr>
            <a:r>
              <a:rPr lang="en-US" sz="2000" b="1" i="0" u="none" strike="noStrike" kern="1200" cap="none" spc="20" baseline="0">
                <a:solidFill>
                  <a:srgbClr val="0070C0"/>
                </a:solidFill>
                <a:latin typeface="+mn-lt"/>
                <a:ea typeface="+mn-ea"/>
                <a:cs typeface="+mn-cs"/>
              </a:rPr>
              <a:t>Campaign Performance Overview</a:t>
            </a:r>
          </a:p>
        </c:rich>
      </c:tx>
      <c:overlay val="0"/>
      <c:spPr>
        <a:noFill/>
        <a:ln>
          <a:noFill/>
        </a:ln>
        <a:effectLst/>
      </c:spPr>
      <c:txPr>
        <a:bodyPr rot="0" spcFirstLastPara="1" vertOverflow="ellipsis" vert="horz" wrap="square" anchor="ctr" anchorCtr="1"/>
        <a:lstStyle/>
        <a:p>
          <a:pPr algn="ctr" rtl="0">
            <a:defRPr lang="en-US" sz="2000" b="1" i="0" u="none" strike="noStrike" kern="1200" cap="none" spc="2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Analysis'!$B$87</c:f>
              <c:strCache>
                <c:ptCount val="1"/>
                <c:pt idx="0">
                  <c:v>CTR    </c:v>
                </c:pt>
              </c:strCache>
            </c:strRef>
          </c:tx>
          <c:spPr>
            <a:solidFill>
              <a:schemeClr val="accent1"/>
            </a:solidFill>
            <a:ln>
              <a:noFill/>
            </a:ln>
            <a:effectLst/>
          </c:spPr>
          <c:invertIfNegative val="0"/>
          <c:cat>
            <c:strRef>
              <c:f>'Performance Analysis'!$A$88:$A$92</c:f>
              <c:strCache>
                <c:ptCount val="4"/>
                <c:pt idx="0">
                  <c:v>Email</c:v>
                </c:pt>
                <c:pt idx="1">
                  <c:v>Influencer Marketing</c:v>
                </c:pt>
                <c:pt idx="2">
                  <c:v>Paid Ads</c:v>
                </c:pt>
                <c:pt idx="3">
                  <c:v>Social Media</c:v>
                </c:pt>
              </c:strCache>
            </c:strRef>
          </c:cat>
          <c:val>
            <c:numRef>
              <c:f>'Performance Analysis'!$B$88:$B$92</c:f>
              <c:numCache>
                <c:formatCode>0%</c:formatCode>
                <c:ptCount val="4"/>
                <c:pt idx="0">
                  <c:v>0.51491308008738923</c:v>
                </c:pt>
                <c:pt idx="1">
                  <c:v>0.49168831825575637</c:v>
                </c:pt>
                <c:pt idx="2">
                  <c:v>0.48710209479652555</c:v>
                </c:pt>
                <c:pt idx="3">
                  <c:v>0.51559711190645963</c:v>
                </c:pt>
              </c:numCache>
            </c:numRef>
          </c:val>
          <c:extLst>
            <c:ext xmlns:c16="http://schemas.microsoft.com/office/drawing/2014/chart" uri="{C3380CC4-5D6E-409C-BE32-E72D297353CC}">
              <c16:uniqueId val="{00000000-46A6-4FBF-ACCB-4CC0A6B8D4D9}"/>
            </c:ext>
          </c:extLst>
        </c:ser>
        <c:ser>
          <c:idx val="1"/>
          <c:order val="1"/>
          <c:tx>
            <c:strRef>
              <c:f>'Performance Analysis'!$C$87</c:f>
              <c:strCache>
                <c:ptCount val="1"/>
                <c:pt idx="0">
                  <c:v>CVR   </c:v>
                </c:pt>
              </c:strCache>
            </c:strRef>
          </c:tx>
          <c:spPr>
            <a:solidFill>
              <a:schemeClr val="accent2"/>
            </a:solidFill>
            <a:ln>
              <a:noFill/>
            </a:ln>
            <a:effectLst/>
          </c:spPr>
          <c:invertIfNegative val="0"/>
          <c:cat>
            <c:strRef>
              <c:f>'Performance Analysis'!$A$88:$A$92</c:f>
              <c:strCache>
                <c:ptCount val="4"/>
                <c:pt idx="0">
                  <c:v>Email</c:v>
                </c:pt>
                <c:pt idx="1">
                  <c:v>Influencer Marketing</c:v>
                </c:pt>
                <c:pt idx="2">
                  <c:v>Paid Ads</c:v>
                </c:pt>
                <c:pt idx="3">
                  <c:v>Social Media</c:v>
                </c:pt>
              </c:strCache>
            </c:strRef>
          </c:cat>
          <c:val>
            <c:numRef>
              <c:f>'Performance Analysis'!$C$88:$C$92</c:f>
              <c:numCache>
                <c:formatCode>0%</c:formatCode>
                <c:ptCount val="4"/>
                <c:pt idx="0">
                  <c:v>0.50887982489478767</c:v>
                </c:pt>
                <c:pt idx="1">
                  <c:v>0.50734415048519521</c:v>
                </c:pt>
                <c:pt idx="2">
                  <c:v>0.48369756274503506</c:v>
                </c:pt>
                <c:pt idx="3">
                  <c:v>0.50995487820501895</c:v>
                </c:pt>
              </c:numCache>
            </c:numRef>
          </c:val>
          <c:extLst>
            <c:ext xmlns:c16="http://schemas.microsoft.com/office/drawing/2014/chart" uri="{C3380CC4-5D6E-409C-BE32-E72D297353CC}">
              <c16:uniqueId val="{00000001-46A6-4FBF-ACCB-4CC0A6B8D4D9}"/>
            </c:ext>
          </c:extLst>
        </c:ser>
        <c:ser>
          <c:idx val="2"/>
          <c:order val="2"/>
          <c:tx>
            <c:strRef>
              <c:f>'Performance Analysis'!$D$87</c:f>
              <c:strCache>
                <c:ptCount val="1"/>
                <c:pt idx="0">
                  <c:v>ROAS  </c:v>
                </c:pt>
              </c:strCache>
            </c:strRef>
          </c:tx>
          <c:spPr>
            <a:solidFill>
              <a:schemeClr val="accent3"/>
            </a:solidFill>
            <a:ln>
              <a:noFill/>
            </a:ln>
            <a:effectLst/>
          </c:spPr>
          <c:invertIfNegative val="0"/>
          <c:cat>
            <c:strRef>
              <c:f>'Performance Analysis'!$A$88:$A$92</c:f>
              <c:strCache>
                <c:ptCount val="4"/>
                <c:pt idx="0">
                  <c:v>Email</c:v>
                </c:pt>
                <c:pt idx="1">
                  <c:v>Influencer Marketing</c:v>
                </c:pt>
                <c:pt idx="2">
                  <c:v>Paid Ads</c:v>
                </c:pt>
                <c:pt idx="3">
                  <c:v>Social Media</c:v>
                </c:pt>
              </c:strCache>
            </c:strRef>
          </c:cat>
          <c:val>
            <c:numRef>
              <c:f>'Performance Analysis'!$D$88:$D$92</c:f>
              <c:numCache>
                <c:formatCode>0%</c:formatCode>
                <c:ptCount val="4"/>
                <c:pt idx="0">
                  <c:v>2.6107472545725172</c:v>
                </c:pt>
                <c:pt idx="1">
                  <c:v>2.5649307690766632</c:v>
                </c:pt>
                <c:pt idx="2">
                  <c:v>2.6181356695793081</c:v>
                </c:pt>
                <c:pt idx="3">
                  <c:v>2.6131713978054378</c:v>
                </c:pt>
              </c:numCache>
            </c:numRef>
          </c:val>
          <c:extLst>
            <c:ext xmlns:c16="http://schemas.microsoft.com/office/drawing/2014/chart" uri="{C3380CC4-5D6E-409C-BE32-E72D297353CC}">
              <c16:uniqueId val="{00000002-46A6-4FBF-ACCB-4CC0A6B8D4D9}"/>
            </c:ext>
          </c:extLst>
        </c:ser>
        <c:dLbls>
          <c:showLegendKey val="0"/>
          <c:showVal val="0"/>
          <c:showCatName val="0"/>
          <c:showSerName val="0"/>
          <c:showPercent val="0"/>
          <c:showBubbleSize val="0"/>
        </c:dLbls>
        <c:gapWidth val="219"/>
        <c:overlap val="-27"/>
        <c:axId val="1890151583"/>
        <c:axId val="1890162143"/>
      </c:barChart>
      <c:catAx>
        <c:axId val="189015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162143"/>
        <c:crosses val="autoZero"/>
        <c:auto val="1"/>
        <c:lblAlgn val="ctr"/>
        <c:lblOffset val="100"/>
        <c:noMultiLvlLbl val="0"/>
      </c:catAx>
      <c:valAx>
        <c:axId val="1890162143"/>
        <c:scaling>
          <c:orientation val="minMax"/>
        </c:scaling>
        <c:delete val="1"/>
        <c:axPos val="l"/>
        <c:numFmt formatCode="0%" sourceLinked="1"/>
        <c:majorTickMark val="none"/>
        <c:minorTickMark val="none"/>
        <c:tickLblPos val="nextTo"/>
        <c:crossAx val="189015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[Data.xlsx]Performance Analysis!Channel Performance Breakdown</c:name>
    <c:fmtId val="2"/>
  </c:pivotSource>
  <c:chart>
    <c:title>
      <c:tx>
        <c:rich>
          <a:bodyPr rot="0" spcFirstLastPara="1" vertOverflow="ellipsis" vert="horz" wrap="square" anchor="ctr" anchorCtr="1"/>
          <a:lstStyle/>
          <a:p>
            <a:pPr algn="ctr" rtl="0">
              <a:defRPr lang="en-US" sz="2000" b="1" i="0" u="none" strike="noStrike" kern="1200" cap="none" spc="20" baseline="0">
                <a:solidFill>
                  <a:srgbClr val="0070C0"/>
                </a:solidFill>
                <a:latin typeface="+mn-lt"/>
                <a:ea typeface="+mn-ea"/>
                <a:cs typeface="+mn-cs"/>
              </a:defRPr>
            </a:pPr>
            <a:r>
              <a:rPr lang="en-US" sz="2000" b="1" i="0" u="none" strike="noStrike" kern="1200" cap="none" spc="20" baseline="0">
                <a:solidFill>
                  <a:srgbClr val="0070C0"/>
                </a:solidFill>
                <a:latin typeface="+mn-lt"/>
                <a:ea typeface="+mn-ea"/>
                <a:cs typeface="+mn-cs"/>
              </a:rPr>
              <a:t>Channel Performance Breakdown</a:t>
            </a:r>
          </a:p>
        </c:rich>
      </c:tx>
      <c:overlay val="0"/>
      <c:spPr>
        <a:noFill/>
        <a:ln>
          <a:noFill/>
        </a:ln>
        <a:effectLst/>
      </c:spPr>
      <c:txPr>
        <a:bodyPr rot="0" spcFirstLastPara="1" vertOverflow="ellipsis" vert="horz" wrap="square" anchor="ctr" anchorCtr="1"/>
        <a:lstStyle/>
        <a:p>
          <a:pPr algn="ctr" rtl="0">
            <a:defRPr lang="en-US" sz="2000" b="1" i="0" u="none" strike="noStrike" kern="1200" cap="none" spc="2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'Performance Analysis'!$B$95</c:f>
              <c:strCache>
                <c:ptCount val="1"/>
                <c:pt idx="0">
                  <c:v>Impressions </c:v>
                </c:pt>
              </c:strCache>
            </c:strRef>
          </c:tx>
          <c:spPr>
            <a:solidFill>
              <a:schemeClr val="accent1"/>
            </a:solidFill>
            <a:ln>
              <a:noFill/>
            </a:ln>
            <a:effectLst/>
          </c:spPr>
          <c:invertIfNegative val="0"/>
          <c:cat>
            <c:strRef>
              <c:f>'Performance Analysis'!$A$96:$A$100</c:f>
              <c:strCache>
                <c:ptCount val="4"/>
                <c:pt idx="0">
                  <c:v>Email</c:v>
                </c:pt>
                <c:pt idx="1">
                  <c:v>Influencer Marketing</c:v>
                </c:pt>
                <c:pt idx="2">
                  <c:v>Paid Ads</c:v>
                </c:pt>
                <c:pt idx="3">
                  <c:v>Social Media</c:v>
                </c:pt>
              </c:strCache>
            </c:strRef>
          </c:cat>
          <c:val>
            <c:numRef>
              <c:f>'Performance Analysis'!$B$96:$B$100</c:f>
              <c:numCache>
                <c:formatCode>#,##0</c:formatCode>
                <c:ptCount val="4"/>
                <c:pt idx="0">
                  <c:v>20505220.799999986</c:v>
                </c:pt>
                <c:pt idx="1">
                  <c:v>20882224</c:v>
                </c:pt>
                <c:pt idx="2">
                  <c:v>19378836.800000001</c:v>
                </c:pt>
                <c:pt idx="3">
                  <c:v>19425852.799999986</c:v>
                </c:pt>
              </c:numCache>
            </c:numRef>
          </c:val>
          <c:extLst>
            <c:ext xmlns:c16="http://schemas.microsoft.com/office/drawing/2014/chart" uri="{C3380CC4-5D6E-409C-BE32-E72D297353CC}">
              <c16:uniqueId val="{00000000-38D3-4565-92E3-B38B5447254A}"/>
            </c:ext>
          </c:extLst>
        </c:ser>
        <c:ser>
          <c:idx val="1"/>
          <c:order val="1"/>
          <c:tx>
            <c:strRef>
              <c:f>'Performance Analysis'!$C$95</c:f>
              <c:strCache>
                <c:ptCount val="1"/>
                <c:pt idx="0">
                  <c:v>Conversions </c:v>
                </c:pt>
              </c:strCache>
            </c:strRef>
          </c:tx>
          <c:spPr>
            <a:solidFill>
              <a:schemeClr val="accent2"/>
            </a:solidFill>
            <a:ln>
              <a:noFill/>
            </a:ln>
            <a:effectLst/>
          </c:spPr>
          <c:invertIfNegative val="0"/>
          <c:cat>
            <c:strRef>
              <c:f>'Performance Analysis'!$A$96:$A$100</c:f>
              <c:strCache>
                <c:ptCount val="4"/>
                <c:pt idx="0">
                  <c:v>Email</c:v>
                </c:pt>
                <c:pt idx="1">
                  <c:v>Influencer Marketing</c:v>
                </c:pt>
                <c:pt idx="2">
                  <c:v>Paid Ads</c:v>
                </c:pt>
                <c:pt idx="3">
                  <c:v>Social Media</c:v>
                </c:pt>
              </c:strCache>
            </c:strRef>
          </c:cat>
          <c:val>
            <c:numRef>
              <c:f>'Performance Analysis'!$C$96:$C$100</c:f>
              <c:numCache>
                <c:formatCode>#,##0</c:formatCode>
                <c:ptCount val="4"/>
                <c:pt idx="0">
                  <c:v>5372960.0000000019</c:v>
                </c:pt>
                <c:pt idx="1">
                  <c:v>5209179.2000000011</c:v>
                </c:pt>
                <c:pt idx="2">
                  <c:v>4565849.6000000006</c:v>
                </c:pt>
                <c:pt idx="3">
                  <c:v>5107663.9999999953</c:v>
                </c:pt>
              </c:numCache>
            </c:numRef>
          </c:val>
          <c:extLst>
            <c:ext xmlns:c16="http://schemas.microsoft.com/office/drawing/2014/chart" uri="{C3380CC4-5D6E-409C-BE32-E72D297353CC}">
              <c16:uniqueId val="{00000001-38D3-4565-92E3-B38B5447254A}"/>
            </c:ext>
          </c:extLst>
        </c:ser>
        <c:ser>
          <c:idx val="2"/>
          <c:order val="2"/>
          <c:tx>
            <c:strRef>
              <c:f>'Performance Analysis'!$D$95</c:f>
              <c:strCache>
                <c:ptCount val="1"/>
                <c:pt idx="0">
                  <c:v>Total_Spend  </c:v>
                </c:pt>
              </c:strCache>
            </c:strRef>
          </c:tx>
          <c:spPr>
            <a:solidFill>
              <a:schemeClr val="accent3"/>
            </a:solidFill>
            <a:ln>
              <a:noFill/>
            </a:ln>
            <a:effectLst/>
          </c:spPr>
          <c:invertIfNegative val="0"/>
          <c:cat>
            <c:strRef>
              <c:f>'Performance Analysis'!$A$96:$A$100</c:f>
              <c:strCache>
                <c:ptCount val="4"/>
                <c:pt idx="0">
                  <c:v>Email</c:v>
                </c:pt>
                <c:pt idx="1">
                  <c:v>Influencer Marketing</c:v>
                </c:pt>
                <c:pt idx="2">
                  <c:v>Paid Ads</c:v>
                </c:pt>
                <c:pt idx="3">
                  <c:v>Social Media</c:v>
                </c:pt>
              </c:strCache>
            </c:strRef>
          </c:cat>
          <c:val>
            <c:numRef>
              <c:f>'Performance Analysis'!$D$96:$D$100</c:f>
              <c:numCache>
                <c:formatCode>"$"#,##0.00_);[Red]\("$"#,##0.00\)</c:formatCode>
                <c:ptCount val="4"/>
                <c:pt idx="0">
                  <c:v>2028667.6800000006</c:v>
                </c:pt>
                <c:pt idx="1">
                  <c:v>2065317.5359999996</c:v>
                </c:pt>
                <c:pt idx="2">
                  <c:v>2040957.6960000007</c:v>
                </c:pt>
                <c:pt idx="3">
                  <c:v>2022255.3440000005</c:v>
                </c:pt>
              </c:numCache>
            </c:numRef>
          </c:val>
          <c:extLst>
            <c:ext xmlns:c16="http://schemas.microsoft.com/office/drawing/2014/chart" uri="{C3380CC4-5D6E-409C-BE32-E72D297353CC}">
              <c16:uniqueId val="{00000002-38D3-4565-92E3-B38B5447254A}"/>
            </c:ext>
          </c:extLst>
        </c:ser>
        <c:dLbls>
          <c:showLegendKey val="0"/>
          <c:showVal val="0"/>
          <c:showCatName val="0"/>
          <c:showSerName val="0"/>
          <c:showPercent val="0"/>
          <c:showBubbleSize val="0"/>
        </c:dLbls>
        <c:gapWidth val="150"/>
        <c:overlap val="100"/>
        <c:axId val="1890161183"/>
        <c:axId val="1890151103"/>
      </c:barChart>
      <c:catAx>
        <c:axId val="1890161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151103"/>
        <c:crosses val="autoZero"/>
        <c:auto val="1"/>
        <c:lblAlgn val="ctr"/>
        <c:lblOffset val="100"/>
        <c:noMultiLvlLbl val="0"/>
      </c:catAx>
      <c:valAx>
        <c:axId val="1890151103"/>
        <c:scaling>
          <c:orientation val="minMax"/>
        </c:scaling>
        <c:delete val="1"/>
        <c:axPos val="b"/>
        <c:numFmt formatCode="#,##0" sourceLinked="1"/>
        <c:majorTickMark val="none"/>
        <c:minorTickMark val="none"/>
        <c:tickLblPos val="nextTo"/>
        <c:crossAx val="189016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[Data.xlsx]Performance Analysis!conversions and revenue by age</c:name>
    <c:fmtId val="2"/>
  </c:pivotSource>
  <c:chart>
    <c:title>
      <c:tx>
        <c:rich>
          <a:bodyPr rot="0" spcFirstLastPara="1" vertOverflow="ellipsis" vert="horz" wrap="square" anchor="ctr" anchorCtr="1"/>
          <a:lstStyle/>
          <a:p>
            <a:pPr algn="ctr" rtl="0">
              <a:defRPr lang="en-US" sz="2000" b="1" i="0" u="none" strike="noStrike" kern="1200" cap="none" spc="20" baseline="0">
                <a:solidFill>
                  <a:srgbClr val="0070C0"/>
                </a:solidFill>
                <a:latin typeface="+mn-lt"/>
                <a:ea typeface="+mn-ea"/>
                <a:cs typeface="+mn-cs"/>
              </a:defRPr>
            </a:pPr>
            <a:r>
              <a:rPr lang="en-US" sz="2000" b="1" i="0" u="none" strike="noStrike" kern="1200" cap="none" spc="20" baseline="0">
                <a:solidFill>
                  <a:srgbClr val="0070C0"/>
                </a:solidFill>
                <a:latin typeface="+mn-lt"/>
                <a:ea typeface="+mn-ea"/>
                <a:cs typeface="+mn-cs"/>
              </a:rPr>
              <a:t>Performance by age</a:t>
            </a:r>
          </a:p>
        </c:rich>
      </c:tx>
      <c:overlay val="0"/>
      <c:spPr>
        <a:noFill/>
        <a:ln>
          <a:noFill/>
        </a:ln>
        <a:effectLst/>
      </c:spPr>
      <c:txPr>
        <a:bodyPr rot="0" spcFirstLastPara="1" vertOverflow="ellipsis" vert="horz" wrap="square" anchor="ctr" anchorCtr="1"/>
        <a:lstStyle/>
        <a:p>
          <a:pPr algn="ctr" rtl="0">
            <a:defRPr lang="en-US" sz="2000" b="1" i="0" u="none" strike="noStrike" kern="1200" cap="none" spc="2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Analysis'!$B$103</c:f>
              <c:strCache>
                <c:ptCount val="1"/>
                <c:pt idx="0">
                  <c:v>Conversions  </c:v>
                </c:pt>
              </c:strCache>
            </c:strRef>
          </c:tx>
          <c:spPr>
            <a:solidFill>
              <a:schemeClr val="accent1"/>
            </a:solidFill>
            <a:ln>
              <a:noFill/>
            </a:ln>
            <a:effectLst/>
          </c:spPr>
          <c:invertIfNegative val="0"/>
          <c:cat>
            <c:strRef>
              <c:f>'Performance Analysis'!$A$104:$A$109</c:f>
              <c:strCache>
                <c:ptCount val="5"/>
                <c:pt idx="0">
                  <c:v>18-24</c:v>
                </c:pt>
                <c:pt idx="1">
                  <c:v>25-34</c:v>
                </c:pt>
                <c:pt idx="2">
                  <c:v>35-44</c:v>
                </c:pt>
                <c:pt idx="3">
                  <c:v>45-54</c:v>
                </c:pt>
                <c:pt idx="4">
                  <c:v>55+</c:v>
                </c:pt>
              </c:strCache>
            </c:strRef>
          </c:cat>
          <c:val>
            <c:numRef>
              <c:f>'Performance Analysis'!$B$104:$B$109</c:f>
              <c:numCache>
                <c:formatCode>#,##0</c:formatCode>
                <c:ptCount val="5"/>
                <c:pt idx="0">
                  <c:v>4079350.4000000004</c:v>
                </c:pt>
                <c:pt idx="1">
                  <c:v>4058723.2</c:v>
                </c:pt>
                <c:pt idx="2">
                  <c:v>4094043.1999999997</c:v>
                </c:pt>
                <c:pt idx="3">
                  <c:v>3715900.7999999975</c:v>
                </c:pt>
                <c:pt idx="4">
                  <c:v>4307635.1999999983</c:v>
                </c:pt>
              </c:numCache>
            </c:numRef>
          </c:val>
          <c:extLst>
            <c:ext xmlns:c16="http://schemas.microsoft.com/office/drawing/2014/chart" uri="{C3380CC4-5D6E-409C-BE32-E72D297353CC}">
              <c16:uniqueId val="{00000000-9B8F-4C6B-A2ED-27A4D9F12261}"/>
            </c:ext>
          </c:extLst>
        </c:ser>
        <c:ser>
          <c:idx val="1"/>
          <c:order val="1"/>
          <c:tx>
            <c:strRef>
              <c:f>'Performance Analysis'!$C$103</c:f>
              <c:strCache>
                <c:ptCount val="1"/>
                <c:pt idx="0">
                  <c:v>Revenue_Generated  </c:v>
                </c:pt>
              </c:strCache>
            </c:strRef>
          </c:tx>
          <c:spPr>
            <a:solidFill>
              <a:schemeClr val="accent2"/>
            </a:solidFill>
            <a:ln>
              <a:noFill/>
            </a:ln>
            <a:effectLst/>
          </c:spPr>
          <c:invertIfNegative val="0"/>
          <c:cat>
            <c:strRef>
              <c:f>'Performance Analysis'!$A$104:$A$109</c:f>
              <c:strCache>
                <c:ptCount val="5"/>
                <c:pt idx="0">
                  <c:v>18-24</c:v>
                </c:pt>
                <c:pt idx="1">
                  <c:v>25-34</c:v>
                </c:pt>
                <c:pt idx="2">
                  <c:v>35-44</c:v>
                </c:pt>
                <c:pt idx="3">
                  <c:v>45-54</c:v>
                </c:pt>
                <c:pt idx="4">
                  <c:v>55+</c:v>
                </c:pt>
              </c:strCache>
            </c:strRef>
          </c:cat>
          <c:val>
            <c:numRef>
              <c:f>'Performance Analysis'!$C$104:$C$109</c:f>
              <c:numCache>
                <c:formatCode>"$"#,##0.00_);[Red]\("$"#,##0.00\)</c:formatCode>
                <c:ptCount val="5"/>
                <c:pt idx="0">
                  <c:v>4268392.5759999994</c:v>
                </c:pt>
                <c:pt idx="1">
                  <c:v>4042096.7839999995</c:v>
                </c:pt>
                <c:pt idx="2">
                  <c:v>3936338.0159999956</c:v>
                </c:pt>
                <c:pt idx="3">
                  <c:v>4653910.4640000015</c:v>
                </c:pt>
                <c:pt idx="4">
                  <c:v>4321001.2000000039</c:v>
                </c:pt>
              </c:numCache>
            </c:numRef>
          </c:val>
          <c:extLst>
            <c:ext xmlns:c16="http://schemas.microsoft.com/office/drawing/2014/chart" uri="{C3380CC4-5D6E-409C-BE32-E72D297353CC}">
              <c16:uniqueId val="{00000001-9B8F-4C6B-A2ED-27A4D9F12261}"/>
            </c:ext>
          </c:extLst>
        </c:ser>
        <c:dLbls>
          <c:showLegendKey val="0"/>
          <c:showVal val="0"/>
          <c:showCatName val="0"/>
          <c:showSerName val="0"/>
          <c:showPercent val="0"/>
          <c:showBubbleSize val="0"/>
        </c:dLbls>
        <c:gapWidth val="219"/>
        <c:overlap val="-27"/>
        <c:axId val="1890165503"/>
        <c:axId val="1890166463"/>
      </c:barChart>
      <c:catAx>
        <c:axId val="189016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166463"/>
        <c:crosses val="autoZero"/>
        <c:auto val="1"/>
        <c:lblAlgn val="ctr"/>
        <c:lblOffset val="100"/>
        <c:noMultiLvlLbl val="0"/>
      </c:catAx>
      <c:valAx>
        <c:axId val="1890166463"/>
        <c:scaling>
          <c:orientation val="minMax"/>
        </c:scaling>
        <c:delete val="1"/>
        <c:axPos val="l"/>
        <c:numFmt formatCode="#,##0" sourceLinked="1"/>
        <c:majorTickMark val="none"/>
        <c:minorTickMark val="none"/>
        <c:tickLblPos val="nextTo"/>
        <c:crossAx val="189016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[Data.xlsx]Performance Analysis!conversions and revenue by gender</c:name>
    <c:fmtId val="2"/>
  </c:pivotSource>
  <c:chart>
    <c:title>
      <c:tx>
        <c:rich>
          <a:bodyPr rot="0" spcFirstLastPara="1" vertOverflow="ellipsis" vert="horz" wrap="square" anchor="ctr" anchorCtr="1"/>
          <a:lstStyle/>
          <a:p>
            <a:pPr algn="ctr" rtl="0">
              <a:defRPr lang="en-US" sz="2000" b="1" i="0" u="none" strike="noStrike" kern="1200" cap="none" spc="20" baseline="0">
                <a:solidFill>
                  <a:srgbClr val="0070C0"/>
                </a:solidFill>
                <a:latin typeface="+mn-lt"/>
                <a:ea typeface="+mn-ea"/>
                <a:cs typeface="+mn-cs"/>
              </a:defRPr>
            </a:pPr>
            <a:r>
              <a:rPr lang="en-US" sz="2000" b="1" i="0" u="none" strike="noStrike" kern="1200" cap="none" spc="20" baseline="0">
                <a:solidFill>
                  <a:srgbClr val="0070C0"/>
                </a:solidFill>
                <a:latin typeface="+mn-lt"/>
                <a:ea typeface="+mn-ea"/>
                <a:cs typeface="+mn-cs"/>
              </a:rPr>
              <a:t>Performance by gender</a:t>
            </a:r>
          </a:p>
        </c:rich>
      </c:tx>
      <c:overlay val="0"/>
      <c:spPr>
        <a:noFill/>
        <a:ln>
          <a:noFill/>
        </a:ln>
        <a:effectLst/>
      </c:spPr>
      <c:txPr>
        <a:bodyPr rot="0" spcFirstLastPara="1" vertOverflow="ellipsis" vert="horz" wrap="square" anchor="ctr" anchorCtr="1"/>
        <a:lstStyle/>
        <a:p>
          <a:pPr algn="ctr" rtl="0">
            <a:defRPr lang="en-US" sz="2000" b="1" i="0" u="none" strike="noStrike" kern="1200" cap="none" spc="2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s>
    <c:plotArea>
      <c:layout/>
      <c:doughnutChart>
        <c:varyColors val="1"/>
        <c:ser>
          <c:idx val="0"/>
          <c:order val="0"/>
          <c:tx>
            <c:strRef>
              <c:f>'Performance Analysis'!$F$103</c:f>
              <c:strCache>
                <c:ptCount val="1"/>
                <c:pt idx="0">
                  <c:v>Conversions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'Performance Analysis'!$E$104:$E$106</c:f>
              <c:strCache>
                <c:ptCount val="2"/>
                <c:pt idx="0">
                  <c:v>Female</c:v>
                </c:pt>
                <c:pt idx="1">
                  <c:v>Male</c:v>
                </c:pt>
              </c:strCache>
            </c:strRef>
          </c:cat>
          <c:val>
            <c:numRef>
              <c:f>'Performance Analysis'!$F$104:$F$106</c:f>
              <c:numCache>
                <c:formatCode>General</c:formatCode>
                <c:ptCount val="2"/>
                <c:pt idx="0">
                  <c:v>9917454.3999999911</c:v>
                </c:pt>
                <c:pt idx="1">
                  <c:v>10338198.400000019</c:v>
                </c:pt>
              </c:numCache>
            </c:numRef>
          </c:val>
          <c:extLst>
            <c:ext xmlns:c16="http://schemas.microsoft.com/office/drawing/2014/chart" uri="{C3380CC4-5D6E-409C-BE32-E72D297353CC}">
              <c16:uniqueId val="{00000000-4870-41D9-A1B9-2079DC6573E7}"/>
            </c:ext>
          </c:extLst>
        </c:ser>
        <c:ser>
          <c:idx val="1"/>
          <c:order val="1"/>
          <c:tx>
            <c:strRef>
              <c:f>'Performance Analysis'!$G$103</c:f>
              <c:strCache>
                <c:ptCount val="1"/>
                <c:pt idx="0">
                  <c:v>Revenue_Generated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'Performance Analysis'!$E$104:$E$106</c:f>
              <c:strCache>
                <c:ptCount val="2"/>
                <c:pt idx="0">
                  <c:v>Female</c:v>
                </c:pt>
                <c:pt idx="1">
                  <c:v>Male</c:v>
                </c:pt>
              </c:strCache>
            </c:strRef>
          </c:cat>
          <c:val>
            <c:numRef>
              <c:f>'Performance Analysis'!$G$104:$G$106</c:f>
              <c:numCache>
                <c:formatCode>General</c:formatCode>
                <c:ptCount val="2"/>
                <c:pt idx="0">
                  <c:v>10418498.560000001</c:v>
                </c:pt>
                <c:pt idx="1">
                  <c:v>10803240.48</c:v>
                </c:pt>
              </c:numCache>
            </c:numRef>
          </c:val>
          <c:extLst>
            <c:ext xmlns:c16="http://schemas.microsoft.com/office/drawing/2014/chart" uri="{C3380CC4-5D6E-409C-BE32-E72D297353CC}">
              <c16:uniqueId val="{00000001-4870-41D9-A1B9-2079DC6573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[Data.xlsx]Performance Analysis!conversions and revenue by location</c:name>
    <c:fmtId val="2"/>
  </c:pivotSource>
  <c:chart>
    <c:title>
      <c:tx>
        <c:rich>
          <a:bodyPr rot="0" spcFirstLastPara="1" vertOverflow="ellipsis" vert="horz" wrap="square" anchor="ctr" anchorCtr="1"/>
          <a:lstStyle/>
          <a:p>
            <a:pPr algn="ctr" rtl="0">
              <a:defRPr lang="en-US" sz="2000" b="1" i="0" u="none" strike="noStrike" kern="1200" cap="none" spc="20" baseline="0">
                <a:solidFill>
                  <a:srgbClr val="0070C0"/>
                </a:solidFill>
                <a:latin typeface="+mn-lt"/>
                <a:ea typeface="+mn-ea"/>
                <a:cs typeface="+mn-cs"/>
              </a:defRPr>
            </a:pPr>
            <a:r>
              <a:rPr lang="en-US" sz="2000" b="1" i="0" u="none" strike="noStrike" kern="1200" cap="none" spc="20" baseline="0">
                <a:solidFill>
                  <a:srgbClr val="0070C0"/>
                </a:solidFill>
                <a:latin typeface="+mn-lt"/>
                <a:ea typeface="+mn-ea"/>
                <a:cs typeface="+mn-cs"/>
              </a:rPr>
              <a:t>Performance by Location</a:t>
            </a:r>
          </a:p>
        </c:rich>
      </c:tx>
      <c:overlay val="0"/>
      <c:spPr>
        <a:noFill/>
        <a:ln>
          <a:noFill/>
        </a:ln>
        <a:effectLst/>
      </c:spPr>
      <c:txPr>
        <a:bodyPr rot="0" spcFirstLastPara="1" vertOverflow="ellipsis" vert="horz" wrap="square" anchor="ctr" anchorCtr="1"/>
        <a:lstStyle/>
        <a:p>
          <a:pPr algn="ctr" rtl="0">
            <a:defRPr lang="en-US" sz="2000" b="1" i="0" u="none" strike="noStrike" kern="1200" cap="none" spc="2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Analysis'!$J$103</c:f>
              <c:strCache>
                <c:ptCount val="1"/>
                <c:pt idx="0">
                  <c:v>Conversions  </c:v>
                </c:pt>
              </c:strCache>
            </c:strRef>
          </c:tx>
          <c:spPr>
            <a:solidFill>
              <a:schemeClr val="accent1"/>
            </a:solidFill>
            <a:ln>
              <a:noFill/>
            </a:ln>
            <a:effectLst/>
          </c:spPr>
          <c:invertIfNegative val="0"/>
          <c:cat>
            <c:strRef>
              <c:f>'Performance Analysis'!$I$104:$I$109</c:f>
              <c:strCache>
                <c:ptCount val="5"/>
                <c:pt idx="0">
                  <c:v>Bacău</c:v>
                </c:pt>
                <c:pt idx="1">
                  <c:v>Baia Mare</c:v>
                </c:pt>
                <c:pt idx="2">
                  <c:v>Galați</c:v>
                </c:pt>
                <c:pt idx="3">
                  <c:v>Suceava</c:v>
                </c:pt>
                <c:pt idx="4">
                  <c:v>Târgu Mureș</c:v>
                </c:pt>
              </c:strCache>
            </c:strRef>
          </c:cat>
          <c:val>
            <c:numRef>
              <c:f>'Performance Analysis'!$J$104:$J$109</c:f>
              <c:numCache>
                <c:formatCode>General</c:formatCode>
                <c:ptCount val="5"/>
                <c:pt idx="0">
                  <c:v>3767998.399999999</c:v>
                </c:pt>
                <c:pt idx="1">
                  <c:v>4058095.9999999967</c:v>
                </c:pt>
                <c:pt idx="2">
                  <c:v>4634439.9999999981</c:v>
                </c:pt>
                <c:pt idx="3">
                  <c:v>3976862.4000000008</c:v>
                </c:pt>
                <c:pt idx="4">
                  <c:v>3818255.9999999995</c:v>
                </c:pt>
              </c:numCache>
            </c:numRef>
          </c:val>
          <c:extLst>
            <c:ext xmlns:c16="http://schemas.microsoft.com/office/drawing/2014/chart" uri="{C3380CC4-5D6E-409C-BE32-E72D297353CC}">
              <c16:uniqueId val="{00000000-B2CA-4B66-91A0-1A73B81B9B99}"/>
            </c:ext>
          </c:extLst>
        </c:ser>
        <c:ser>
          <c:idx val="1"/>
          <c:order val="1"/>
          <c:tx>
            <c:strRef>
              <c:f>'Performance Analysis'!$K$103</c:f>
              <c:strCache>
                <c:ptCount val="1"/>
                <c:pt idx="0">
                  <c:v>Revenue_Generated </c:v>
                </c:pt>
              </c:strCache>
            </c:strRef>
          </c:tx>
          <c:spPr>
            <a:solidFill>
              <a:schemeClr val="accent2"/>
            </a:solidFill>
            <a:ln>
              <a:noFill/>
            </a:ln>
            <a:effectLst/>
          </c:spPr>
          <c:invertIfNegative val="0"/>
          <c:cat>
            <c:strRef>
              <c:f>'Performance Analysis'!$I$104:$I$109</c:f>
              <c:strCache>
                <c:ptCount val="5"/>
                <c:pt idx="0">
                  <c:v>Bacău</c:v>
                </c:pt>
                <c:pt idx="1">
                  <c:v>Baia Mare</c:v>
                </c:pt>
                <c:pt idx="2">
                  <c:v>Galați</c:v>
                </c:pt>
                <c:pt idx="3">
                  <c:v>Suceava</c:v>
                </c:pt>
                <c:pt idx="4">
                  <c:v>Târgu Mureș</c:v>
                </c:pt>
              </c:strCache>
            </c:strRef>
          </c:cat>
          <c:val>
            <c:numRef>
              <c:f>'Performance Analysis'!$K$104:$K$109</c:f>
              <c:numCache>
                <c:formatCode>General</c:formatCode>
                <c:ptCount val="5"/>
                <c:pt idx="0">
                  <c:v>3966151.2959999992</c:v>
                </c:pt>
                <c:pt idx="1">
                  <c:v>3979002.9280000012</c:v>
                </c:pt>
                <c:pt idx="2">
                  <c:v>4734339.0879999995</c:v>
                </c:pt>
                <c:pt idx="3">
                  <c:v>4362287.84</c:v>
                </c:pt>
                <c:pt idx="4">
                  <c:v>4179957.8879999984</c:v>
                </c:pt>
              </c:numCache>
            </c:numRef>
          </c:val>
          <c:extLst>
            <c:ext xmlns:c16="http://schemas.microsoft.com/office/drawing/2014/chart" uri="{C3380CC4-5D6E-409C-BE32-E72D297353CC}">
              <c16:uniqueId val="{00000001-B2CA-4B66-91A0-1A73B81B9B99}"/>
            </c:ext>
          </c:extLst>
        </c:ser>
        <c:dLbls>
          <c:showLegendKey val="0"/>
          <c:showVal val="0"/>
          <c:showCatName val="0"/>
          <c:showSerName val="0"/>
          <c:showPercent val="0"/>
          <c:showBubbleSize val="0"/>
        </c:dLbls>
        <c:gapWidth val="182"/>
        <c:axId val="1890180863"/>
        <c:axId val="1890188063"/>
      </c:barChart>
      <c:catAx>
        <c:axId val="189018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188063"/>
        <c:crosses val="autoZero"/>
        <c:auto val="1"/>
        <c:lblAlgn val="ctr"/>
        <c:lblOffset val="100"/>
        <c:noMultiLvlLbl val="0"/>
      </c:catAx>
      <c:valAx>
        <c:axId val="1890188063"/>
        <c:scaling>
          <c:orientation val="minMax"/>
        </c:scaling>
        <c:delete val="1"/>
        <c:axPos val="b"/>
        <c:numFmt formatCode="General" sourceLinked="1"/>
        <c:majorTickMark val="none"/>
        <c:minorTickMark val="none"/>
        <c:tickLblPos val="nextTo"/>
        <c:crossAx val="189018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[Data.xlsx]Performance Analysis!PivotTable2</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2000" b="1">
                <a:solidFill>
                  <a:srgbClr val="0070C0"/>
                </a:solidFill>
              </a:rPr>
              <a:t>Performance</a:t>
            </a:r>
            <a:r>
              <a:rPr lang="en-US" sz="2000" b="1" baseline="0">
                <a:solidFill>
                  <a:srgbClr val="0070C0"/>
                </a:solidFill>
              </a:rPr>
              <a:t> Trend Analysis</a:t>
            </a:r>
            <a:endParaRPr lang="en-US" sz="2000" b="1">
              <a:solidFill>
                <a:srgbClr val="0070C0"/>
              </a:solidFill>
            </a:endParaRPr>
          </a:p>
        </c:rich>
      </c:tx>
      <c:layout>
        <c:manualLayout>
          <c:xMode val="edge"/>
          <c:yMode val="edge"/>
          <c:x val="4.2436820493417758E-2"/>
          <c:y val="0"/>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'Performance Analysis'!$H$87</c:f>
              <c:strCache>
                <c:ptCount val="1"/>
                <c:pt idx="0">
                  <c:v>Impressions </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'Performance Analysis'!$F$88:$G$99</c:f>
              <c:multiLvlStrCache>
                <c:ptCount val="11"/>
                <c:lvl>
                  <c:pt idx="0">
                    <c:v>May</c:v>
                  </c:pt>
                  <c:pt idx="1">
                    <c:v>Jun</c:v>
                  </c:pt>
                  <c:pt idx="2">
                    <c:v>Jul</c:v>
                  </c:pt>
                  <c:pt idx="3">
                    <c:v>Aug</c:v>
                  </c:pt>
                  <c:pt idx="4">
                    <c:v>Sep</c:v>
                  </c:pt>
                  <c:pt idx="5">
                    <c:v>Oct</c:v>
                  </c:pt>
                  <c:pt idx="6">
                    <c:v>Nov</c:v>
                  </c:pt>
                  <c:pt idx="7">
                    <c:v>Dec</c:v>
                  </c:pt>
                  <c:pt idx="8">
                    <c:v>Jan</c:v>
                  </c:pt>
                  <c:pt idx="9">
                    <c:v>Feb</c:v>
                  </c:pt>
                  <c:pt idx="10">
                    <c:v>Mar</c:v>
                  </c:pt>
                </c:lvl>
                <c:lvl>
                  <c:pt idx="0">
                    <c:v>2022</c:v>
                  </c:pt>
                  <c:pt idx="8">
                    <c:v>2023</c:v>
                  </c:pt>
                </c:lvl>
              </c:multiLvlStrCache>
            </c:multiLvlStrRef>
          </c:cat>
          <c:val>
            <c:numRef>
              <c:f>'Performance Analysis'!$H$88:$H$99</c:f>
              <c:numCache>
                <c:formatCode>#,##0</c:formatCode>
                <c:ptCount val="11"/>
                <c:pt idx="0">
                  <c:v>6956924.8000000035</c:v>
                </c:pt>
                <c:pt idx="1">
                  <c:v>7032763.2000000011</c:v>
                </c:pt>
                <c:pt idx="2">
                  <c:v>8278523.1999999993</c:v>
                </c:pt>
                <c:pt idx="3">
                  <c:v>8944825.5999999978</c:v>
                </c:pt>
                <c:pt idx="4">
                  <c:v>6938201.6000000024</c:v>
                </c:pt>
                <c:pt idx="5">
                  <c:v>8242921.5999999996</c:v>
                </c:pt>
                <c:pt idx="6">
                  <c:v>7725601.5999999996</c:v>
                </c:pt>
                <c:pt idx="7">
                  <c:v>8784820.8000000045</c:v>
                </c:pt>
                <c:pt idx="8">
                  <c:v>8758396.7999999989</c:v>
                </c:pt>
                <c:pt idx="9">
                  <c:v>7135956.8000000007</c:v>
                </c:pt>
                <c:pt idx="10">
                  <c:v>1393198.4000000001</c:v>
                </c:pt>
              </c:numCache>
            </c:numRef>
          </c:val>
          <c:smooth val="0"/>
          <c:extLst>
            <c:ext xmlns:c16="http://schemas.microsoft.com/office/drawing/2014/chart" uri="{C3380CC4-5D6E-409C-BE32-E72D297353CC}">
              <c16:uniqueId val="{00000000-F698-4404-9C0C-B2C8B441C44B}"/>
            </c:ext>
          </c:extLst>
        </c:ser>
        <c:ser>
          <c:idx val="1"/>
          <c:order val="1"/>
          <c:tx>
            <c:strRef>
              <c:f>'Performance Analysis'!$I$87</c:f>
              <c:strCache>
                <c:ptCount val="1"/>
                <c:pt idx="0">
                  <c:v>Clicks </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'Performance Analysis'!$F$88:$G$99</c:f>
              <c:multiLvlStrCache>
                <c:ptCount val="11"/>
                <c:lvl>
                  <c:pt idx="0">
                    <c:v>May</c:v>
                  </c:pt>
                  <c:pt idx="1">
                    <c:v>Jun</c:v>
                  </c:pt>
                  <c:pt idx="2">
                    <c:v>Jul</c:v>
                  </c:pt>
                  <c:pt idx="3">
                    <c:v>Aug</c:v>
                  </c:pt>
                  <c:pt idx="4">
                    <c:v>Sep</c:v>
                  </c:pt>
                  <c:pt idx="5">
                    <c:v>Oct</c:v>
                  </c:pt>
                  <c:pt idx="6">
                    <c:v>Nov</c:v>
                  </c:pt>
                  <c:pt idx="7">
                    <c:v>Dec</c:v>
                  </c:pt>
                  <c:pt idx="8">
                    <c:v>Jan</c:v>
                  </c:pt>
                  <c:pt idx="9">
                    <c:v>Feb</c:v>
                  </c:pt>
                  <c:pt idx="10">
                    <c:v>Mar</c:v>
                  </c:pt>
                </c:lvl>
                <c:lvl>
                  <c:pt idx="0">
                    <c:v>2022</c:v>
                  </c:pt>
                  <c:pt idx="8">
                    <c:v>2023</c:v>
                  </c:pt>
                </c:lvl>
              </c:multiLvlStrCache>
            </c:multiLvlStrRef>
          </c:cat>
          <c:val>
            <c:numRef>
              <c:f>'Performance Analysis'!$I$88:$I$99</c:f>
              <c:numCache>
                <c:formatCode>#,##0</c:formatCode>
                <c:ptCount val="11"/>
                <c:pt idx="0">
                  <c:v>3514444.8000000007</c:v>
                </c:pt>
                <c:pt idx="1">
                  <c:v>3475296.0000000005</c:v>
                </c:pt>
                <c:pt idx="2">
                  <c:v>4329208.0000000009</c:v>
                </c:pt>
                <c:pt idx="3">
                  <c:v>4725622.3999999966</c:v>
                </c:pt>
                <c:pt idx="4">
                  <c:v>3533612.8000000035</c:v>
                </c:pt>
                <c:pt idx="5">
                  <c:v>4164604.8000000026</c:v>
                </c:pt>
                <c:pt idx="6">
                  <c:v>3750080.0000000009</c:v>
                </c:pt>
                <c:pt idx="7">
                  <c:v>4113835.2</c:v>
                </c:pt>
                <c:pt idx="8">
                  <c:v>4351980.8000000007</c:v>
                </c:pt>
                <c:pt idx="9">
                  <c:v>3521830.4000000008</c:v>
                </c:pt>
                <c:pt idx="10">
                  <c:v>800822.4</c:v>
                </c:pt>
              </c:numCache>
            </c:numRef>
          </c:val>
          <c:smooth val="0"/>
          <c:extLst>
            <c:ext xmlns:c16="http://schemas.microsoft.com/office/drawing/2014/chart" uri="{C3380CC4-5D6E-409C-BE32-E72D297353CC}">
              <c16:uniqueId val="{00000001-F698-4404-9C0C-B2C8B441C44B}"/>
            </c:ext>
          </c:extLst>
        </c:ser>
        <c:ser>
          <c:idx val="2"/>
          <c:order val="2"/>
          <c:tx>
            <c:strRef>
              <c:f>'Performance Analysis'!$J$87</c:f>
              <c:strCache>
                <c:ptCount val="1"/>
                <c:pt idx="0">
                  <c:v>Conversions </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'Performance Analysis'!$F$88:$G$99</c:f>
              <c:multiLvlStrCache>
                <c:ptCount val="11"/>
                <c:lvl>
                  <c:pt idx="0">
                    <c:v>May</c:v>
                  </c:pt>
                  <c:pt idx="1">
                    <c:v>Jun</c:v>
                  </c:pt>
                  <c:pt idx="2">
                    <c:v>Jul</c:v>
                  </c:pt>
                  <c:pt idx="3">
                    <c:v>Aug</c:v>
                  </c:pt>
                  <c:pt idx="4">
                    <c:v>Sep</c:v>
                  </c:pt>
                  <c:pt idx="5">
                    <c:v>Oct</c:v>
                  </c:pt>
                  <c:pt idx="6">
                    <c:v>Nov</c:v>
                  </c:pt>
                  <c:pt idx="7">
                    <c:v>Dec</c:v>
                  </c:pt>
                  <c:pt idx="8">
                    <c:v>Jan</c:v>
                  </c:pt>
                  <c:pt idx="9">
                    <c:v>Feb</c:v>
                  </c:pt>
                  <c:pt idx="10">
                    <c:v>Mar</c:v>
                  </c:pt>
                </c:lvl>
                <c:lvl>
                  <c:pt idx="0">
                    <c:v>2022</c:v>
                  </c:pt>
                  <c:pt idx="8">
                    <c:v>2023</c:v>
                  </c:pt>
                </c:lvl>
              </c:multiLvlStrCache>
            </c:multiLvlStrRef>
          </c:cat>
          <c:val>
            <c:numRef>
              <c:f>'Performance Analysis'!$J$88:$J$99</c:f>
              <c:numCache>
                <c:formatCode>#,##0</c:formatCode>
                <c:ptCount val="11"/>
                <c:pt idx="0">
                  <c:v>1833777.6000000003</c:v>
                </c:pt>
                <c:pt idx="1">
                  <c:v>1792078.4000000001</c:v>
                </c:pt>
                <c:pt idx="2">
                  <c:v>2119311.9999999995</c:v>
                </c:pt>
                <c:pt idx="3">
                  <c:v>2509161.5999999982</c:v>
                </c:pt>
                <c:pt idx="4">
                  <c:v>1781817.6000000003</c:v>
                </c:pt>
                <c:pt idx="5">
                  <c:v>1820695.9999999995</c:v>
                </c:pt>
                <c:pt idx="6">
                  <c:v>1995979.2</c:v>
                </c:pt>
                <c:pt idx="7">
                  <c:v>2054876.8</c:v>
                </c:pt>
                <c:pt idx="8">
                  <c:v>2049019.1999999997</c:v>
                </c:pt>
                <c:pt idx="9">
                  <c:v>1883961.5999999989</c:v>
                </c:pt>
                <c:pt idx="10">
                  <c:v>414972.8000000001</c:v>
                </c:pt>
              </c:numCache>
            </c:numRef>
          </c:val>
          <c:smooth val="0"/>
          <c:extLst>
            <c:ext xmlns:c16="http://schemas.microsoft.com/office/drawing/2014/chart" uri="{C3380CC4-5D6E-409C-BE32-E72D297353CC}">
              <c16:uniqueId val="{00000002-F698-4404-9C0C-B2C8B441C44B}"/>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36462496"/>
        <c:axId val="536459616"/>
      </c:lineChart>
      <c:catAx>
        <c:axId val="5364624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36459616"/>
        <c:crosses val="autoZero"/>
        <c:auto val="1"/>
        <c:lblAlgn val="ctr"/>
        <c:lblOffset val="100"/>
        <c:noMultiLvlLbl val="0"/>
      </c:catAx>
      <c:valAx>
        <c:axId val="5364596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3646249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4.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5.png"/><Relationship Id="rId5" Type="http://schemas.openxmlformats.org/officeDocument/2006/relationships/chart" Target="../charts/chart6.xml"/><Relationship Id="rId15" Type="http://schemas.openxmlformats.org/officeDocument/2006/relationships/image" Target="../media/image9.png"/><Relationship Id="rId10" Type="http://schemas.openxmlformats.org/officeDocument/2006/relationships/image" Target="../media/image4.png"/><Relationship Id="rId4" Type="http://schemas.openxmlformats.org/officeDocument/2006/relationships/chart" Target="../charts/chart5.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635</xdr:colOff>
      <xdr:row>0</xdr:row>
      <xdr:rowOff>41275</xdr:rowOff>
    </xdr:from>
    <xdr:to>
      <xdr:col>2</xdr:col>
      <xdr:colOff>168910</xdr:colOff>
      <xdr:row>3</xdr:row>
      <xdr:rowOff>67945</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635" y="41275"/>
          <a:ext cx="3145839" cy="583763"/>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US" sz="2000" b="1"/>
            <a:t>Channel Comparison</a:t>
          </a:r>
        </a:p>
      </xdr:txBody>
    </xdr:sp>
    <xdr:clientData/>
  </xdr:twoCellAnchor>
  <xdr:twoCellAnchor>
    <xdr:from>
      <xdr:col>0</xdr:col>
      <xdr:colOff>635</xdr:colOff>
      <xdr:row>28</xdr:row>
      <xdr:rowOff>132715</xdr:rowOff>
    </xdr:from>
    <xdr:to>
      <xdr:col>2</xdr:col>
      <xdr:colOff>168910</xdr:colOff>
      <xdr:row>31</xdr:row>
      <xdr:rowOff>159385</xdr:rowOff>
    </xdr:to>
    <xdr:sp macro="" textlink="">
      <xdr:nvSpPr>
        <xdr:cNvPr id="7" name="Rounded Rectangle 6">
          <a:extLst>
            <a:ext uri="{FF2B5EF4-FFF2-40B4-BE49-F238E27FC236}">
              <a16:creationId xmlns:a16="http://schemas.microsoft.com/office/drawing/2014/main" id="{00000000-0008-0000-0100-000007000000}"/>
            </a:ext>
          </a:extLst>
        </xdr:cNvPr>
        <xdr:cNvSpPr/>
      </xdr:nvSpPr>
      <xdr:spPr>
        <a:xfrm>
          <a:off x="635" y="5306695"/>
          <a:ext cx="3451225" cy="58102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000" b="1"/>
            <a:t>Demographic Analysis</a:t>
          </a:r>
        </a:p>
      </xdr:txBody>
    </xdr:sp>
    <xdr:clientData/>
  </xdr:twoCellAnchor>
  <xdr:twoCellAnchor>
    <xdr:from>
      <xdr:col>0</xdr:col>
      <xdr:colOff>273050</xdr:colOff>
      <xdr:row>10</xdr:row>
      <xdr:rowOff>33655</xdr:rowOff>
    </xdr:from>
    <xdr:to>
      <xdr:col>9</xdr:col>
      <xdr:colOff>1362075</xdr:colOff>
      <xdr:row>25</xdr:row>
      <xdr:rowOff>92075</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82550</xdr:colOff>
      <xdr:row>45</xdr:row>
      <xdr:rowOff>29845</xdr:rowOff>
    </xdr:from>
    <xdr:to>
      <xdr:col>11</xdr:col>
      <xdr:colOff>871855</xdr:colOff>
      <xdr:row>57</xdr:row>
      <xdr:rowOff>53340</xdr:rowOff>
    </xdr:to>
    <xdr:sp macro="" textlink="">
      <xdr:nvSpPr>
        <xdr:cNvPr id="21" name="Rectangle: Rounded Corners 3">
          <a:extLst>
            <a:ext uri="{FF2B5EF4-FFF2-40B4-BE49-F238E27FC236}">
              <a16:creationId xmlns:a16="http://schemas.microsoft.com/office/drawing/2014/main" id="{00000000-0008-0000-0100-000015000000}"/>
            </a:ext>
          </a:extLst>
        </xdr:cNvPr>
        <xdr:cNvSpPr/>
      </xdr:nvSpPr>
      <xdr:spPr>
        <a:xfrm>
          <a:off x="9575165" y="8345170"/>
          <a:ext cx="4011930" cy="224091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sz="1100" b="1">
            <a:solidFill>
              <a:schemeClr val="tx1"/>
            </a:solidFill>
          </a:endParaRPr>
        </a:p>
      </xdr:txBody>
    </xdr:sp>
    <xdr:clientData/>
  </xdr:twoCellAnchor>
  <xdr:twoCellAnchor>
    <xdr:from>
      <xdr:col>8</xdr:col>
      <xdr:colOff>268605</xdr:colOff>
      <xdr:row>51</xdr:row>
      <xdr:rowOff>118745</xdr:rowOff>
    </xdr:from>
    <xdr:to>
      <xdr:col>11</xdr:col>
      <xdr:colOff>866775</xdr:colOff>
      <xdr:row>54</xdr:row>
      <xdr:rowOff>93980</xdr:rowOff>
    </xdr:to>
    <xdr:sp macro="" textlink="">
      <xdr:nvSpPr>
        <xdr:cNvPr id="22" name="Text Box 21">
          <a:extLst>
            <a:ext uri="{FF2B5EF4-FFF2-40B4-BE49-F238E27FC236}">
              <a16:creationId xmlns:a16="http://schemas.microsoft.com/office/drawing/2014/main" id="{00000000-0008-0000-0100-000016000000}"/>
            </a:ext>
          </a:extLst>
        </xdr:cNvPr>
        <xdr:cNvSpPr txBox="1"/>
      </xdr:nvSpPr>
      <xdr:spPr>
        <a:xfrm>
          <a:off x="9761220" y="9542780"/>
          <a:ext cx="3820795" cy="529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3.(18-24) Group : Responsive to visual &amp; social channels. Highest CVR on Influencer Marketing (55%) and highest ROAS on Paid Ads (269%)</a:t>
          </a:r>
        </a:p>
      </xdr:txBody>
    </xdr:sp>
    <xdr:clientData/>
  </xdr:twoCellAnchor>
  <xdr:twoCellAnchor>
    <xdr:from>
      <xdr:col>8</xdr:col>
      <xdr:colOff>265430</xdr:colOff>
      <xdr:row>48</xdr:row>
      <xdr:rowOff>182245</xdr:rowOff>
    </xdr:from>
    <xdr:to>
      <xdr:col>11</xdr:col>
      <xdr:colOff>683260</xdr:colOff>
      <xdr:row>51</xdr:row>
      <xdr:rowOff>158115</xdr:rowOff>
    </xdr:to>
    <xdr:sp macro="" textlink="">
      <xdr:nvSpPr>
        <xdr:cNvPr id="23" name="Text Box 22">
          <a:extLst>
            <a:ext uri="{FF2B5EF4-FFF2-40B4-BE49-F238E27FC236}">
              <a16:creationId xmlns:a16="http://schemas.microsoft.com/office/drawing/2014/main" id="{00000000-0008-0000-0100-000017000000}"/>
            </a:ext>
          </a:extLst>
        </xdr:cNvPr>
        <xdr:cNvSpPr txBox="1"/>
      </xdr:nvSpPr>
      <xdr:spPr>
        <a:xfrm>
          <a:off x="9758045" y="9051925"/>
          <a:ext cx="3640455" cy="530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2.(25-34) Group : Responsive to Email channels. achieving High CVR (53%) and highest ROAS (277%)</a:t>
          </a:r>
        </a:p>
      </xdr:txBody>
    </xdr:sp>
    <xdr:clientData/>
  </xdr:twoCellAnchor>
  <xdr:twoCellAnchor>
    <xdr:from>
      <xdr:col>8</xdr:col>
      <xdr:colOff>272415</xdr:colOff>
      <xdr:row>54</xdr:row>
      <xdr:rowOff>15240</xdr:rowOff>
    </xdr:from>
    <xdr:to>
      <xdr:col>11</xdr:col>
      <xdr:colOff>690245</xdr:colOff>
      <xdr:row>56</xdr:row>
      <xdr:rowOff>175895</xdr:rowOff>
    </xdr:to>
    <xdr:sp macro="" textlink="">
      <xdr:nvSpPr>
        <xdr:cNvPr id="24" name="Text Box 23">
          <a:extLst>
            <a:ext uri="{FF2B5EF4-FFF2-40B4-BE49-F238E27FC236}">
              <a16:creationId xmlns:a16="http://schemas.microsoft.com/office/drawing/2014/main" id="{00000000-0008-0000-0100-000018000000}"/>
            </a:ext>
          </a:extLst>
        </xdr:cNvPr>
        <xdr:cNvSpPr txBox="1"/>
      </xdr:nvSpPr>
      <xdr:spPr>
        <a:xfrm>
          <a:off x="9765030" y="9993630"/>
          <a:ext cx="3640455" cy="530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4.Female Audiences </a:t>
          </a:r>
          <a:r>
            <a:rPr lang="en-US">
              <a:sym typeface="+mn-ea"/>
            </a:rPr>
            <a:t>achieving both a higher CVR (52%) and a ROAS (262)</a:t>
          </a:r>
          <a:endParaRPr lang="en-US" sz="1100"/>
        </a:p>
        <a:p>
          <a:pPr algn="l"/>
          <a:endParaRPr lang="en-US" sz="1100"/>
        </a:p>
      </xdr:txBody>
    </xdr:sp>
    <xdr:clientData/>
  </xdr:twoCellAnchor>
  <xdr:twoCellAnchor>
    <xdr:from>
      <xdr:col>8</xdr:col>
      <xdr:colOff>280035</xdr:colOff>
      <xdr:row>45</xdr:row>
      <xdr:rowOff>126365</xdr:rowOff>
    </xdr:from>
    <xdr:to>
      <xdr:col>11</xdr:col>
      <xdr:colOff>687705</xdr:colOff>
      <xdr:row>49</xdr:row>
      <xdr:rowOff>45720</xdr:rowOff>
    </xdr:to>
    <xdr:sp macro="" textlink="">
      <xdr:nvSpPr>
        <xdr:cNvPr id="26" name="Text Box 25">
          <a:extLst>
            <a:ext uri="{FF2B5EF4-FFF2-40B4-BE49-F238E27FC236}">
              <a16:creationId xmlns:a16="http://schemas.microsoft.com/office/drawing/2014/main" id="{00000000-0008-0000-0100-00001A000000}"/>
            </a:ext>
          </a:extLst>
        </xdr:cNvPr>
        <xdr:cNvSpPr txBox="1"/>
      </xdr:nvSpPr>
      <xdr:spPr>
        <a:xfrm>
          <a:off x="9772650" y="8441690"/>
          <a:ext cx="3630295" cy="6584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1.(25-34) Group : represents the most profitable and efficient demographic, delivering both the highest CVR (51%) and top ROAS (262%)</a:t>
          </a:r>
        </a:p>
      </xdr:txBody>
    </xdr:sp>
    <xdr:clientData/>
  </xdr:twoCellAnchor>
  <xdr:twoCellAnchor>
    <xdr:from>
      <xdr:col>9</xdr:col>
      <xdr:colOff>520065</xdr:colOff>
      <xdr:row>42</xdr:row>
      <xdr:rowOff>137160</xdr:rowOff>
    </xdr:from>
    <xdr:to>
      <xdr:col>10</xdr:col>
      <xdr:colOff>260985</xdr:colOff>
      <xdr:row>43</xdr:row>
      <xdr:rowOff>180340</xdr:rowOff>
    </xdr:to>
    <xdr:sp macro="" textlink="">
      <xdr:nvSpPr>
        <xdr:cNvPr id="27" name="Rectangle: Rounded Corners 3">
          <a:extLst>
            <a:ext uri="{FF2B5EF4-FFF2-40B4-BE49-F238E27FC236}">
              <a16:creationId xmlns:a16="http://schemas.microsoft.com/office/drawing/2014/main" id="{00000000-0008-0000-0100-00001B000000}"/>
            </a:ext>
          </a:extLst>
        </xdr:cNvPr>
        <xdr:cNvSpPr/>
      </xdr:nvSpPr>
      <xdr:spPr>
        <a:xfrm>
          <a:off x="11073130" y="7898130"/>
          <a:ext cx="1349375" cy="227965"/>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000" b="1">
              <a:solidFill>
                <a:schemeClr val="tx1"/>
              </a:solidFill>
            </a:rPr>
            <a:t>Insights</a:t>
          </a:r>
        </a:p>
      </xdr:txBody>
    </xdr:sp>
    <xdr:clientData/>
  </xdr:twoCellAnchor>
  <xdr:twoCellAnchor>
    <xdr:from>
      <xdr:col>12</xdr:col>
      <xdr:colOff>1388745</xdr:colOff>
      <xdr:row>42</xdr:row>
      <xdr:rowOff>137160</xdr:rowOff>
    </xdr:from>
    <xdr:to>
      <xdr:col>14</xdr:col>
      <xdr:colOff>585470</xdr:colOff>
      <xdr:row>43</xdr:row>
      <xdr:rowOff>180340</xdr:rowOff>
    </xdr:to>
    <xdr:sp macro="" textlink="">
      <xdr:nvSpPr>
        <xdr:cNvPr id="28" name="Rectangle: Rounded Corners 3">
          <a:extLst>
            <a:ext uri="{FF2B5EF4-FFF2-40B4-BE49-F238E27FC236}">
              <a16:creationId xmlns:a16="http://schemas.microsoft.com/office/drawing/2014/main" id="{00000000-0008-0000-0100-00001C000000}"/>
            </a:ext>
          </a:extLst>
        </xdr:cNvPr>
        <xdr:cNvSpPr/>
      </xdr:nvSpPr>
      <xdr:spPr>
        <a:xfrm>
          <a:off x="15517495" y="7898130"/>
          <a:ext cx="1349375" cy="227965"/>
        </a:xfrm>
        <a:prstGeom prst="roundRect">
          <a:avLst/>
        </a:prstGeom>
        <a:solidFill>
          <a:schemeClr val="accent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000" b="1">
              <a:solidFill>
                <a:schemeClr val="tx1"/>
              </a:solidFill>
            </a:rPr>
            <a:t>Recommendations</a:t>
          </a:r>
        </a:p>
      </xdr:txBody>
    </xdr:sp>
    <xdr:clientData/>
  </xdr:twoCellAnchor>
  <xdr:twoCellAnchor>
    <xdr:from>
      <xdr:col>11</xdr:col>
      <xdr:colOff>1304290</xdr:colOff>
      <xdr:row>44</xdr:row>
      <xdr:rowOff>175260</xdr:rowOff>
    </xdr:from>
    <xdr:to>
      <xdr:col>16</xdr:col>
      <xdr:colOff>327025</xdr:colOff>
      <xdr:row>57</xdr:row>
      <xdr:rowOff>13970</xdr:rowOff>
    </xdr:to>
    <xdr:sp macro="" textlink="">
      <xdr:nvSpPr>
        <xdr:cNvPr id="29" name="Rectangle: Rounded Corners 3">
          <a:extLst>
            <a:ext uri="{FF2B5EF4-FFF2-40B4-BE49-F238E27FC236}">
              <a16:creationId xmlns:a16="http://schemas.microsoft.com/office/drawing/2014/main" id="{00000000-0008-0000-0100-00001D000000}"/>
            </a:ext>
          </a:extLst>
        </xdr:cNvPr>
        <xdr:cNvSpPr/>
      </xdr:nvSpPr>
      <xdr:spPr>
        <a:xfrm>
          <a:off x="14019530" y="8305800"/>
          <a:ext cx="4197350" cy="2240915"/>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sz="1100" b="1">
            <a:solidFill>
              <a:schemeClr val="tx1"/>
            </a:solidFill>
          </a:endParaRPr>
        </a:p>
      </xdr:txBody>
    </xdr:sp>
    <xdr:clientData/>
  </xdr:twoCellAnchor>
  <xdr:twoCellAnchor>
    <xdr:from>
      <xdr:col>12</xdr:col>
      <xdr:colOff>9525</xdr:colOff>
      <xdr:row>45</xdr:row>
      <xdr:rowOff>132080</xdr:rowOff>
    </xdr:from>
    <xdr:to>
      <xdr:col>16</xdr:col>
      <xdr:colOff>64135</xdr:colOff>
      <xdr:row>49</xdr:row>
      <xdr:rowOff>51435</xdr:rowOff>
    </xdr:to>
    <xdr:sp macro="" textlink="">
      <xdr:nvSpPr>
        <xdr:cNvPr id="30" name="Text Box 29">
          <a:extLst>
            <a:ext uri="{FF2B5EF4-FFF2-40B4-BE49-F238E27FC236}">
              <a16:creationId xmlns:a16="http://schemas.microsoft.com/office/drawing/2014/main" id="{00000000-0008-0000-0100-00001E000000}"/>
            </a:ext>
          </a:extLst>
        </xdr:cNvPr>
        <xdr:cNvSpPr txBox="1"/>
      </xdr:nvSpPr>
      <xdr:spPr>
        <a:xfrm>
          <a:off x="14138275" y="8447405"/>
          <a:ext cx="3815715" cy="6584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1.Increase ad budget allocation toward Female audiences and the 25–34 age bracket to maximize overall revenue and return on investment</a:t>
          </a:r>
        </a:p>
      </xdr:txBody>
    </xdr:sp>
    <xdr:clientData/>
  </xdr:twoCellAnchor>
  <xdr:twoCellAnchor>
    <xdr:from>
      <xdr:col>11</xdr:col>
      <xdr:colOff>1679756</xdr:colOff>
      <xdr:row>52</xdr:row>
      <xdr:rowOff>89626</xdr:rowOff>
    </xdr:from>
    <xdr:to>
      <xdr:col>16</xdr:col>
      <xdr:colOff>320856</xdr:colOff>
      <xdr:row>56</xdr:row>
      <xdr:rowOff>8981</xdr:rowOff>
    </xdr:to>
    <xdr:sp macro="" textlink="">
      <xdr:nvSpPr>
        <xdr:cNvPr id="32" name="Text Box 31">
          <a:extLst>
            <a:ext uri="{FF2B5EF4-FFF2-40B4-BE49-F238E27FC236}">
              <a16:creationId xmlns:a16="http://schemas.microsoft.com/office/drawing/2014/main" id="{00000000-0008-0000-0100-000020000000}"/>
            </a:ext>
          </a:extLst>
        </xdr:cNvPr>
        <xdr:cNvSpPr txBox="1"/>
      </xdr:nvSpPr>
      <xdr:spPr>
        <a:xfrm>
          <a:off x="20686213" y="9712597"/>
          <a:ext cx="6734629" cy="6595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3.Allocate higher Paid Ads &amp; Influencer budgets specifically to Female and 18–24 demographic segments.</a:t>
          </a:r>
        </a:p>
      </xdr:txBody>
    </xdr:sp>
    <xdr:clientData/>
  </xdr:twoCellAnchor>
  <xdr:twoCellAnchor>
    <xdr:from>
      <xdr:col>12</xdr:col>
      <xdr:colOff>1905</xdr:colOff>
      <xdr:row>49</xdr:row>
      <xdr:rowOff>69215</xdr:rowOff>
    </xdr:from>
    <xdr:to>
      <xdr:col>16</xdr:col>
      <xdr:colOff>56515</xdr:colOff>
      <xdr:row>52</xdr:row>
      <xdr:rowOff>173355</xdr:rowOff>
    </xdr:to>
    <xdr:sp macro="" textlink="">
      <xdr:nvSpPr>
        <xdr:cNvPr id="33" name="Text Box 32">
          <a:extLst>
            <a:ext uri="{FF2B5EF4-FFF2-40B4-BE49-F238E27FC236}">
              <a16:creationId xmlns:a16="http://schemas.microsoft.com/office/drawing/2014/main" id="{00000000-0008-0000-0100-000021000000}"/>
            </a:ext>
          </a:extLst>
        </xdr:cNvPr>
        <xdr:cNvSpPr txBox="1"/>
      </xdr:nvSpPr>
      <xdr:spPr>
        <a:xfrm>
          <a:off x="14130655" y="9123680"/>
          <a:ext cx="3815715" cy="6584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100"/>
            <a:t>2.Reserve Email Marketing campaigns primarily for 25–34  age group to capitalize on its 277% ROAS response.</a:t>
          </a:r>
        </a:p>
      </xdr:txBody>
    </xdr:sp>
    <xdr:clientData/>
  </xdr:twoCellAnchor>
  <xdr:twoCellAnchor>
    <xdr:from>
      <xdr:col>0</xdr:col>
      <xdr:colOff>0</xdr:colOff>
      <xdr:row>61</xdr:row>
      <xdr:rowOff>0</xdr:rowOff>
    </xdr:from>
    <xdr:to>
      <xdr:col>2</xdr:col>
      <xdr:colOff>168275</xdr:colOff>
      <xdr:row>64</xdr:row>
      <xdr:rowOff>26670</xdr:rowOff>
    </xdr:to>
    <xdr:sp macro="" textlink="">
      <xdr:nvSpPr>
        <xdr:cNvPr id="34" name="Rounded Rectangle 33">
          <a:extLst>
            <a:ext uri="{FF2B5EF4-FFF2-40B4-BE49-F238E27FC236}">
              <a16:creationId xmlns:a16="http://schemas.microsoft.com/office/drawing/2014/main" id="{00000000-0008-0000-0100-000022000000}"/>
            </a:ext>
          </a:extLst>
        </xdr:cNvPr>
        <xdr:cNvSpPr/>
      </xdr:nvSpPr>
      <xdr:spPr>
        <a:xfrm>
          <a:off x="0" y="11271885"/>
          <a:ext cx="3451225" cy="58102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000" b="1"/>
            <a:t>Time-Based Analysis</a:t>
          </a:r>
        </a:p>
      </xdr:txBody>
    </xdr:sp>
    <xdr:clientData/>
  </xdr:twoCellAnchor>
  <xdr:twoCellAnchor>
    <xdr:from>
      <xdr:col>0</xdr:col>
      <xdr:colOff>16330</xdr:colOff>
      <xdr:row>77</xdr:row>
      <xdr:rowOff>114300</xdr:rowOff>
    </xdr:from>
    <xdr:to>
      <xdr:col>1</xdr:col>
      <xdr:colOff>402773</xdr:colOff>
      <xdr:row>80</xdr:row>
      <xdr:rowOff>140969</xdr:rowOff>
    </xdr:to>
    <xdr:sp macro="" textlink="">
      <xdr:nvSpPr>
        <xdr:cNvPr id="2" name="Rounded Rectangle 33">
          <a:extLst>
            <a:ext uri="{FF2B5EF4-FFF2-40B4-BE49-F238E27FC236}">
              <a16:creationId xmlns:a16="http://schemas.microsoft.com/office/drawing/2014/main" id="{00000000-0008-0000-0100-000002000000}"/>
            </a:ext>
          </a:extLst>
        </xdr:cNvPr>
        <xdr:cNvSpPr/>
      </xdr:nvSpPr>
      <xdr:spPr>
        <a:xfrm>
          <a:off x="15875" y="14527530"/>
          <a:ext cx="1995170" cy="580390"/>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000" b="1"/>
            <a:t>KPIs</a:t>
          </a:r>
        </a:p>
      </xdr:txBody>
    </xdr:sp>
    <xdr:clientData/>
  </xdr:twoCellAnchor>
  <xdr:twoCellAnchor>
    <xdr:from>
      <xdr:col>0</xdr:col>
      <xdr:colOff>0</xdr:colOff>
      <xdr:row>112</xdr:row>
      <xdr:rowOff>0</xdr:rowOff>
    </xdr:from>
    <xdr:to>
      <xdr:col>4</xdr:col>
      <xdr:colOff>299356</xdr:colOff>
      <xdr:row>131</xdr:row>
      <xdr:rowOff>168728</xdr:rowOff>
    </xdr:to>
    <xdr:sp macro="" textlink="">
      <xdr:nvSpPr>
        <xdr:cNvPr id="31" name="Rectangle: Rounded Corners 3">
          <a:extLst>
            <a:ext uri="{FF2B5EF4-FFF2-40B4-BE49-F238E27FC236}">
              <a16:creationId xmlns:a16="http://schemas.microsoft.com/office/drawing/2014/main" id="{03B9E128-6353-4CF6-A400-19AFCE7531C5}"/>
            </a:ext>
          </a:extLst>
        </xdr:cNvPr>
        <xdr:cNvSpPr/>
      </xdr:nvSpPr>
      <xdr:spPr>
        <a:xfrm>
          <a:off x="0" y="20726400"/>
          <a:ext cx="7728856" cy="368481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600" b="1">
              <a:solidFill>
                <a:schemeClr val="tx1"/>
              </a:solidFill>
            </a:rPr>
            <a:t>Expected Insights</a:t>
          </a:r>
          <a:endParaRPr lang="en-US" sz="1100" b="1">
            <a:solidFill>
              <a:schemeClr val="tx1"/>
            </a:solidFill>
          </a:endParaRPr>
        </a:p>
      </xdr:txBody>
    </xdr:sp>
    <xdr:clientData/>
  </xdr:twoCellAnchor>
  <xdr:twoCellAnchor>
    <xdr:from>
      <xdr:col>0</xdr:col>
      <xdr:colOff>92529</xdr:colOff>
      <xdr:row>114</xdr:row>
      <xdr:rowOff>174173</xdr:rowOff>
    </xdr:from>
    <xdr:to>
      <xdr:col>4</xdr:col>
      <xdr:colOff>212271</xdr:colOff>
      <xdr:row>129</xdr:row>
      <xdr:rowOff>130630</xdr:rowOff>
    </xdr:to>
    <xdr:sp macro="" textlink="">
      <xdr:nvSpPr>
        <xdr:cNvPr id="35" name="TextBox 34">
          <a:extLst>
            <a:ext uri="{FF2B5EF4-FFF2-40B4-BE49-F238E27FC236}">
              <a16:creationId xmlns:a16="http://schemas.microsoft.com/office/drawing/2014/main" id="{04A3FADC-1138-2EFB-60E3-989E589DE61F}"/>
            </a:ext>
          </a:extLst>
        </xdr:cNvPr>
        <xdr:cNvSpPr txBox="1"/>
      </xdr:nvSpPr>
      <xdr:spPr>
        <a:xfrm>
          <a:off x="92529" y="21270687"/>
          <a:ext cx="7549242" cy="27323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Top-Performing Campaigns and Channels</a:t>
          </a:r>
        </a:p>
        <a:p>
          <a:r>
            <a:rPr lang="en-US"/>
            <a:t>Email marketing generates the highest number of conversions.</a:t>
          </a:r>
        </a:p>
        <a:p>
          <a:r>
            <a:rPr lang="en-US"/>
            <a:t>Paid Ads achieves a high ROAS compared to other marketing channels.</a:t>
          </a:r>
        </a:p>
        <a:p>
          <a:r>
            <a:rPr lang="en-US"/>
            <a:t>Compare channel performance using CTR, CPC, ROAS, and conversions to identify effective channels.</a:t>
          </a:r>
        </a:p>
        <a:p>
          <a:r>
            <a:rPr lang="en-US" b="1"/>
            <a:t>2. Demographic Insights</a:t>
          </a:r>
        </a:p>
        <a:p>
          <a:r>
            <a:rPr lang="en-US"/>
            <a:t>The 25–34 age group shows a strong response to marketing campaigns.</a:t>
          </a:r>
        </a:p>
        <a:p>
          <a:r>
            <a:rPr lang="en-US"/>
            <a:t>Female customers demonstrate favorable campaign performance.</a:t>
          </a:r>
        </a:p>
        <a:p>
          <a:r>
            <a:rPr lang="en-US"/>
            <a:t>Focus on customer demographics with higher conversion rates and ROAS.</a:t>
          </a:r>
        </a:p>
        <a:p>
          <a:r>
            <a:rPr lang="en-US" b="1"/>
            <a:t>3. Seasonal or Temporal Trends</a:t>
          </a:r>
        </a:p>
        <a:p>
          <a:r>
            <a:rPr lang="en-US"/>
            <a:t>Analyze monthly campaign performance to identify changes in impressions, clicks, conversions, and ROAS.</a:t>
          </a:r>
        </a:p>
        <a:p>
          <a:r>
            <a:rPr lang="en-US"/>
            <a:t>Identify months with higher conversion rates and ROAS to understand variations in campaign effectiveness.</a:t>
          </a:r>
        </a:p>
        <a:p>
          <a:r>
            <a:rPr lang="en-US" b="1"/>
            <a:t>4. Budget Allocation Recommendations</a:t>
          </a:r>
        </a:p>
        <a:p>
          <a:r>
            <a:rPr lang="en-US"/>
            <a:t>Increase budget allocation toward female audiences and the 25–34 age group.</a:t>
          </a:r>
        </a:p>
        <a:p>
          <a:r>
            <a:rPr lang="en-US"/>
            <a:t>Focus email marketing campaigns primarily on the 25–34 age group.</a:t>
          </a:r>
        </a:p>
        <a:p>
          <a:r>
            <a:rPr lang="en-US"/>
            <a:t>Allocate higher Paid Ads and Influencer Marketing budgets specifically to female and 25–34 demographic segments.</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30676</xdr:rowOff>
    </xdr:from>
    <xdr:to>
      <xdr:col>31</xdr:col>
      <xdr:colOff>65315</xdr:colOff>
      <xdr:row>3</xdr:row>
      <xdr:rowOff>21772</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0" y="30676"/>
          <a:ext cx="20312743" cy="578924"/>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bg1"/>
              </a:solidFill>
            </a:rPr>
            <a:t>Marketing Campaigns Performance Dashboard (2022 - 2023)</a:t>
          </a:r>
        </a:p>
      </xdr:txBody>
    </xdr:sp>
    <xdr:clientData/>
  </xdr:twoCellAnchor>
  <xdr:twoCellAnchor>
    <xdr:from>
      <xdr:col>11</xdr:col>
      <xdr:colOff>377042</xdr:colOff>
      <xdr:row>3</xdr:row>
      <xdr:rowOff>44533</xdr:rowOff>
    </xdr:from>
    <xdr:to>
      <xdr:col>15</xdr:col>
      <xdr:colOff>257298</xdr:colOff>
      <xdr:row>7</xdr:row>
      <xdr:rowOff>29689</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7561613" y="608611"/>
          <a:ext cx="2492829" cy="7372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 Total Spend</a:t>
          </a:r>
        </a:p>
      </xdr:txBody>
    </xdr:sp>
    <xdr:clientData/>
  </xdr:twoCellAnchor>
  <xdr:twoCellAnchor>
    <xdr:from>
      <xdr:col>0</xdr:col>
      <xdr:colOff>0</xdr:colOff>
      <xdr:row>3</xdr:row>
      <xdr:rowOff>59871</xdr:rowOff>
    </xdr:from>
    <xdr:to>
      <xdr:col>3</xdr:col>
      <xdr:colOff>633350</xdr:colOff>
      <xdr:row>7</xdr:row>
      <xdr:rowOff>54428</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0" y="623949"/>
          <a:ext cx="2592779" cy="74666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Total Impressions</a:t>
          </a:r>
        </a:p>
      </xdr:txBody>
    </xdr:sp>
    <xdr:clientData/>
  </xdr:twoCellAnchor>
  <xdr:twoCellAnchor>
    <xdr:from>
      <xdr:col>3</xdr:col>
      <xdr:colOff>631866</xdr:colOff>
      <xdr:row>3</xdr:row>
      <xdr:rowOff>59871</xdr:rowOff>
    </xdr:from>
    <xdr:to>
      <xdr:col>7</xdr:col>
      <xdr:colOff>514597</xdr:colOff>
      <xdr:row>7</xdr:row>
      <xdr:rowOff>54428</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2591295" y="623949"/>
          <a:ext cx="2495302" cy="74666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tx1"/>
              </a:solidFill>
              <a:latin typeface="+mn-lt"/>
              <a:ea typeface="+mn-ea"/>
              <a:cs typeface="+mn-cs"/>
            </a:rPr>
            <a:t>Total Clicks</a:t>
          </a:r>
        </a:p>
      </xdr:txBody>
    </xdr:sp>
    <xdr:clientData/>
  </xdr:twoCellAnchor>
  <xdr:twoCellAnchor>
    <xdr:from>
      <xdr:col>7</xdr:col>
      <xdr:colOff>522690</xdr:colOff>
      <xdr:row>3</xdr:row>
      <xdr:rowOff>48025</xdr:rowOff>
    </xdr:from>
    <xdr:to>
      <xdr:col>11</xdr:col>
      <xdr:colOff>356260</xdr:colOff>
      <xdr:row>7</xdr:row>
      <xdr:rowOff>42582</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5094690" y="612103"/>
          <a:ext cx="2446141" cy="74666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tx1"/>
              </a:solidFill>
              <a:latin typeface="+mn-lt"/>
              <a:ea typeface="+mn-ea"/>
              <a:cs typeface="+mn-cs"/>
            </a:rPr>
            <a:t>Total Conversions</a:t>
          </a:r>
        </a:p>
      </xdr:txBody>
    </xdr:sp>
    <xdr:clientData/>
  </xdr:twoCellAnchor>
  <xdr:twoCellAnchor>
    <xdr:from>
      <xdr:col>15</xdr:col>
      <xdr:colOff>277675</xdr:colOff>
      <xdr:row>3</xdr:row>
      <xdr:rowOff>56407</xdr:rowOff>
    </xdr:from>
    <xdr:to>
      <xdr:col>19</xdr:col>
      <xdr:colOff>346363</xdr:colOff>
      <xdr:row>7</xdr:row>
      <xdr:rowOff>50964</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10074819" y="620485"/>
          <a:ext cx="2681259" cy="74666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Revenue</a:t>
          </a:r>
        </a:p>
      </xdr:txBody>
    </xdr:sp>
    <xdr:clientData/>
  </xdr:twoCellAnchor>
  <xdr:twoCellAnchor>
    <xdr:from>
      <xdr:col>19</xdr:col>
      <xdr:colOff>353785</xdr:colOff>
      <xdr:row>3</xdr:row>
      <xdr:rowOff>61850</xdr:rowOff>
    </xdr:from>
    <xdr:to>
      <xdr:col>22</xdr:col>
      <xdr:colOff>494803</xdr:colOff>
      <xdr:row>7</xdr:row>
      <xdr:rowOff>56407</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12763500" y="625928"/>
          <a:ext cx="2100447" cy="74666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 CTR</a:t>
          </a:r>
        </a:p>
      </xdr:txBody>
    </xdr:sp>
    <xdr:clientData/>
  </xdr:twoCellAnchor>
  <xdr:twoCellAnchor>
    <xdr:from>
      <xdr:col>22</xdr:col>
      <xdr:colOff>510640</xdr:colOff>
      <xdr:row>3</xdr:row>
      <xdr:rowOff>50965</xdr:rowOff>
    </xdr:from>
    <xdr:to>
      <xdr:col>25</xdr:col>
      <xdr:colOff>366156</xdr:colOff>
      <xdr:row>7</xdr:row>
      <xdr:rowOff>19793</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14879784" y="615043"/>
          <a:ext cx="1814943" cy="72093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tx1"/>
              </a:solidFill>
              <a:latin typeface="+mn-lt"/>
              <a:ea typeface="+mn-ea"/>
              <a:cs typeface="+mn-cs"/>
            </a:rPr>
            <a:t>ROAS</a:t>
          </a:r>
        </a:p>
      </xdr:txBody>
    </xdr:sp>
    <xdr:clientData/>
  </xdr:twoCellAnchor>
  <xdr:twoCellAnchor>
    <xdr:from>
      <xdr:col>1</xdr:col>
      <xdr:colOff>18306</xdr:colOff>
      <xdr:row>4</xdr:row>
      <xdr:rowOff>134586</xdr:rowOff>
    </xdr:from>
    <xdr:to>
      <xdr:col>2</xdr:col>
      <xdr:colOff>643246</xdr:colOff>
      <xdr:row>6</xdr:row>
      <xdr:rowOff>138546</xdr:rowOff>
    </xdr:to>
    <xdr:sp macro="" textlink="'Performance Analysis'!A83">
      <xdr:nvSpPr>
        <xdr:cNvPr id="15" name="TextBox 14">
          <a:extLst>
            <a:ext uri="{FF2B5EF4-FFF2-40B4-BE49-F238E27FC236}">
              <a16:creationId xmlns:a16="http://schemas.microsoft.com/office/drawing/2014/main" id="{00000000-0008-0000-0200-00000F000000}"/>
            </a:ext>
          </a:extLst>
        </xdr:cNvPr>
        <xdr:cNvSpPr txBox="1"/>
      </xdr:nvSpPr>
      <xdr:spPr>
        <a:xfrm>
          <a:off x="671450" y="886690"/>
          <a:ext cx="1278081" cy="380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876192-12A8-4331-BF55-F96F83028AE2}" type="TxLink">
            <a:rPr lang="en-US" sz="2000" b="1" i="0" u="none" strike="noStrike">
              <a:solidFill>
                <a:srgbClr val="0070C0"/>
              </a:solidFill>
              <a:latin typeface="Calibri"/>
              <a:cs typeface="Calibri"/>
            </a:rPr>
            <a:t>80,192,134</a:t>
          </a:fld>
          <a:endParaRPr lang="en-US" sz="2800" b="1">
            <a:solidFill>
              <a:srgbClr val="0070C0"/>
            </a:solidFill>
          </a:endParaRPr>
        </a:p>
      </xdr:txBody>
    </xdr:sp>
    <xdr:clientData/>
  </xdr:twoCellAnchor>
  <xdr:twoCellAnchor>
    <xdr:from>
      <xdr:col>23</xdr:col>
      <xdr:colOff>413689</xdr:colOff>
      <xdr:row>4</xdr:row>
      <xdr:rowOff>175045</xdr:rowOff>
    </xdr:from>
    <xdr:to>
      <xdr:col>25</xdr:col>
      <xdr:colOff>39586</xdr:colOff>
      <xdr:row>6</xdr:row>
      <xdr:rowOff>98960</xdr:rowOff>
    </xdr:to>
    <xdr:sp macro="" textlink="'Performance Analysis'!G83">
      <xdr:nvSpPr>
        <xdr:cNvPr id="17" name="TextBox 16">
          <a:extLst>
            <a:ext uri="{FF2B5EF4-FFF2-40B4-BE49-F238E27FC236}">
              <a16:creationId xmlns:a16="http://schemas.microsoft.com/office/drawing/2014/main" id="{00000000-0008-0000-0200-000011000000}"/>
            </a:ext>
          </a:extLst>
        </xdr:cNvPr>
        <xdr:cNvSpPr txBox="1"/>
      </xdr:nvSpPr>
      <xdr:spPr>
        <a:xfrm>
          <a:off x="15435974" y="927149"/>
          <a:ext cx="932183" cy="299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B1CABC-6152-41C4-8F85-B28822B0A5DB}" type="TxLink">
            <a:rPr lang="en-US" sz="2000" b="1" i="0" u="none" strike="noStrike">
              <a:solidFill>
                <a:srgbClr val="0070C0"/>
              </a:solidFill>
              <a:latin typeface="Calibri"/>
              <a:ea typeface="+mn-ea"/>
              <a:cs typeface="Calibri"/>
            </a:rPr>
            <a:pPr marL="0" indent="0"/>
            <a:t>2.60</a:t>
          </a:fld>
          <a:endParaRPr lang="en-US" sz="2000" b="1" i="0" u="none" strike="noStrike">
            <a:solidFill>
              <a:srgbClr val="0070C0"/>
            </a:solidFill>
            <a:latin typeface="Calibri"/>
            <a:ea typeface="+mn-ea"/>
            <a:cs typeface="Calibri"/>
          </a:endParaRPr>
        </a:p>
      </xdr:txBody>
    </xdr:sp>
    <xdr:clientData/>
  </xdr:twoCellAnchor>
  <xdr:twoCellAnchor>
    <xdr:from>
      <xdr:col>20</xdr:col>
      <xdr:colOff>342901</xdr:colOff>
      <xdr:row>4</xdr:row>
      <xdr:rowOff>185553</xdr:rowOff>
    </xdr:from>
    <xdr:to>
      <xdr:col>21</xdr:col>
      <xdr:colOff>455220</xdr:colOff>
      <xdr:row>6</xdr:row>
      <xdr:rowOff>168234</xdr:rowOff>
    </xdr:to>
    <xdr:sp macro="" textlink="'Performance Analysis'!F83">
      <xdr:nvSpPr>
        <xdr:cNvPr id="18" name="TextBox 17">
          <a:extLst>
            <a:ext uri="{FF2B5EF4-FFF2-40B4-BE49-F238E27FC236}">
              <a16:creationId xmlns:a16="http://schemas.microsoft.com/office/drawing/2014/main" id="{00000000-0008-0000-0200-000012000000}"/>
            </a:ext>
          </a:extLst>
        </xdr:cNvPr>
        <xdr:cNvSpPr txBox="1"/>
      </xdr:nvSpPr>
      <xdr:spPr>
        <a:xfrm>
          <a:off x="13405757" y="937657"/>
          <a:ext cx="765463" cy="3587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0C93ECF-D1F7-4CC7-82F6-1B338F0599E5}" type="TxLink">
            <a:rPr lang="en-US" sz="2000" b="1" i="0" u="none" strike="noStrike">
              <a:solidFill>
                <a:srgbClr val="0070C0"/>
              </a:solidFill>
              <a:latin typeface="Calibri"/>
              <a:ea typeface="+mn-ea"/>
              <a:cs typeface="Calibri"/>
            </a:rPr>
            <a:pPr marL="0" indent="0"/>
            <a:t>0.50</a:t>
          </a:fld>
          <a:endParaRPr lang="en-US" sz="2000" b="1" i="0" u="none" strike="noStrike">
            <a:solidFill>
              <a:srgbClr val="0070C0"/>
            </a:solidFill>
            <a:latin typeface="Calibri"/>
            <a:ea typeface="+mn-ea"/>
            <a:cs typeface="Calibri"/>
          </a:endParaRPr>
        </a:p>
      </xdr:txBody>
    </xdr:sp>
    <xdr:clientData/>
  </xdr:twoCellAnchor>
  <xdr:twoCellAnchor>
    <xdr:from>
      <xdr:col>16</xdr:col>
      <xdr:colOff>124371</xdr:colOff>
      <xdr:row>4</xdr:row>
      <xdr:rowOff>166778</xdr:rowOff>
    </xdr:from>
    <xdr:to>
      <xdr:col>19</xdr:col>
      <xdr:colOff>108856</xdr:colOff>
      <xdr:row>6</xdr:row>
      <xdr:rowOff>168234</xdr:rowOff>
    </xdr:to>
    <xdr:sp macro="" textlink="'Performance Analysis'!E83">
      <xdr:nvSpPr>
        <xdr:cNvPr id="19" name="TextBox 18">
          <a:extLst>
            <a:ext uri="{FF2B5EF4-FFF2-40B4-BE49-F238E27FC236}">
              <a16:creationId xmlns:a16="http://schemas.microsoft.com/office/drawing/2014/main" id="{00000000-0008-0000-0200-000013000000}"/>
            </a:ext>
          </a:extLst>
        </xdr:cNvPr>
        <xdr:cNvSpPr txBox="1"/>
      </xdr:nvSpPr>
      <xdr:spPr>
        <a:xfrm>
          <a:off x="10574656" y="918882"/>
          <a:ext cx="1943915" cy="3775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9B50E34-A9B9-4EA0-8F00-14EECDF9D324}" type="TxLink">
            <a:rPr lang="en-US" sz="2000" b="1" i="0" u="none" strike="noStrike">
              <a:solidFill>
                <a:srgbClr val="0070C0"/>
              </a:solidFill>
              <a:latin typeface="Calibri"/>
              <a:ea typeface="+mn-ea"/>
              <a:cs typeface="Calibri"/>
            </a:rPr>
            <a:pPr marL="0" indent="0"/>
            <a:t>$21,221,739.04 </a:t>
          </a:fld>
          <a:endParaRPr lang="en-US" sz="2000" b="1" i="0" u="none" strike="noStrike">
            <a:solidFill>
              <a:srgbClr val="0070C0"/>
            </a:solidFill>
            <a:latin typeface="Calibri"/>
            <a:ea typeface="+mn-ea"/>
            <a:cs typeface="Calibri"/>
          </a:endParaRPr>
        </a:p>
      </xdr:txBody>
    </xdr:sp>
    <xdr:clientData/>
  </xdr:twoCellAnchor>
  <xdr:twoCellAnchor>
    <xdr:from>
      <xdr:col>12</xdr:col>
      <xdr:colOff>385946</xdr:colOff>
      <xdr:row>4</xdr:row>
      <xdr:rowOff>149925</xdr:rowOff>
    </xdr:from>
    <xdr:to>
      <xdr:col>14</xdr:col>
      <xdr:colOff>395842</xdr:colOff>
      <xdr:row>6</xdr:row>
      <xdr:rowOff>148443</xdr:rowOff>
    </xdr:to>
    <xdr:sp macro="" textlink="'Performance Analysis'!D83">
      <xdr:nvSpPr>
        <xdr:cNvPr id="20" name="TextBox 19">
          <a:extLst>
            <a:ext uri="{FF2B5EF4-FFF2-40B4-BE49-F238E27FC236}">
              <a16:creationId xmlns:a16="http://schemas.microsoft.com/office/drawing/2014/main" id="{00000000-0008-0000-0200-000014000000}"/>
            </a:ext>
          </a:extLst>
        </xdr:cNvPr>
        <xdr:cNvSpPr txBox="1"/>
      </xdr:nvSpPr>
      <xdr:spPr>
        <a:xfrm>
          <a:off x="8223661" y="902029"/>
          <a:ext cx="1316181" cy="3745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F2E28B-4F5E-49BE-9A35-34C752D4B4E3}" type="TxLink">
            <a:rPr lang="en-US" sz="2000" b="1" i="0" u="none" strike="noStrike">
              <a:solidFill>
                <a:srgbClr val="0070C0"/>
              </a:solidFill>
              <a:latin typeface="Calibri"/>
              <a:ea typeface="+mn-ea"/>
              <a:cs typeface="Calibri"/>
            </a:rPr>
            <a:pPr marL="0" indent="0"/>
            <a:t>$8,157,198.26 </a:t>
          </a:fld>
          <a:endParaRPr lang="en-US" sz="2000" b="1" i="0" u="none" strike="noStrike">
            <a:solidFill>
              <a:srgbClr val="0070C0"/>
            </a:solidFill>
            <a:latin typeface="Calibri"/>
            <a:ea typeface="+mn-ea"/>
            <a:cs typeface="Calibri"/>
          </a:endParaRPr>
        </a:p>
      </xdr:txBody>
    </xdr:sp>
    <xdr:clientData/>
  </xdr:twoCellAnchor>
  <xdr:twoCellAnchor>
    <xdr:from>
      <xdr:col>8</xdr:col>
      <xdr:colOff>545274</xdr:colOff>
      <xdr:row>4</xdr:row>
      <xdr:rowOff>110340</xdr:rowOff>
    </xdr:from>
    <xdr:to>
      <xdr:col>10</xdr:col>
      <xdr:colOff>356260</xdr:colOff>
      <xdr:row>6</xdr:row>
      <xdr:rowOff>49480</xdr:rowOff>
    </xdr:to>
    <xdr:sp macro="" textlink="'Performance Analysis'!C83">
      <xdr:nvSpPr>
        <xdr:cNvPr id="21" name="TextBox 20">
          <a:extLst>
            <a:ext uri="{FF2B5EF4-FFF2-40B4-BE49-F238E27FC236}">
              <a16:creationId xmlns:a16="http://schemas.microsoft.com/office/drawing/2014/main" id="{00000000-0008-0000-0200-000015000000}"/>
            </a:ext>
          </a:extLst>
        </xdr:cNvPr>
        <xdr:cNvSpPr txBox="1"/>
      </xdr:nvSpPr>
      <xdr:spPr>
        <a:xfrm>
          <a:off x="5770418" y="862444"/>
          <a:ext cx="1117271" cy="3151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96A2AB-E249-4BC0-B339-64A7538F760B}" type="TxLink">
            <a:rPr lang="en-US" sz="2000" b="1" i="0" u="none" strike="noStrike">
              <a:solidFill>
                <a:srgbClr val="0070C0"/>
              </a:solidFill>
              <a:latin typeface="Calibri"/>
              <a:ea typeface="+mn-ea"/>
              <a:cs typeface="Calibri"/>
            </a:rPr>
            <a:pPr marL="0" indent="0"/>
            <a:t>20,255,653</a:t>
          </a:fld>
          <a:endParaRPr lang="en-US" sz="2000" b="1" i="0" u="none" strike="noStrike">
            <a:solidFill>
              <a:srgbClr val="0070C0"/>
            </a:solidFill>
            <a:latin typeface="Calibri"/>
            <a:ea typeface="+mn-ea"/>
            <a:cs typeface="Calibri"/>
          </a:endParaRPr>
        </a:p>
      </xdr:txBody>
    </xdr:sp>
    <xdr:clientData/>
  </xdr:twoCellAnchor>
  <xdr:twoCellAnchor>
    <xdr:from>
      <xdr:col>5</xdr:col>
      <xdr:colOff>39584</xdr:colOff>
      <xdr:row>4</xdr:row>
      <xdr:rowOff>158337</xdr:rowOff>
    </xdr:from>
    <xdr:to>
      <xdr:col>6</xdr:col>
      <xdr:colOff>584863</xdr:colOff>
      <xdr:row>6</xdr:row>
      <xdr:rowOff>138545</xdr:rowOff>
    </xdr:to>
    <xdr:sp macro="" textlink="'Performance Analysis'!B83">
      <xdr:nvSpPr>
        <xdr:cNvPr id="22" name="TextBox 21">
          <a:extLst>
            <a:ext uri="{FF2B5EF4-FFF2-40B4-BE49-F238E27FC236}">
              <a16:creationId xmlns:a16="http://schemas.microsoft.com/office/drawing/2014/main" id="{00000000-0008-0000-0200-000016000000}"/>
            </a:ext>
          </a:extLst>
        </xdr:cNvPr>
        <xdr:cNvSpPr txBox="1"/>
      </xdr:nvSpPr>
      <xdr:spPr>
        <a:xfrm>
          <a:off x="3305299" y="910441"/>
          <a:ext cx="1198420" cy="356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2A00CB-15CA-423D-B96A-DB94FFCBF77F}" type="TxLink">
            <a:rPr lang="en-US" sz="2000" b="1" i="0" u="none" strike="noStrike">
              <a:solidFill>
                <a:srgbClr val="0070C0"/>
              </a:solidFill>
              <a:latin typeface="Calibri"/>
              <a:ea typeface="+mn-ea"/>
              <a:cs typeface="Calibri"/>
            </a:rPr>
            <a:pPr marL="0" indent="0"/>
            <a:t>40,281,338</a:t>
          </a:fld>
          <a:endParaRPr lang="en-US" sz="2000" b="1" i="0" u="none" strike="noStrike">
            <a:solidFill>
              <a:srgbClr val="0070C0"/>
            </a:solidFill>
            <a:latin typeface="Calibri"/>
            <a:ea typeface="+mn-ea"/>
            <a:cs typeface="Calibri"/>
          </a:endParaRPr>
        </a:p>
      </xdr:txBody>
    </xdr:sp>
    <xdr:clientData/>
  </xdr:twoCellAnchor>
  <xdr:twoCellAnchor>
    <xdr:from>
      <xdr:col>9</xdr:col>
      <xdr:colOff>633352</xdr:colOff>
      <xdr:row>41</xdr:row>
      <xdr:rowOff>160456</xdr:rowOff>
    </xdr:from>
    <xdr:to>
      <xdr:col>31</xdr:col>
      <xdr:colOff>43543</xdr:colOff>
      <xdr:row>56</xdr:row>
      <xdr:rowOff>124266</xdr:rowOff>
    </xdr:to>
    <xdr:graphicFrame macro="">
      <xdr:nvGraphicFramePr>
        <xdr:cNvPr id="29" name="Chart 28">
          <a:extLst>
            <a:ext uri="{FF2B5EF4-FFF2-40B4-BE49-F238E27FC236}">
              <a16:creationId xmlns:a16="http://schemas.microsoft.com/office/drawing/2014/main" id="{DE527B4E-A956-4529-ABFE-E7D3E7825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7776</xdr:rowOff>
    </xdr:from>
    <xdr:to>
      <xdr:col>9</xdr:col>
      <xdr:colOff>617801</xdr:colOff>
      <xdr:row>41</xdr:row>
      <xdr:rowOff>159611</xdr:rowOff>
    </xdr:to>
    <xdr:graphicFrame macro="">
      <xdr:nvGraphicFramePr>
        <xdr:cNvPr id="30" name="Chart 29">
          <a:extLst>
            <a:ext uri="{FF2B5EF4-FFF2-40B4-BE49-F238E27FC236}">
              <a16:creationId xmlns:a16="http://schemas.microsoft.com/office/drawing/2014/main" id="{4C96C040-01BE-4E1A-81F5-5F223DAA2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602955</xdr:colOff>
      <xdr:row>27</xdr:row>
      <xdr:rowOff>8484</xdr:rowOff>
    </xdr:from>
    <xdr:to>
      <xdr:col>16</xdr:col>
      <xdr:colOff>597299</xdr:colOff>
      <xdr:row>41</xdr:row>
      <xdr:rowOff>160318</xdr:rowOff>
    </xdr:to>
    <xdr:graphicFrame macro="">
      <xdr:nvGraphicFramePr>
        <xdr:cNvPr id="31" name="Chart 30">
          <a:extLst>
            <a:ext uri="{FF2B5EF4-FFF2-40B4-BE49-F238E27FC236}">
              <a16:creationId xmlns:a16="http://schemas.microsoft.com/office/drawing/2014/main" id="{73E36488-2F75-4914-A42D-0C8554EED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41</xdr:row>
      <xdr:rowOff>154802</xdr:rowOff>
    </xdr:from>
    <xdr:to>
      <xdr:col>9</xdr:col>
      <xdr:colOff>622748</xdr:colOff>
      <xdr:row>56</xdr:row>
      <xdr:rowOff>120028</xdr:rowOff>
    </xdr:to>
    <xdr:graphicFrame macro="">
      <xdr:nvGraphicFramePr>
        <xdr:cNvPr id="32" name="Chart 31">
          <a:extLst>
            <a:ext uri="{FF2B5EF4-FFF2-40B4-BE49-F238E27FC236}">
              <a16:creationId xmlns:a16="http://schemas.microsoft.com/office/drawing/2014/main" id="{8CA36BC6-3C21-419F-92D7-568E19A72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588114</xdr:colOff>
      <xdr:row>27</xdr:row>
      <xdr:rowOff>28981</xdr:rowOff>
    </xdr:from>
    <xdr:to>
      <xdr:col>25</xdr:col>
      <xdr:colOff>405741</xdr:colOff>
      <xdr:row>41</xdr:row>
      <xdr:rowOff>180814</xdr:rowOff>
    </xdr:to>
    <xdr:graphicFrame macro="">
      <xdr:nvGraphicFramePr>
        <xdr:cNvPr id="33" name="Chart 32">
          <a:extLst>
            <a:ext uri="{FF2B5EF4-FFF2-40B4-BE49-F238E27FC236}">
              <a16:creationId xmlns:a16="http://schemas.microsoft.com/office/drawing/2014/main" id="{3918787C-5559-4B65-B853-F616B1719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xdr:row>
      <xdr:rowOff>59375</xdr:rowOff>
    </xdr:from>
    <xdr:to>
      <xdr:col>25</xdr:col>
      <xdr:colOff>385947</xdr:colOff>
      <xdr:row>27</xdr:row>
      <xdr:rowOff>29689</xdr:rowOff>
    </xdr:to>
    <xdr:graphicFrame macro="">
      <xdr:nvGraphicFramePr>
        <xdr:cNvPr id="2" name="Chart 1">
          <a:extLst>
            <a:ext uri="{FF2B5EF4-FFF2-40B4-BE49-F238E27FC236}">
              <a16:creationId xmlns:a16="http://schemas.microsoft.com/office/drawing/2014/main" id="{F8C08FB6-DA69-45EE-B3B4-A2E810543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544284</xdr:colOff>
      <xdr:row>0</xdr:row>
      <xdr:rowOff>79169</xdr:rowOff>
    </xdr:from>
    <xdr:to>
      <xdr:col>1</xdr:col>
      <xdr:colOff>277088</xdr:colOff>
      <xdr:row>2</xdr:row>
      <xdr:rowOff>89064</xdr:rowOff>
    </xdr:to>
    <xdr:pic>
      <xdr:nvPicPr>
        <xdr:cNvPr id="23" name="Picture 22">
          <a:extLst>
            <a:ext uri="{FF2B5EF4-FFF2-40B4-BE49-F238E27FC236}">
              <a16:creationId xmlns:a16="http://schemas.microsoft.com/office/drawing/2014/main" id="{E62CA353-F778-F2B6-6090-EC1718CBC349}"/>
            </a:ext>
          </a:extLst>
        </xdr:cNvPr>
        <xdr:cNvPicPr>
          <a:picLocks noChangeAspect="1"/>
        </xdr:cNvPicPr>
      </xdr:nvPicPr>
      <xdr:blipFill>
        <a:blip xmlns:r="http://schemas.openxmlformats.org/officeDocument/2006/relationships" r:embed="rId7"/>
        <a:stretch>
          <a:fillRect/>
        </a:stretch>
      </xdr:blipFill>
      <xdr:spPr>
        <a:xfrm>
          <a:off x="544284" y="79169"/>
          <a:ext cx="385948" cy="385948"/>
        </a:xfrm>
        <a:prstGeom prst="rect">
          <a:avLst/>
        </a:prstGeom>
      </xdr:spPr>
    </xdr:pic>
    <xdr:clientData/>
  </xdr:twoCellAnchor>
  <xdr:twoCellAnchor editAs="oneCell">
    <xdr:from>
      <xdr:col>0</xdr:col>
      <xdr:colOff>168235</xdr:colOff>
      <xdr:row>3</xdr:row>
      <xdr:rowOff>158336</xdr:rowOff>
    </xdr:from>
    <xdr:to>
      <xdr:col>0</xdr:col>
      <xdr:colOff>573976</xdr:colOff>
      <xdr:row>5</xdr:row>
      <xdr:rowOff>182583</xdr:rowOff>
    </xdr:to>
    <xdr:pic>
      <xdr:nvPicPr>
        <xdr:cNvPr id="24" name="Picture 23">
          <a:extLst>
            <a:ext uri="{FF2B5EF4-FFF2-40B4-BE49-F238E27FC236}">
              <a16:creationId xmlns:a16="http://schemas.microsoft.com/office/drawing/2014/main" id="{13E82124-997A-C6ED-65E7-0B0D75DEAC60}"/>
            </a:ext>
          </a:extLst>
        </xdr:cNvPr>
        <xdr:cNvPicPr>
          <a:picLocks noChangeAspect="1"/>
        </xdr:cNvPicPr>
      </xdr:nvPicPr>
      <xdr:blipFill>
        <a:blip xmlns:r="http://schemas.openxmlformats.org/officeDocument/2006/relationships" r:embed="rId8"/>
        <a:stretch>
          <a:fillRect/>
        </a:stretch>
      </xdr:blipFill>
      <xdr:spPr>
        <a:xfrm>
          <a:off x="168235" y="722414"/>
          <a:ext cx="405741" cy="405741"/>
        </a:xfrm>
        <a:prstGeom prst="rect">
          <a:avLst/>
        </a:prstGeom>
      </xdr:spPr>
    </xdr:pic>
    <xdr:clientData/>
  </xdr:twoCellAnchor>
  <xdr:twoCellAnchor editAs="oneCell">
    <xdr:from>
      <xdr:col>4</xdr:col>
      <xdr:colOff>59377</xdr:colOff>
      <xdr:row>3</xdr:row>
      <xdr:rowOff>118754</xdr:rowOff>
    </xdr:from>
    <xdr:to>
      <xdr:col>4</xdr:col>
      <xdr:colOff>593766</xdr:colOff>
      <xdr:row>6</xdr:row>
      <xdr:rowOff>89065</xdr:rowOff>
    </xdr:to>
    <xdr:pic>
      <xdr:nvPicPr>
        <xdr:cNvPr id="25" name="Picture 24">
          <a:extLst>
            <a:ext uri="{FF2B5EF4-FFF2-40B4-BE49-F238E27FC236}">
              <a16:creationId xmlns:a16="http://schemas.microsoft.com/office/drawing/2014/main" id="{3CDC9BCF-CF61-B7A7-AF92-07A75B50C9C8}"/>
            </a:ext>
          </a:extLst>
        </xdr:cNvPr>
        <xdr:cNvPicPr>
          <a:picLocks noChangeAspect="1"/>
        </xdr:cNvPicPr>
      </xdr:nvPicPr>
      <xdr:blipFill>
        <a:blip xmlns:r="http://schemas.openxmlformats.org/officeDocument/2006/relationships" r:embed="rId9"/>
        <a:stretch>
          <a:fillRect/>
        </a:stretch>
      </xdr:blipFill>
      <xdr:spPr>
        <a:xfrm>
          <a:off x="2671948" y="682832"/>
          <a:ext cx="534389" cy="534389"/>
        </a:xfrm>
        <a:prstGeom prst="rect">
          <a:avLst/>
        </a:prstGeom>
      </xdr:spPr>
    </xdr:pic>
    <xdr:clientData/>
  </xdr:twoCellAnchor>
  <xdr:twoCellAnchor editAs="oneCell">
    <xdr:from>
      <xdr:col>7</xdr:col>
      <xdr:colOff>583872</xdr:colOff>
      <xdr:row>3</xdr:row>
      <xdr:rowOff>118755</xdr:rowOff>
    </xdr:from>
    <xdr:to>
      <xdr:col>8</xdr:col>
      <xdr:colOff>366156</xdr:colOff>
      <xdr:row>5</xdr:row>
      <xdr:rowOff>178132</xdr:rowOff>
    </xdr:to>
    <xdr:pic>
      <xdr:nvPicPr>
        <xdr:cNvPr id="26" name="Picture 25">
          <a:extLst>
            <a:ext uri="{FF2B5EF4-FFF2-40B4-BE49-F238E27FC236}">
              <a16:creationId xmlns:a16="http://schemas.microsoft.com/office/drawing/2014/main" id="{40B39B15-26D5-CB4E-37A0-033AC16D420E}"/>
            </a:ext>
          </a:extLst>
        </xdr:cNvPr>
        <xdr:cNvPicPr>
          <a:picLocks noChangeAspect="1"/>
        </xdr:cNvPicPr>
      </xdr:nvPicPr>
      <xdr:blipFill>
        <a:blip xmlns:r="http://schemas.openxmlformats.org/officeDocument/2006/relationships" r:embed="rId10"/>
        <a:stretch>
          <a:fillRect/>
        </a:stretch>
      </xdr:blipFill>
      <xdr:spPr>
        <a:xfrm>
          <a:off x="5155872" y="682833"/>
          <a:ext cx="435428" cy="435428"/>
        </a:xfrm>
        <a:prstGeom prst="rect">
          <a:avLst/>
        </a:prstGeom>
      </xdr:spPr>
    </xdr:pic>
    <xdr:clientData/>
  </xdr:twoCellAnchor>
  <xdr:twoCellAnchor editAs="oneCell">
    <xdr:from>
      <xdr:col>11</xdr:col>
      <xdr:colOff>514598</xdr:colOff>
      <xdr:row>3</xdr:row>
      <xdr:rowOff>128649</xdr:rowOff>
    </xdr:from>
    <xdr:to>
      <xdr:col>12</xdr:col>
      <xdr:colOff>326572</xdr:colOff>
      <xdr:row>6</xdr:row>
      <xdr:rowOff>29689</xdr:rowOff>
    </xdr:to>
    <xdr:pic>
      <xdr:nvPicPr>
        <xdr:cNvPr id="27" name="Picture 26">
          <a:extLst>
            <a:ext uri="{FF2B5EF4-FFF2-40B4-BE49-F238E27FC236}">
              <a16:creationId xmlns:a16="http://schemas.microsoft.com/office/drawing/2014/main" id="{1F967034-372C-00A0-625F-40AA5FBD9B01}"/>
            </a:ext>
          </a:extLst>
        </xdr:cNvPr>
        <xdr:cNvPicPr>
          <a:picLocks noChangeAspect="1"/>
        </xdr:cNvPicPr>
      </xdr:nvPicPr>
      <xdr:blipFill>
        <a:blip xmlns:r="http://schemas.openxmlformats.org/officeDocument/2006/relationships" r:embed="rId11"/>
        <a:stretch>
          <a:fillRect/>
        </a:stretch>
      </xdr:blipFill>
      <xdr:spPr>
        <a:xfrm>
          <a:off x="7699169" y="692727"/>
          <a:ext cx="465118" cy="465118"/>
        </a:xfrm>
        <a:prstGeom prst="rect">
          <a:avLst/>
        </a:prstGeom>
      </xdr:spPr>
    </xdr:pic>
    <xdr:clientData/>
  </xdr:twoCellAnchor>
  <xdr:twoCellAnchor editAs="oneCell">
    <xdr:from>
      <xdr:col>15</xdr:col>
      <xdr:colOff>395845</xdr:colOff>
      <xdr:row>4</xdr:row>
      <xdr:rowOff>-1</xdr:rowOff>
    </xdr:from>
    <xdr:to>
      <xdr:col>16</xdr:col>
      <xdr:colOff>118757</xdr:colOff>
      <xdr:row>6</xdr:row>
      <xdr:rowOff>0</xdr:rowOff>
    </xdr:to>
    <xdr:pic>
      <xdr:nvPicPr>
        <xdr:cNvPr id="28" name="Picture 27">
          <a:extLst>
            <a:ext uri="{FF2B5EF4-FFF2-40B4-BE49-F238E27FC236}">
              <a16:creationId xmlns:a16="http://schemas.microsoft.com/office/drawing/2014/main" id="{C1C446CB-E499-C609-DEE1-FBD214B5AD87}"/>
            </a:ext>
          </a:extLst>
        </xdr:cNvPr>
        <xdr:cNvPicPr>
          <a:picLocks noChangeAspect="1"/>
        </xdr:cNvPicPr>
      </xdr:nvPicPr>
      <xdr:blipFill>
        <a:blip xmlns:r="http://schemas.openxmlformats.org/officeDocument/2006/relationships" r:embed="rId12"/>
        <a:stretch>
          <a:fillRect/>
        </a:stretch>
      </xdr:blipFill>
      <xdr:spPr>
        <a:xfrm>
          <a:off x="10192989" y="752103"/>
          <a:ext cx="376053" cy="376053"/>
        </a:xfrm>
        <a:prstGeom prst="rect">
          <a:avLst/>
        </a:prstGeom>
      </xdr:spPr>
    </xdr:pic>
    <xdr:clientData/>
  </xdr:twoCellAnchor>
  <xdr:twoCellAnchor editAs="oneCell">
    <xdr:from>
      <xdr:col>19</xdr:col>
      <xdr:colOff>413161</xdr:colOff>
      <xdr:row>3</xdr:row>
      <xdr:rowOff>180603</xdr:rowOff>
    </xdr:from>
    <xdr:to>
      <xdr:col>20</xdr:col>
      <xdr:colOff>197923</xdr:colOff>
      <xdr:row>6</xdr:row>
      <xdr:rowOff>54428</xdr:rowOff>
    </xdr:to>
    <xdr:pic>
      <xdr:nvPicPr>
        <xdr:cNvPr id="34" name="Picture 33">
          <a:extLst>
            <a:ext uri="{FF2B5EF4-FFF2-40B4-BE49-F238E27FC236}">
              <a16:creationId xmlns:a16="http://schemas.microsoft.com/office/drawing/2014/main" id="{72B5634D-1A0A-23F8-0421-24638338CE59}"/>
            </a:ext>
          </a:extLst>
        </xdr:cNvPr>
        <xdr:cNvPicPr>
          <a:picLocks noChangeAspect="1"/>
        </xdr:cNvPicPr>
      </xdr:nvPicPr>
      <xdr:blipFill>
        <a:blip xmlns:r="http://schemas.openxmlformats.org/officeDocument/2006/relationships" r:embed="rId13"/>
        <a:stretch>
          <a:fillRect/>
        </a:stretch>
      </xdr:blipFill>
      <xdr:spPr>
        <a:xfrm>
          <a:off x="12822876" y="744681"/>
          <a:ext cx="437903" cy="437903"/>
        </a:xfrm>
        <a:prstGeom prst="rect">
          <a:avLst/>
        </a:prstGeom>
      </xdr:spPr>
    </xdr:pic>
    <xdr:clientData/>
  </xdr:twoCellAnchor>
  <xdr:twoCellAnchor editAs="oneCell">
    <xdr:from>
      <xdr:col>22</xdr:col>
      <xdr:colOff>643243</xdr:colOff>
      <xdr:row>4</xdr:row>
      <xdr:rowOff>49480</xdr:rowOff>
    </xdr:from>
    <xdr:to>
      <xdr:col>23</xdr:col>
      <xdr:colOff>326569</xdr:colOff>
      <xdr:row>6</xdr:row>
      <xdr:rowOff>9895</xdr:rowOff>
    </xdr:to>
    <xdr:pic>
      <xdr:nvPicPr>
        <xdr:cNvPr id="35" name="Picture 34">
          <a:extLst>
            <a:ext uri="{FF2B5EF4-FFF2-40B4-BE49-F238E27FC236}">
              <a16:creationId xmlns:a16="http://schemas.microsoft.com/office/drawing/2014/main" id="{98096A33-05C3-F792-C505-FD1D9F45C1D2}"/>
            </a:ext>
          </a:extLst>
        </xdr:cNvPr>
        <xdr:cNvPicPr>
          <a:picLocks noChangeAspect="1"/>
        </xdr:cNvPicPr>
      </xdr:nvPicPr>
      <xdr:blipFill>
        <a:blip xmlns:r="http://schemas.openxmlformats.org/officeDocument/2006/relationships" r:embed="rId14"/>
        <a:stretch>
          <a:fillRect/>
        </a:stretch>
      </xdr:blipFill>
      <xdr:spPr>
        <a:xfrm>
          <a:off x="15012387" y="801584"/>
          <a:ext cx="336467" cy="336467"/>
        </a:xfrm>
        <a:prstGeom prst="rect">
          <a:avLst/>
        </a:prstGeom>
      </xdr:spPr>
    </xdr:pic>
    <xdr:clientData/>
  </xdr:twoCellAnchor>
  <xdr:twoCellAnchor editAs="oneCell">
    <xdr:from>
      <xdr:col>0</xdr:col>
      <xdr:colOff>168235</xdr:colOff>
      <xdr:row>7</xdr:row>
      <xdr:rowOff>39586</xdr:rowOff>
    </xdr:from>
    <xdr:to>
      <xdr:col>0</xdr:col>
      <xdr:colOff>603663</xdr:colOff>
      <xdr:row>9</xdr:row>
      <xdr:rowOff>98961</xdr:rowOff>
    </xdr:to>
    <xdr:pic>
      <xdr:nvPicPr>
        <xdr:cNvPr id="36" name="Picture 35">
          <a:extLst>
            <a:ext uri="{FF2B5EF4-FFF2-40B4-BE49-F238E27FC236}">
              <a16:creationId xmlns:a16="http://schemas.microsoft.com/office/drawing/2014/main" id="{06052793-7C68-75A1-5D4B-D325C78C9A3C}"/>
            </a:ext>
          </a:extLst>
        </xdr:cNvPr>
        <xdr:cNvPicPr>
          <a:picLocks noChangeAspect="1"/>
        </xdr:cNvPicPr>
      </xdr:nvPicPr>
      <xdr:blipFill>
        <a:blip xmlns:r="http://schemas.openxmlformats.org/officeDocument/2006/relationships" r:embed="rId15"/>
        <a:stretch>
          <a:fillRect/>
        </a:stretch>
      </xdr:blipFill>
      <xdr:spPr>
        <a:xfrm>
          <a:off x="168235" y="1355768"/>
          <a:ext cx="435428" cy="435428"/>
        </a:xfrm>
        <a:prstGeom prst="rect">
          <a:avLst/>
        </a:prstGeom>
      </xdr:spPr>
    </xdr:pic>
    <xdr:clientData/>
  </xdr:twoCellAnchor>
  <xdr:twoCellAnchor>
    <xdr:from>
      <xdr:col>25</xdr:col>
      <xdr:colOff>395845</xdr:colOff>
      <xdr:row>3</xdr:row>
      <xdr:rowOff>39583</xdr:rowOff>
    </xdr:from>
    <xdr:to>
      <xdr:col>31</xdr:col>
      <xdr:colOff>69273</xdr:colOff>
      <xdr:row>41</xdr:row>
      <xdr:rowOff>174173</xdr:rowOff>
    </xdr:to>
    <xdr:sp macro="" textlink="">
      <xdr:nvSpPr>
        <xdr:cNvPr id="38" name="Rectangle 37">
          <a:extLst>
            <a:ext uri="{FF2B5EF4-FFF2-40B4-BE49-F238E27FC236}">
              <a16:creationId xmlns:a16="http://schemas.microsoft.com/office/drawing/2014/main" id="{7FE5ECC0-D93B-9666-52D1-1DD191891072}"/>
            </a:ext>
          </a:extLst>
        </xdr:cNvPr>
        <xdr:cNvSpPr/>
      </xdr:nvSpPr>
      <xdr:spPr>
        <a:xfrm>
          <a:off x="16724417" y="627411"/>
          <a:ext cx="3592284" cy="75804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4400" b="1">
              <a:solidFill>
                <a:srgbClr val="0070C0"/>
              </a:solidFill>
              <a:latin typeface="+mn-lt"/>
              <a:ea typeface="+mn-ea"/>
              <a:cs typeface="+mn-cs"/>
            </a:rPr>
            <a:t>Filters</a:t>
          </a:r>
          <a:endParaRPr lang="en-US" sz="3200" b="1">
            <a:solidFill>
              <a:srgbClr val="0070C0"/>
            </a:solidFill>
            <a:latin typeface="+mn-lt"/>
            <a:ea typeface="+mn-ea"/>
            <a:cs typeface="+mn-cs"/>
          </a:endParaRPr>
        </a:p>
      </xdr:txBody>
    </xdr:sp>
    <xdr:clientData/>
  </xdr:twoCellAnchor>
  <xdr:twoCellAnchor editAs="oneCell">
    <xdr:from>
      <xdr:col>25</xdr:col>
      <xdr:colOff>387930</xdr:colOff>
      <xdr:row>26</xdr:row>
      <xdr:rowOff>31669</xdr:rowOff>
    </xdr:from>
    <xdr:to>
      <xdr:col>31</xdr:col>
      <xdr:colOff>79167</xdr:colOff>
      <xdr:row>34</xdr:row>
      <xdr:rowOff>120733</xdr:rowOff>
    </xdr:to>
    <mc:AlternateContent xmlns:mc="http://schemas.openxmlformats.org/markup-compatibility/2006">
      <mc:Choice xmlns:a14="http://schemas.microsoft.com/office/drawing/2010/main" Requires="a14">
        <xdr:graphicFrame macro="">
          <xdr:nvGraphicFramePr>
            <xdr:cNvPr id="39" name="Marketing_Channel">
              <a:extLst>
                <a:ext uri="{FF2B5EF4-FFF2-40B4-BE49-F238E27FC236}">
                  <a16:creationId xmlns:a16="http://schemas.microsoft.com/office/drawing/2014/main" id="{F933D36D-E030-47B5-8705-F3142E45E3E2}"/>
                </a:ext>
              </a:extLst>
            </xdr:cNvPr>
            <xdr:cNvGraphicFramePr/>
          </xdr:nvGraphicFramePr>
          <xdr:xfrm>
            <a:off x="0" y="0"/>
            <a:ext cx="0" cy="0"/>
          </xdr:xfrm>
          <a:graphic>
            <a:graphicData uri="http://schemas.microsoft.com/office/drawing/2010/slicer">
              <sle:slicer xmlns:sle="http://schemas.microsoft.com/office/drawing/2010/slicer" name="Marketing_Channel"/>
            </a:graphicData>
          </a:graphic>
        </xdr:graphicFrame>
      </mc:Choice>
      <mc:Fallback>
        <xdr:sp macro="" textlink="">
          <xdr:nvSpPr>
            <xdr:cNvPr id="0" name=""/>
            <xdr:cNvSpPr>
              <a:spLocks noTextEdit="1"/>
            </xdr:cNvSpPr>
          </xdr:nvSpPr>
          <xdr:spPr>
            <a:xfrm>
              <a:off x="16716503" y="4984669"/>
              <a:ext cx="3610092" cy="1613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391888</xdr:colOff>
      <xdr:row>16</xdr:row>
      <xdr:rowOff>184071</xdr:rowOff>
    </xdr:from>
    <xdr:to>
      <xdr:col>31</xdr:col>
      <xdr:colOff>79168</xdr:colOff>
      <xdr:row>26</xdr:row>
      <xdr:rowOff>41568</xdr:rowOff>
    </xdr:to>
    <mc:AlternateContent xmlns:mc="http://schemas.openxmlformats.org/markup-compatibility/2006">
      <mc:Choice xmlns:a14="http://schemas.microsoft.com/office/drawing/2010/main" Requires="a14">
        <xdr:graphicFrame macro="">
          <xdr:nvGraphicFramePr>
            <xdr:cNvPr id="40" name="Location">
              <a:extLst>
                <a:ext uri="{FF2B5EF4-FFF2-40B4-BE49-F238E27FC236}">
                  <a16:creationId xmlns:a16="http://schemas.microsoft.com/office/drawing/2014/main" id="{867CA474-62DA-4578-A13D-D55FAAE9868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6720461" y="3232071"/>
              <a:ext cx="3606135" cy="1762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385949</xdr:colOff>
      <xdr:row>7</xdr:row>
      <xdr:rowOff>49480</xdr:rowOff>
    </xdr:from>
    <xdr:to>
      <xdr:col>31</xdr:col>
      <xdr:colOff>89065</xdr:colOff>
      <xdr:row>17</xdr:row>
      <xdr:rowOff>1979</xdr:rowOff>
    </xdr:to>
    <mc:AlternateContent xmlns:mc="http://schemas.openxmlformats.org/markup-compatibility/2006">
      <mc:Choice xmlns:a14="http://schemas.microsoft.com/office/drawing/2010/main" Requires="a14">
        <xdr:graphicFrame macro="">
          <xdr:nvGraphicFramePr>
            <xdr:cNvPr id="41" name="Age_Group">
              <a:extLst>
                <a:ext uri="{FF2B5EF4-FFF2-40B4-BE49-F238E27FC236}">
                  <a16:creationId xmlns:a16="http://schemas.microsoft.com/office/drawing/2014/main" id="{78BE3556-44E1-49AC-9B0B-B857D1854F66}"/>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16714522" y="1382980"/>
              <a:ext cx="3621971" cy="1857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380011</xdr:colOff>
      <xdr:row>34</xdr:row>
      <xdr:rowOff>122711</xdr:rowOff>
    </xdr:from>
    <xdr:to>
      <xdr:col>31</xdr:col>
      <xdr:colOff>89065</xdr:colOff>
      <xdr:row>41</xdr:row>
      <xdr:rowOff>174173</xdr:rowOff>
    </xdr:to>
    <mc:AlternateContent xmlns:mc="http://schemas.openxmlformats.org/markup-compatibility/2006">
      <mc:Choice xmlns:a14="http://schemas.microsoft.com/office/drawing/2010/main" Requires="a14">
        <xdr:graphicFrame macro="">
          <xdr:nvGraphicFramePr>
            <xdr:cNvPr id="42" name="Gender">
              <a:extLst>
                <a:ext uri="{FF2B5EF4-FFF2-40B4-BE49-F238E27FC236}">
                  <a16:creationId xmlns:a16="http://schemas.microsoft.com/office/drawing/2014/main" id="{E4737BA8-FC12-422D-871C-A01C5A99E81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708584" y="6599711"/>
              <a:ext cx="3627909" cy="1384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zo" refreshedDate="46289.965394907405" createdVersion="5" refreshedVersion="8" minRefreshableVersion="3" recordCount="2000" xr:uid="{00000000-000A-0000-FFFF-FFFF00000000}">
  <cacheSource type="worksheet">
    <worksheetSource name="Table1"/>
  </cacheSource>
  <cacheFields count="38">
    <cacheField name="Campaign_ID" numFmtId="0">
      <sharedItems/>
    </cacheField>
    <cacheField name="Campaign_Name" numFmtId="0">
      <sharedItems/>
    </cacheField>
    <cacheField name="Marketing_Channel" numFmtId="0">
      <sharedItems count="4">
        <s v="Influencer Marketing"/>
        <s v="Paid Ads"/>
        <s v="Email"/>
        <s v="Social Media"/>
      </sharedItems>
    </cacheField>
    <cacheField name="Start_Date" numFmtId="165">
      <sharedItems containsSemiMixedTypes="0" containsNonDate="0" containsDate="1" containsString="0" minDate="2022-05-11T00:00:00" maxDate="2023-03-06T00:00:00" count="299">
        <d v="2022-08-01T00:00:00"/>
        <d v="2022-09-18T00:00:00"/>
        <d v="2022-07-26T00:00:00"/>
        <d v="2022-08-21T00:00:00"/>
        <d v="2023-03-04T00:00:00"/>
        <d v="2023-01-02T00:00:00"/>
        <d v="2022-07-31T00:00:00"/>
        <d v="2022-05-18T00:00:00"/>
        <d v="2023-01-16T00:00:00"/>
        <d v="2022-09-28T00:00:00"/>
        <d v="2022-05-11T00:00:00"/>
        <d v="2023-02-15T00:00:00"/>
        <d v="2023-01-06T00:00:00"/>
        <d v="2022-08-22T00:00:00"/>
        <d v="2022-12-12T00:00:00"/>
        <d v="2022-06-18T00:00:00"/>
        <d v="2022-10-25T00:00:00"/>
        <d v="2022-08-20T00:00:00"/>
        <d v="2022-11-27T00:00:00"/>
        <d v="2022-11-28T00:00:00"/>
        <d v="2022-12-19T00:00:00"/>
        <d v="2022-10-27T00:00:00"/>
        <d v="2023-01-20T00:00:00"/>
        <d v="2023-02-19T00:00:00"/>
        <d v="2022-07-07T00:00:00"/>
        <d v="2023-03-01T00:00:00"/>
        <d v="2022-12-25T00:00:00"/>
        <d v="2022-07-16T00:00:00"/>
        <d v="2022-06-10T00:00:00"/>
        <d v="2023-02-07T00:00:00"/>
        <d v="2022-12-07T00:00:00"/>
        <d v="2023-02-22T00:00:00"/>
        <d v="2022-05-15T00:00:00"/>
        <d v="2022-10-06T00:00:00"/>
        <d v="2022-08-24T00:00:00"/>
        <d v="2023-02-21T00:00:00"/>
        <d v="2022-05-23T00:00:00"/>
        <d v="2023-02-26T00:00:00"/>
        <d v="2022-12-30T00:00:00"/>
        <d v="2022-09-05T00:00:00"/>
        <d v="2022-05-26T00:00:00"/>
        <d v="2023-01-31T00:00:00"/>
        <d v="2022-08-08T00:00:00"/>
        <d v="2022-07-01T00:00:00"/>
        <d v="2023-01-09T00:00:00"/>
        <d v="2022-10-16T00:00:00"/>
        <d v="2022-09-22T00:00:00"/>
        <d v="2022-09-29T00:00:00"/>
        <d v="2022-12-16T00:00:00"/>
        <d v="2022-07-02T00:00:00"/>
        <d v="2022-10-09T00:00:00"/>
        <d v="2022-12-26T00:00:00"/>
        <d v="2022-05-25T00:00:00"/>
        <d v="2022-10-17T00:00:00"/>
        <d v="2022-09-26T00:00:00"/>
        <d v="2022-12-05T00:00:00"/>
        <d v="2023-01-26T00:00:00"/>
        <d v="2023-02-05T00:00:00"/>
        <d v="2023-03-03T00:00:00"/>
        <d v="2022-08-28T00:00:00"/>
        <d v="2023-01-08T00:00:00"/>
        <d v="2022-06-21T00:00:00"/>
        <d v="2022-08-07T00:00:00"/>
        <d v="2022-10-10T00:00:00"/>
        <d v="2022-06-27T00:00:00"/>
        <d v="2022-07-15T00:00:00"/>
        <d v="2023-02-27T00:00:00"/>
        <d v="2022-08-17T00:00:00"/>
        <d v="2022-08-04T00:00:00"/>
        <d v="2023-03-05T00:00:00"/>
        <d v="2022-07-28T00:00:00"/>
        <d v="2022-10-26T00:00:00"/>
        <d v="2022-11-24T00:00:00"/>
        <d v="2023-02-18T00:00:00"/>
        <d v="2022-11-07T00:00:00"/>
        <d v="2023-02-09T00:00:00"/>
        <d v="2023-02-03T00:00:00"/>
        <d v="2022-07-17T00:00:00"/>
        <d v="2023-01-04T00:00:00"/>
        <d v="2022-10-19T00:00:00"/>
        <d v="2023-02-28T00:00:00"/>
        <d v="2022-05-12T00:00:00"/>
        <d v="2022-12-14T00:00:00"/>
        <d v="2022-11-11T00:00:00"/>
        <d v="2022-10-21T00:00:00"/>
        <d v="2022-11-26T00:00:00"/>
        <d v="2023-01-01T00:00:00"/>
        <d v="2022-06-15T00:00:00"/>
        <d v="2023-02-08T00:00:00"/>
        <d v="2022-06-17T00:00:00"/>
        <d v="2022-11-30T00:00:00"/>
        <d v="2022-10-12T00:00:00"/>
        <d v="2022-10-29T00:00:00"/>
        <d v="2022-08-12T00:00:00"/>
        <d v="2022-08-30T00:00:00"/>
        <d v="2022-06-01T00:00:00"/>
        <d v="2022-06-13T00:00:00"/>
        <d v="2023-02-01T00:00:00"/>
        <d v="2023-02-02T00:00:00"/>
        <d v="2022-10-03T00:00:00"/>
        <d v="2022-05-24T00:00:00"/>
        <d v="2022-09-25T00:00:00"/>
        <d v="2022-06-14T00:00:00"/>
        <d v="2022-11-08T00:00:00"/>
        <d v="2022-09-02T00:00:00"/>
        <d v="2023-01-30T00:00:00"/>
        <d v="2022-12-29T00:00:00"/>
        <d v="2022-06-08T00:00:00"/>
        <d v="2022-10-30T00:00:00"/>
        <d v="2023-01-22T00:00:00"/>
        <d v="2022-10-07T00:00:00"/>
        <d v="2022-12-21T00:00:00"/>
        <d v="2023-01-29T00:00:00"/>
        <d v="2022-08-13T00:00:00"/>
        <d v="2022-05-27T00:00:00"/>
        <d v="2022-11-02T00:00:00"/>
        <d v="2022-12-02T00:00:00"/>
        <d v="2022-07-11T00:00:00"/>
        <d v="2022-12-01T00:00:00"/>
        <d v="2022-10-14T00:00:00"/>
        <d v="2022-06-28T00:00:00"/>
        <d v="2022-06-19T00:00:00"/>
        <d v="2022-06-06T00:00:00"/>
        <d v="2022-07-23T00:00:00"/>
        <d v="2022-11-20T00:00:00"/>
        <d v="2022-05-21T00:00:00"/>
        <d v="2022-08-16T00:00:00"/>
        <d v="2023-01-23T00:00:00"/>
        <d v="2023-01-27T00:00:00"/>
        <d v="2023-02-10T00:00:00"/>
        <d v="2022-07-24T00:00:00"/>
        <d v="2022-09-08T00:00:00"/>
        <d v="2022-08-11T00:00:00"/>
        <d v="2022-12-28T00:00:00"/>
        <d v="2022-11-17T00:00:00"/>
        <d v="2023-01-28T00:00:00"/>
        <d v="2022-07-30T00:00:00"/>
        <d v="2022-09-27T00:00:00"/>
        <d v="2022-06-02T00:00:00"/>
        <d v="2022-09-21T00:00:00"/>
        <d v="2023-01-12T00:00:00"/>
        <d v="2022-09-30T00:00:00"/>
        <d v="2022-06-07T00:00:00"/>
        <d v="2022-11-21T00:00:00"/>
        <d v="2022-08-02T00:00:00"/>
        <d v="2022-12-06T00:00:00"/>
        <d v="2022-07-12T00:00:00"/>
        <d v="2022-11-01T00:00:00"/>
        <d v="2022-05-19T00:00:00"/>
        <d v="2022-08-18T00:00:00"/>
        <d v="2023-01-13T00:00:00"/>
        <d v="2023-01-03T00:00:00"/>
        <d v="2022-11-22T00:00:00"/>
        <d v="2022-08-26T00:00:00"/>
        <d v="2022-06-16T00:00:00"/>
        <d v="2022-09-07T00:00:00"/>
        <d v="2023-02-14T00:00:00"/>
        <d v="2023-01-25T00:00:00"/>
        <d v="2023-01-17T00:00:00"/>
        <d v="2022-11-16T00:00:00"/>
        <d v="2022-11-29T00:00:00"/>
        <d v="2023-01-11T00:00:00"/>
        <d v="2023-02-25T00:00:00"/>
        <d v="2022-06-04T00:00:00"/>
        <d v="2022-07-03T00:00:00"/>
        <d v="2022-09-20T00:00:00"/>
        <d v="2022-08-19T00:00:00"/>
        <d v="2022-05-17T00:00:00"/>
        <d v="2022-10-24T00:00:00"/>
        <d v="2022-05-28T00:00:00"/>
        <d v="2022-08-14T00:00:00"/>
        <d v="2022-09-01T00:00:00"/>
        <d v="2022-06-05T00:00:00"/>
        <d v="2022-11-13T00:00:00"/>
        <d v="2022-09-12T00:00:00"/>
        <d v="2022-08-05T00:00:00"/>
        <d v="2022-12-11T00:00:00"/>
        <d v="2022-10-11T00:00:00"/>
        <d v="2022-07-09T00:00:00"/>
        <d v="2022-07-22T00:00:00"/>
        <d v="2023-01-24T00:00:00"/>
        <d v="2022-12-31T00:00:00"/>
        <d v="2022-11-15T00:00:00"/>
        <d v="2022-11-09T00:00:00"/>
        <d v="2022-12-18T00:00:00"/>
        <d v="2023-02-13T00:00:00"/>
        <d v="2022-09-16T00:00:00"/>
        <d v="2022-11-19T00:00:00"/>
        <d v="2022-05-14T00:00:00"/>
        <d v="2023-01-21T00:00:00"/>
        <d v="2022-08-27T00:00:00"/>
        <d v="2022-10-15T00:00:00"/>
        <d v="2022-05-22T00:00:00"/>
        <d v="2022-09-13T00:00:00"/>
        <d v="2022-05-31T00:00:00"/>
        <d v="2022-07-29T00:00:00"/>
        <d v="2023-02-23T00:00:00"/>
        <d v="2022-12-09T00:00:00"/>
        <d v="2022-08-10T00:00:00"/>
        <d v="2022-10-31T00:00:00"/>
        <d v="2022-11-03T00:00:00"/>
        <d v="2022-07-19T00:00:00"/>
        <d v="2022-10-02T00:00:00"/>
        <d v="2022-10-20T00:00:00"/>
        <d v="2023-03-02T00:00:00"/>
        <d v="2022-10-28T00:00:00"/>
        <d v="2022-06-24T00:00:00"/>
        <d v="2022-10-04T00:00:00"/>
        <d v="2022-09-23T00:00:00"/>
        <d v="2022-08-15T00:00:00"/>
        <d v="2022-07-13T00:00:00"/>
        <d v="2023-02-20T00:00:00"/>
        <d v="2023-01-07T00:00:00"/>
        <d v="2022-10-08T00:00:00"/>
        <d v="2022-10-23T00:00:00"/>
        <d v="2022-06-26T00:00:00"/>
        <d v="2022-06-22T00:00:00"/>
        <d v="2022-11-05T00:00:00"/>
        <d v="2022-05-30T00:00:00"/>
        <d v="2022-05-16T00:00:00"/>
        <d v="2022-07-14T00:00:00"/>
        <d v="2022-07-06T00:00:00"/>
        <d v="2022-06-12T00:00:00"/>
        <d v="2022-11-25T00:00:00"/>
        <d v="2023-01-19T00:00:00"/>
        <d v="2022-08-25T00:00:00"/>
        <d v="2022-05-13T00:00:00"/>
        <d v="2023-02-16T00:00:00"/>
        <d v="2022-10-18T00:00:00"/>
        <d v="2022-09-10T00:00:00"/>
        <d v="2022-11-04T00:00:00"/>
        <d v="2022-06-30T00:00:00"/>
        <d v="2023-02-11T00:00:00"/>
        <d v="2022-10-01T00:00:00"/>
        <d v="2023-01-18T00:00:00"/>
        <d v="2022-08-29T00:00:00"/>
        <d v="2023-02-24T00:00:00"/>
        <d v="2022-09-06T00:00:00"/>
        <d v="2022-12-08T00:00:00"/>
        <d v="2022-12-10T00:00:00"/>
        <d v="2022-12-03T00:00:00"/>
        <d v="2022-05-20T00:00:00"/>
        <d v="2022-06-09T00:00:00"/>
        <d v="2023-01-15T00:00:00"/>
        <d v="2022-08-06T00:00:00"/>
        <d v="2022-07-21T00:00:00"/>
        <d v="2022-11-12T00:00:00"/>
        <d v="2022-09-17T00:00:00"/>
        <d v="2022-08-23T00:00:00"/>
        <d v="2022-07-05T00:00:00"/>
        <d v="2022-11-06T00:00:00"/>
        <d v="2022-06-29T00:00:00"/>
        <d v="2022-11-18T00:00:00"/>
        <d v="2022-12-15T00:00:00"/>
        <d v="2022-05-29T00:00:00"/>
        <d v="2022-10-05T00:00:00"/>
        <d v="2022-11-14T00:00:00"/>
        <d v="2022-08-09T00:00:00"/>
        <d v="2022-07-10T00:00:00"/>
        <d v="2022-09-24T00:00:00"/>
        <d v="2022-12-23T00:00:00"/>
        <d v="2023-02-06T00:00:00"/>
        <d v="2022-12-13T00:00:00"/>
        <d v="2022-09-14T00:00:00"/>
        <d v="2022-12-04T00:00:00"/>
        <d v="2023-01-05T00:00:00"/>
        <d v="2022-09-04T00:00:00"/>
        <d v="2022-08-03T00:00:00"/>
        <d v="2023-01-14T00:00:00"/>
        <d v="2022-07-20T00:00:00"/>
        <d v="2022-06-11T00:00:00"/>
        <d v="2022-09-03T00:00:00"/>
        <d v="2023-02-12T00:00:00"/>
        <d v="2022-12-27T00:00:00"/>
        <d v="2022-10-22T00:00:00"/>
        <d v="2022-07-25T00:00:00"/>
        <d v="2022-09-11T00:00:00"/>
        <d v="2022-07-04T00:00:00"/>
        <d v="2022-07-18T00:00:00"/>
        <d v="2022-12-24T00:00:00"/>
        <d v="2022-11-10T00:00:00"/>
        <d v="2022-06-20T00:00:00"/>
        <d v="2022-09-19T00:00:00"/>
        <d v="2023-02-04T00:00:00"/>
        <d v="2023-01-10T00:00:00"/>
        <d v="2022-07-08T00:00:00"/>
        <d v="2022-10-13T00:00:00"/>
        <d v="2022-09-09T00:00:00"/>
        <d v="2022-06-23T00:00:00"/>
        <d v="2022-12-22T00:00:00"/>
        <d v="2022-07-27T00:00:00"/>
        <d v="2022-06-25T00:00:00"/>
        <d v="2023-02-17T00:00:00"/>
        <d v="2022-06-03T00:00:00"/>
        <d v="2022-12-17T00:00:00"/>
        <d v="2022-12-20T00:00:00"/>
        <d v="2022-11-23T00:00:00"/>
        <d v="2022-08-31T00:00:00"/>
        <d v="2022-09-15T00:00:00"/>
      </sharedItems>
      <fieldGroup par="34"/>
    </cacheField>
    <cacheField name="End_Date" numFmtId="165">
      <sharedItems containsSemiMixedTypes="0" containsNonDate="0" containsDate="1" containsString="0" minDate="2024-01-06T00:00:00" maxDate="2024-11-24T00:00:00"/>
    </cacheField>
    <cacheField name="Impressions" numFmtId="1">
      <sharedItems containsSemiMixedTypes="0" containsString="0" containsNumber="1" minValue="1619.2" maxValue="79894.399999999994"/>
    </cacheField>
    <cacheField name="Clicks" numFmtId="1">
      <sharedItems containsSemiMixedTypes="0" containsString="0" containsNumber="1" minValue="169.6" maxValue="77414.399999999994"/>
    </cacheField>
    <cacheField name="Conversions" numFmtId="1">
      <sharedItems containsSemiMixedTypes="0" containsString="0" containsNumber="1" minValue="3.2" maxValue="70790.399999999994"/>
    </cacheField>
    <cacheField name="Total_Spend" numFmtId="0">
      <sharedItems containsSemiMixedTypes="0" containsString="0" containsNumber="1" minValue="161.04" maxValue="7999.6639999999998"/>
    </cacheField>
    <cacheField name="Revenue_Generated" numFmtId="0">
      <sharedItems containsSemiMixedTypes="0" containsString="0" containsNumber="1" minValue="237.72800000000001" maxValue="31791.344000000001"/>
    </cacheField>
    <cacheField name="Location" numFmtId="0">
      <sharedItems count="5">
        <s v="Baia Mare"/>
        <s v="Galați"/>
        <s v="Bacău"/>
        <s v="Târgu Mureș"/>
        <s v="Suceava"/>
      </sharedItems>
    </cacheField>
    <cacheField name="Age_Group" numFmtId="0">
      <sharedItems count="5">
        <s v="25-34"/>
        <s v="45-54"/>
        <s v="18-24"/>
        <s v="55+"/>
        <s v="35-44"/>
      </sharedItems>
    </cacheField>
    <cacheField name="Gender" numFmtId="0">
      <sharedItems count="2">
        <s v="Male"/>
        <s v="Female"/>
      </sharedItems>
    </cacheField>
    <cacheField name="CTR" numFmtId="9">
      <sharedItems containsSemiMixedTypes="0" containsString="0" containsNumber="1" minValue="4.3156828160768601E-3" maxValue="0.99979253112033195"/>
    </cacheField>
    <cacheField name="CVR" numFmtId="9">
      <sharedItems containsSemiMixedTypes="0" containsString="0" containsNumber="1" minValue="2.97885016383676E-4" maxValue="0.99985043374214799"/>
    </cacheField>
    <cacheField name="CPC" numFmtId="8">
      <sharedItems containsSemiMixedTypes="0" containsString="0" containsNumber="1" minValue="4.0793375698055098E-3" maxValue="37.082413793103399"/>
    </cacheField>
    <cacheField name="CPA" numFmtId="8">
      <sharedItems containsSemiMixedTypes="0" containsString="0" containsNumber="1" minValue="4.9798241821588096E-3" maxValue="2499.2199999999998"/>
    </cacheField>
    <cacheField name="ROI" numFmtId="9">
      <sharedItems containsSemiMixedTypes="0" containsString="0" containsNumber="1" minValue="0.20015785319652701" maxValue="2.9978772810920198"/>
    </cacheField>
    <cacheField name="ROAS" numFmtId="9">
      <sharedItems containsSemiMixedTypes="0" containsString="0" containsNumber="1" minValue="1.20015785319653" maxValue="3.9978772810920198"/>
    </cacheField>
    <cacheField name="CTR " numFmtId="0" formula="Clicks/Impressions" databaseField="0"/>
    <cacheField name="CPC " numFmtId="0" formula="Total_Spend/Clicks" databaseField="0"/>
    <cacheField name="Age_Group ROAS" numFmtId="0" formula="Revenue_Generated/Total_Spend" databaseField="0"/>
    <cacheField name="Channel ROAS" numFmtId="0" formula="Revenue_Generated/Total_Spend" databaseField="0"/>
    <cacheField name="Channel CVR" numFmtId="0" formula="Conversions/Clicks" databaseField="0"/>
    <cacheField name="Age_Group CVR" numFmtId="0" formula="Conversions/Clicks" databaseField="0"/>
    <cacheField name="Gender CVR" numFmtId="0" formula="Conversions/Clicks" databaseField="0"/>
    <cacheField name="Gender ROAS" numFmtId="0" formula="Revenue_Generated/Total_Spend" databaseField="0"/>
    <cacheField name="Location CVR" numFmtId="0" formula="Conversions/Clicks" databaseField="0"/>
    <cacheField name="ROAS 2" numFmtId="0" formula="Revenue_Generated/Total_Spend" databaseField="0"/>
    <cacheField name="G_Ch CVR" numFmtId="0" formula="Conversions/Clicks" databaseField="0"/>
    <cacheField name="G_Ch ROAS" numFmtId="0" formula="Revenue_Generated/Total_Spend" databaseField="0"/>
    <cacheField name="T CVR " numFmtId="0" formula="Conversions/Clicks" databaseField="0"/>
    <cacheField name="T ROAS " numFmtId="0" formula="Revenue_Generated/Total_Spend" databaseField="0"/>
    <cacheField name="Months (Start_Date)" numFmtId="0" databaseField="0">
      <fieldGroup base="3">
        <rangePr groupBy="months" startDate="2022-05-11T00:00:00" endDate="2023-03-06T00:00:00"/>
        <groupItems count="14">
          <s v="&lt;5/11/2022"/>
          <s v="Jan"/>
          <s v="Feb"/>
          <s v="Mar"/>
          <s v="Apr"/>
          <s v="May"/>
          <s v="Jun"/>
          <s v="Jul"/>
          <s v="Aug"/>
          <s v="Sep"/>
          <s v="Oct"/>
          <s v="Nov"/>
          <s v="Dec"/>
          <s v="&gt;3/6/2023"/>
        </groupItems>
      </fieldGroup>
    </cacheField>
    <cacheField name="Years (Start_Date)" numFmtId="0" databaseField="0">
      <fieldGroup base="3">
        <rangePr groupBy="years" startDate="2022-05-11T00:00:00" endDate="2023-03-06T00:00:00"/>
        <groupItems count="4">
          <s v="&lt;5/11/2022"/>
          <s v="2022"/>
          <s v="2023"/>
          <s v="&gt;3/6/2023"/>
        </groupItems>
      </fieldGroup>
    </cacheField>
    <cacheField name="CTR  " numFmtId="0" formula="Clicks/Impressions" databaseField="0"/>
    <cacheField name="Channel CVR " numFmtId="0" formula="Conversions/Clicks" databaseField="0"/>
    <cacheField name="Channel ROAS " numFmtId="0" formula="Revenue_Generated/Total_Spend" databaseField="0"/>
  </cacheFields>
  <extLst>
    <ext xmlns:x14="http://schemas.microsoft.com/office/spreadsheetml/2009/9/main" uri="{725AE2AE-9491-48be-B2B4-4EB974FC3084}">
      <x14:pivotCacheDefinition pivotCacheId="180336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CMP1"/>
    <s v="Seasonal Steals"/>
    <x v="0"/>
    <x v="0"/>
    <d v="2024-04-26T00:00:00"/>
    <n v="22068.799999999999"/>
    <n v="3283.2"/>
    <n v="2155.1999999999998"/>
    <n v="2316.6559999999999"/>
    <n v="8879.5679999999993"/>
    <x v="0"/>
    <x v="0"/>
    <x v="0"/>
    <n v="0.14877111578336799"/>
    <n v="0.65643274853801203"/>
    <n v="0.70560916179337196"/>
    <n v="1.0749146250927999"/>
    <n v="2.8329246983583198"/>
    <n v="3.8329246983583198"/>
  </r>
  <r>
    <s v="CMP2"/>
    <s v="Cart to Couch"/>
    <x v="0"/>
    <x v="1"/>
    <d v="2024-05-12T00:00:00"/>
    <n v="32849.599999999999"/>
    <n v="3307.2"/>
    <n v="3164.8"/>
    <n v="7114.1279999999997"/>
    <n v="17302.031999999999"/>
    <x v="0"/>
    <x v="0"/>
    <x v="0"/>
    <n v="0.100677024986606"/>
    <n v="0.95694242864054202"/>
    <n v="2.1511030478955"/>
    <n v="2.2478918099089999"/>
    <n v="1.43206644581036"/>
    <n v="2.43206644581036"/>
  </r>
  <r>
    <s v="CMP3"/>
    <s v="Deal of the Day"/>
    <x v="1"/>
    <x v="2"/>
    <d v="2024-04-07T00:00:00"/>
    <n v="12748.8"/>
    <n v="7494.4"/>
    <n v="7334.4"/>
    <n v="3358.4479999999999"/>
    <n v="4892.4160000000002"/>
    <x v="1"/>
    <x v="1"/>
    <x v="1"/>
    <n v="0.58785140562249005"/>
    <n v="0.97865072587531998"/>
    <n v="0.44812766865926601"/>
    <n v="0.45790357766143103"/>
    <n v="0.45674906980843499"/>
    <n v="1.45674906980844"/>
  </r>
  <r>
    <s v="CMP4"/>
    <s v="Shop &amp; Share"/>
    <x v="1"/>
    <x v="3"/>
    <d v="2024-04-26T00:00:00"/>
    <n v="40196.800000000003"/>
    <n v="21150.400000000001"/>
    <n v="3032"/>
    <n v="4426.9759999999997"/>
    <n v="16548.544000000002"/>
    <x v="1"/>
    <x v="2"/>
    <x v="0"/>
    <n v="0.52617123751144401"/>
    <n v="0.14335426280353999"/>
    <n v="0.209309327483168"/>
    <n v="1.4600844327176801"/>
    <n v="2.7381146859616998"/>
    <n v="3.7381146859616998"/>
  </r>
  <r>
    <s v="CMP5"/>
    <s v="Seasonal Steals"/>
    <x v="1"/>
    <x v="4"/>
    <d v="2024-11-04T00:00:00"/>
    <n v="4030.4"/>
    <n v="2806.4"/>
    <n v="2556.8000000000002"/>
    <n v="2331.7759999999998"/>
    <n v="3538.2240000000002"/>
    <x v="1"/>
    <x v="1"/>
    <x v="0"/>
    <n v="0.69630805875347401"/>
    <n v="0.91106043329532505"/>
    <n v="0.83087799315849498"/>
    <n v="0.911989987484355"/>
    <n v="0.51739446670692202"/>
    <n v="1.5173944667069199"/>
  </r>
  <r>
    <s v="CMP6"/>
    <s v="Seasonal Steals"/>
    <x v="0"/>
    <x v="5"/>
    <d v="2024-09-17T00:00:00"/>
    <n v="76406.399999999994"/>
    <n v="41544"/>
    <n v="31019.200000000001"/>
    <n v="169.47200000000001"/>
    <n v="559.84"/>
    <x v="2"/>
    <x v="1"/>
    <x v="0"/>
    <n v="0.54372408594044497"/>
    <n v="0.74665896398998699"/>
    <n v="4.0793375698055098E-3"/>
    <n v="5.4634548924537103E-3"/>
    <n v="2.3034365558912402"/>
    <n v="3.3034365558912402"/>
  </r>
  <r>
    <s v="CMP7"/>
    <s v="Wishlist Wonders"/>
    <x v="2"/>
    <x v="6"/>
    <d v="2024-03-26T00:00:00"/>
    <n v="23641.599999999999"/>
    <n v="20963.2"/>
    <n v="20100.8"/>
    <n v="7501.0240000000003"/>
    <n v="10119.791999999999"/>
    <x v="2"/>
    <x v="1"/>
    <x v="0"/>
    <n v="0.88670817541959901"/>
    <n v="0.95886124255838801"/>
    <n v="0.35781865364066601"/>
    <n v="0.37317042107776799"/>
    <n v="0.34912139995819202"/>
    <n v="1.3491213999581899"/>
  </r>
  <r>
    <s v="CMP8"/>
    <s v="Seasonal Steals"/>
    <x v="0"/>
    <x v="7"/>
    <d v="2024-01-20T00:00:00"/>
    <n v="59968"/>
    <n v="57536"/>
    <n v="51075.199999999997"/>
    <n v="7622.88"/>
    <n v="16616.815999999999"/>
    <x v="3"/>
    <x v="3"/>
    <x v="0"/>
    <n v="0.95944503735325504"/>
    <n v="0.887708565072303"/>
    <n v="0.132488876529477"/>
    <n v="0.14924816740805699"/>
    <n v="1.1798606301030601"/>
    <n v="2.1798606301030601"/>
  </r>
  <r>
    <s v="CMP9"/>
    <s v="Cart to Couch"/>
    <x v="2"/>
    <x v="8"/>
    <d v="2024-10-04T00:00:00"/>
    <n v="18625.599999999999"/>
    <n v="11414.4"/>
    <n v="7296"/>
    <n v="2765.6320000000001"/>
    <n v="9446.56"/>
    <x v="1"/>
    <x v="2"/>
    <x v="1"/>
    <n v="0.612833948973456"/>
    <n v="0.63919259882253998"/>
    <n v="0.24229324362209101"/>
    <n v="0.37906140350877199"/>
    <n v="2.41569666535533"/>
    <n v="3.41569666535533"/>
  </r>
  <r>
    <s v="CMP10"/>
    <s v="Flash Sale Frenzy"/>
    <x v="3"/>
    <x v="7"/>
    <d v="2024-01-26T00:00:00"/>
    <n v="67654.399999999994"/>
    <n v="8792"/>
    <n v="294.39999999999998"/>
    <n v="1008.992"/>
    <n v="3153.4879999999998"/>
    <x v="3"/>
    <x v="1"/>
    <x v="1"/>
    <n v="0.12995459275376001"/>
    <n v="3.3484986351228402E-2"/>
    <n v="0.114762511373976"/>
    <n v="3.4272826086956498"/>
    <n v="2.1253845421965698"/>
    <n v="3.1253845421965698"/>
  </r>
  <r>
    <s v="CMP11"/>
    <s v="Wishlist Wonders"/>
    <x v="0"/>
    <x v="9"/>
    <d v="2024-05-23T00:00:00"/>
    <n v="17712"/>
    <n v="16457.599999999999"/>
    <n v="12174.4"/>
    <n v="7745.5360000000001"/>
    <n v="28954"/>
    <x v="1"/>
    <x v="4"/>
    <x v="0"/>
    <n v="0.92917795844625095"/>
    <n v="0.73974334046276502"/>
    <n v="0.47063581567178697"/>
    <n v="0.636215008542515"/>
    <n v="2.7381531762295102"/>
    <n v="3.7381531762295102"/>
  </r>
  <r>
    <s v="CMP12"/>
    <s v="Deal of the Day"/>
    <x v="0"/>
    <x v="10"/>
    <d v="2024-01-15T00:00:00"/>
    <n v="68145.600000000006"/>
    <n v="51972.800000000003"/>
    <n v="46969.599999999999"/>
    <n v="2790.0320000000002"/>
    <n v="7765.0879999999997"/>
    <x v="2"/>
    <x v="3"/>
    <x v="0"/>
    <n v="0.76267286515930599"/>
    <n v="0.90373426099805998"/>
    <n v="5.36825416371641E-2"/>
    <n v="5.9400803924240402E-2"/>
    <n v="1.7831537416058301"/>
    <n v="2.7831537416058301"/>
  </r>
  <r>
    <s v="CMP13"/>
    <s v="Cart to Couch"/>
    <x v="0"/>
    <x v="11"/>
    <d v="2024-11-05T00:00:00"/>
    <n v="31806.400000000001"/>
    <n v="2144"/>
    <n v="902.4"/>
    <n v="2035.2639999999999"/>
    <n v="6360.4639999999999"/>
    <x v="0"/>
    <x v="4"/>
    <x v="0"/>
    <n v="6.7407817294632494E-2"/>
    <n v="0.42089552238805999"/>
    <n v="0.94928358208955199"/>
    <n v="2.2553900709219898"/>
    <n v="2.1251297129021101"/>
    <n v="3.1251297129021101"/>
  </r>
  <r>
    <s v="CMP14"/>
    <s v="Seasonal Steals"/>
    <x v="0"/>
    <x v="12"/>
    <d v="2024-09-23T00:00:00"/>
    <n v="19315.2"/>
    <n v="18401.599999999999"/>
    <n v="16984"/>
    <n v="2242.3519999999999"/>
    <n v="8380.2240000000002"/>
    <x v="0"/>
    <x v="4"/>
    <x v="1"/>
    <n v="0.95270046388336604"/>
    <n v="0.92296322058951397"/>
    <n v="0.12185636031649399"/>
    <n v="0.13202731983042901"/>
    <n v="2.7372473188865998"/>
    <n v="3.7372473188865998"/>
  </r>
  <r>
    <s v="CMP15"/>
    <s v="Wishlist Wonders"/>
    <x v="2"/>
    <x v="13"/>
    <d v="2024-04-21T00:00:00"/>
    <n v="19691.2"/>
    <n v="14049.6"/>
    <n v="4806.3999999999996"/>
    <n v="2096.944"/>
    <n v="5969.6639999999998"/>
    <x v="1"/>
    <x v="1"/>
    <x v="0"/>
    <n v="0.71349638417160999"/>
    <n v="0.34210226625669099"/>
    <n v="0.149252932467828"/>
    <n v="0.43628162450066599"/>
    <n v="1.84683997283666"/>
    <n v="2.8468399728366598"/>
  </r>
  <r>
    <s v="CMP16"/>
    <s v="Deal of the Day"/>
    <x v="0"/>
    <x v="14"/>
    <d v="2024-08-22T00:00:00"/>
    <n v="7153.6"/>
    <n v="4360"/>
    <n v="20.8"/>
    <n v="5106.6559999999999"/>
    <n v="8717.1039999999994"/>
    <x v="0"/>
    <x v="1"/>
    <x v="0"/>
    <n v="0.60948333706105995"/>
    <n v="4.7706422018348599E-3"/>
    <n v="1.17125137614679"/>
    <n v="245.51230769230801"/>
    <n v="0.70700826529141603"/>
    <n v="1.70700826529142"/>
  </r>
  <r>
    <s v="CMP17"/>
    <s v="Flash Sale Frenzy"/>
    <x v="3"/>
    <x v="15"/>
    <d v="2024-03-09T00:00:00"/>
    <n v="79350.399999999994"/>
    <n v="40524.800000000003"/>
    <n v="36595.199999999997"/>
    <n v="3631.5360000000001"/>
    <n v="11076.592000000001"/>
    <x v="2"/>
    <x v="4"/>
    <x v="1"/>
    <n v="0.51070694035568798"/>
    <n v="0.90303221730890704"/>
    <n v="8.9612681617182596E-2"/>
    <n v="9.9235309548793296E-2"/>
    <n v="2.0501121288622799"/>
    <n v="3.0501121288622799"/>
  </r>
  <r>
    <s v="CMP18"/>
    <s v="Flash Sale Frenzy"/>
    <x v="3"/>
    <x v="16"/>
    <d v="2024-07-13T00:00:00"/>
    <n v="48793.599999999999"/>
    <n v="30496"/>
    <n v="3577.6"/>
    <n v="6488.2879999999996"/>
    <n v="19607.952000000001"/>
    <x v="1"/>
    <x v="3"/>
    <x v="1"/>
    <n v="0.625"/>
    <n v="0.117313746065058"/>
    <n v="0.212758656873033"/>
    <n v="1.81358676207513"/>
    <n v="2.0220532750703999"/>
    <n v="3.0220532750703999"/>
  </r>
  <r>
    <s v="CMP19"/>
    <s v="Shop &amp; Share"/>
    <x v="2"/>
    <x v="17"/>
    <d v="2024-04-23T00:00:00"/>
    <n v="52612.800000000003"/>
    <n v="14624"/>
    <n v="2571.1999999999998"/>
    <n v="4529.3119999999999"/>
    <n v="18104.72"/>
    <x v="0"/>
    <x v="1"/>
    <x v="0"/>
    <n v="0.27795517440622802"/>
    <n v="0.17582056892778999"/>
    <n v="0.30971772428883998"/>
    <n v="1.7615556938394501"/>
    <n v="2.9972340169986098"/>
    <n v="3.9972340169986098"/>
  </r>
  <r>
    <s v="CMP20"/>
    <s v="Shop &amp; Share"/>
    <x v="2"/>
    <x v="18"/>
    <d v="2024-07-28T00:00:00"/>
    <n v="71241.600000000006"/>
    <n v="17339.2"/>
    <n v="2238.4"/>
    <n v="6193.2960000000003"/>
    <n v="16694.144"/>
    <x v="1"/>
    <x v="1"/>
    <x v="1"/>
    <n v="0.24338588689754301"/>
    <n v="0.12909476792470201"/>
    <n v="0.35718464519700999"/>
    <n v="2.7668406004288801"/>
    <n v="1.6955185090459099"/>
    <n v="2.6955185090459102"/>
  </r>
  <r>
    <s v="CMP21"/>
    <s v="Cart to Couch"/>
    <x v="2"/>
    <x v="19"/>
    <d v="2024-08-18T00:00:00"/>
    <n v="62779.199999999997"/>
    <n v="10782.4"/>
    <n v="3782.4"/>
    <n v="575.87199999999996"/>
    <n v="1391.92"/>
    <x v="3"/>
    <x v="3"/>
    <x v="0"/>
    <n v="0.17175115324821"/>
    <n v="0.35079388633328401"/>
    <n v="5.34085175842113E-2"/>
    <n v="0.15225042301184399"/>
    <n v="1.4170649033118501"/>
    <n v="2.4170649033118501"/>
  </r>
  <r>
    <s v="CMP22"/>
    <s v="Deal of the Day"/>
    <x v="3"/>
    <x v="20"/>
    <d v="2024-08-22T00:00:00"/>
    <n v="56281.599999999999"/>
    <n v="21192"/>
    <n v="18920"/>
    <n v="6141.2960000000003"/>
    <n v="23638.799999999999"/>
    <x v="0"/>
    <x v="4"/>
    <x v="1"/>
    <n v="0.37653513759381402"/>
    <n v="0.89278973197432998"/>
    <n v="0.28979312948282399"/>
    <n v="0.32459281183932298"/>
    <n v="2.84915496663896"/>
    <n v="3.84915496663896"/>
  </r>
  <r>
    <s v="CMP23"/>
    <s v="Shop &amp; Share"/>
    <x v="1"/>
    <x v="21"/>
    <d v="2024-06-25T00:00:00"/>
    <n v="45427.199999999997"/>
    <n v="20198.400000000001"/>
    <n v="764.8"/>
    <n v="274.03199999999998"/>
    <n v="932.06399999999996"/>
    <x v="3"/>
    <x v="4"/>
    <x v="0"/>
    <n v="0.44463229078613697"/>
    <n v="3.7864385297845402E-2"/>
    <n v="1.35670152091255E-2"/>
    <n v="0.35830543933054398"/>
    <n v="2.4012961989840602"/>
    <n v="3.4012961989840602"/>
  </r>
  <r>
    <s v="CMP24"/>
    <s v="Deal of the Day"/>
    <x v="1"/>
    <x v="22"/>
    <d v="2024-09-20T00:00:00"/>
    <n v="22196.799999999999"/>
    <n v="20416"/>
    <n v="15408"/>
    <n v="3144.0639999999999"/>
    <n v="11309.744000000001"/>
    <x v="0"/>
    <x v="4"/>
    <x v="0"/>
    <n v="0.91977221941901499"/>
    <n v="0.75470219435736696"/>
    <n v="0.154"/>
    <n v="0.20405399792315701"/>
    <n v="2.5971735944306502"/>
    <n v="3.5971735944306502"/>
  </r>
  <r>
    <s v="CMP25"/>
    <s v="Cart to Couch"/>
    <x v="0"/>
    <x v="23"/>
    <d v="2024-11-07T00:00:00"/>
    <n v="54289.599999999999"/>
    <n v="33793.599999999999"/>
    <n v="19043.2"/>
    <n v="3723.9360000000001"/>
    <n v="14057.808000000001"/>
    <x v="4"/>
    <x v="2"/>
    <x v="0"/>
    <n v="0.62246912852553704"/>
    <n v="0.56351498508593301"/>
    <n v="0.110196486908764"/>
    <n v="0.195552008065871"/>
    <n v="2.7749864659328201"/>
    <n v="3.7749864659328201"/>
  </r>
  <r>
    <s v="CMP26"/>
    <s v="Cart to Couch"/>
    <x v="1"/>
    <x v="24"/>
    <d v="2024-03-07T00:00:00"/>
    <n v="55606.400000000001"/>
    <n v="7427.2"/>
    <n v="2193.6"/>
    <n v="6996.7359999999999"/>
    <n v="14646.368"/>
    <x v="1"/>
    <x v="3"/>
    <x v="1"/>
    <n v="0.13356735915290299"/>
    <n v="0.295346833261525"/>
    <n v="0.94204222317966402"/>
    <n v="3.1896134208606899"/>
    <n v="1.0933143682997299"/>
    <n v="2.0933143682997302"/>
  </r>
  <r>
    <s v="CMP27"/>
    <s v="Cart to Couch"/>
    <x v="2"/>
    <x v="25"/>
    <d v="2024-10-28T00:00:00"/>
    <n v="73024"/>
    <n v="70976"/>
    <n v="68337.600000000006"/>
    <n v="2101.4560000000001"/>
    <n v="3769.68"/>
    <x v="1"/>
    <x v="0"/>
    <x v="1"/>
    <n v="0.97195442594215598"/>
    <n v="0.96282687105500497"/>
    <n v="2.9607980162308398E-2"/>
    <n v="3.0751094565802699E-2"/>
    <n v="0.79384198384358295"/>
    <n v="1.79384198384358"/>
  </r>
  <r>
    <s v="CMP28"/>
    <s v="Flash Sale Frenzy"/>
    <x v="3"/>
    <x v="26"/>
    <d v="2024-08-30T00:00:00"/>
    <n v="40072"/>
    <n v="5265.6"/>
    <n v="3145.6"/>
    <n v="1856.912"/>
    <n v="2793.712"/>
    <x v="3"/>
    <x v="3"/>
    <x v="0"/>
    <n v="0.131403473747255"/>
    <n v="0.59738681251899095"/>
    <n v="0.35264965056213898"/>
    <n v="0.59032044760935898"/>
    <n v="0.50449348165125796"/>
    <n v="1.5044934816512601"/>
  </r>
  <r>
    <s v="CMP29"/>
    <s v="Deal of the Day"/>
    <x v="1"/>
    <x v="27"/>
    <d v="2024-03-21T00:00:00"/>
    <n v="79264"/>
    <n v="29158.400000000001"/>
    <n v="17120"/>
    <n v="6980.9440000000004"/>
    <n v="17293.088"/>
    <x v="2"/>
    <x v="4"/>
    <x v="1"/>
    <n v="0.367864352038757"/>
    <n v="0.58713784021071103"/>
    <n v="0.23941450834065001"/>
    <n v="0.40776542056074799"/>
    <n v="1.47718474750693"/>
    <n v="2.47718474750693"/>
  </r>
  <r>
    <s v="CMP30"/>
    <s v="Shop &amp; Share"/>
    <x v="2"/>
    <x v="28"/>
    <d v="2024-02-16T00:00:00"/>
    <n v="58644.800000000003"/>
    <n v="45990.400000000001"/>
    <n v="37137.599999999999"/>
    <n v="3485.4079999999999"/>
    <n v="10232.656000000001"/>
    <x v="0"/>
    <x v="0"/>
    <x v="0"/>
    <n v="0.784219572749843"/>
    <n v="0.80750765377122202"/>
    <n v="7.5785555246312294E-2"/>
    <n v="9.3851191245530097E-2"/>
    <n v="1.9358560030848599"/>
    <n v="2.9358560030848602"/>
  </r>
  <r>
    <s v="CMP31"/>
    <s v="Cart to Couch"/>
    <x v="3"/>
    <x v="29"/>
    <d v="2024-10-22T00:00:00"/>
    <n v="32249.599999999999"/>
    <n v="22425.599999999999"/>
    <n v="5841.6"/>
    <n v="4420.9279999999999"/>
    <n v="9654.2880000000005"/>
    <x v="4"/>
    <x v="2"/>
    <x v="0"/>
    <n v="0.69537606667989704"/>
    <n v="0.26048801369863001"/>
    <n v="0.19713755707762601"/>
    <n v="0.75680087647219896"/>
    <n v="1.1837695615038299"/>
    <n v="2.1837695615038299"/>
  </r>
  <r>
    <s v="CMP32"/>
    <s v="Flash Sale Frenzy"/>
    <x v="1"/>
    <x v="30"/>
    <d v="2024-08-07T00:00:00"/>
    <n v="42822.400000000001"/>
    <n v="34635.199999999997"/>
    <n v="33246.400000000001"/>
    <n v="4084.48"/>
    <n v="15225.328"/>
    <x v="1"/>
    <x v="0"/>
    <x v="0"/>
    <n v="0.80881034225078496"/>
    <n v="0.95990206495126396"/>
    <n v="0.117928581327667"/>
    <n v="0.122854805332307"/>
    <n v="2.7276049827640199"/>
    <n v="3.7276049827640199"/>
  </r>
  <r>
    <s v="CMP33"/>
    <s v="Cart to Couch"/>
    <x v="0"/>
    <x v="31"/>
    <d v="2024-11-13T00:00:00"/>
    <n v="9080"/>
    <n v="4478.3999999999996"/>
    <n v="1833.6"/>
    <n v="4510.7359999999999"/>
    <n v="5924.9120000000003"/>
    <x v="0"/>
    <x v="3"/>
    <x v="1"/>
    <n v="0.49321585903083698"/>
    <n v="0.40943193997856397"/>
    <n v="1.0072204358699499"/>
    <n v="2.46004363001745"/>
    <n v="0.31351336012570902"/>
    <n v="1.3135133601257101"/>
  </r>
  <r>
    <s v="CMP34"/>
    <s v="Flash Sale Frenzy"/>
    <x v="0"/>
    <x v="32"/>
    <d v="2024-01-27T00:00:00"/>
    <n v="44702.400000000001"/>
    <n v="17478.400000000001"/>
    <n v="790.4"/>
    <n v="2041.5840000000001"/>
    <n v="4426.8320000000003"/>
    <x v="1"/>
    <x v="4"/>
    <x v="0"/>
    <n v="0.390994666953005"/>
    <n v="4.5221530574881E-2"/>
    <n v="0.116806114976199"/>
    <n v="2.58297570850202"/>
    <n v="1.1683320402197499"/>
    <n v="2.1683320402197501"/>
  </r>
  <r>
    <s v="CMP35"/>
    <s v="Wishlist Wonders"/>
    <x v="3"/>
    <x v="33"/>
    <d v="2024-06-24T00:00:00"/>
    <n v="3960"/>
    <n v="3411.2"/>
    <n v="2888"/>
    <n v="3153.3119999999999"/>
    <n v="11242.832"/>
    <x v="0"/>
    <x v="1"/>
    <x v="1"/>
    <n v="0.86141414141414097"/>
    <n v="0.84662288930581597"/>
    <n v="0.92439962476547799"/>
    <n v="1.09186703601108"/>
    <n v="2.5654042479779999"/>
    <n v="3.5654042479779999"/>
  </r>
  <r>
    <s v="CMP36"/>
    <s v="Wishlist Wonders"/>
    <x v="3"/>
    <x v="34"/>
    <d v="2024-05-11T00:00:00"/>
    <n v="11288"/>
    <n v="4686.3999999999996"/>
    <n v="1595.2"/>
    <n v="1040.3040000000001"/>
    <n v="2510.96"/>
    <x v="0"/>
    <x v="4"/>
    <x v="0"/>
    <n v="0.41516654854712998"/>
    <n v="0.340389211334927"/>
    <n v="0.221983612154319"/>
    <n v="0.65214643931795402"/>
    <n v="1.41367907842323"/>
    <n v="2.4136790784232298"/>
  </r>
  <r>
    <s v="CMP37"/>
    <s v="Shop &amp; Share"/>
    <x v="3"/>
    <x v="35"/>
    <d v="2024-10-26T00:00:00"/>
    <n v="44769.599999999999"/>
    <n v="7913.6"/>
    <n v="7825.6"/>
    <n v="2948.7040000000002"/>
    <n v="9967.4879999999994"/>
    <x v="3"/>
    <x v="3"/>
    <x v="0"/>
    <n v="0.176762803330832"/>
    <n v="0.98887990295188"/>
    <n v="0.372612211888395"/>
    <n v="0.37680228992026199"/>
    <n v="2.3802945293932498"/>
    <n v="3.3802945293932498"/>
  </r>
  <r>
    <s v="CMP38"/>
    <s v="Deal of the Day"/>
    <x v="2"/>
    <x v="36"/>
    <d v="2024-01-31T00:00:00"/>
    <n v="59278.400000000001"/>
    <n v="45878.400000000001"/>
    <n v="10750.4"/>
    <n v="4452.4639999999999"/>
    <n v="14085.04"/>
    <x v="4"/>
    <x v="2"/>
    <x v="1"/>
    <n v="0.77394801479122199"/>
    <n v="0.234323777638279"/>
    <n v="9.7049243216851502E-2"/>
    <n v="0.41416728679863102"/>
    <n v="2.1634259142802699"/>
    <n v="3.1634259142802699"/>
  </r>
  <r>
    <s v="CMP39"/>
    <s v="Seasonal Steals"/>
    <x v="0"/>
    <x v="37"/>
    <d v="2024-10-21T00:00:00"/>
    <n v="6028.8"/>
    <n v="3998.4"/>
    <n v="2931.2"/>
    <n v="5464.1120000000001"/>
    <n v="19566.464"/>
    <x v="4"/>
    <x v="0"/>
    <x v="1"/>
    <n v="0.66321656050955402"/>
    <n v="0.73309323729491804"/>
    <n v="1.3665746298519399"/>
    <n v="1.8641211790393"/>
    <n v="2.5809046373866402"/>
    <n v="3.5809046373866402"/>
  </r>
  <r>
    <s v="CMP40"/>
    <s v="Deal of the Day"/>
    <x v="0"/>
    <x v="38"/>
    <d v="2024-09-15T00:00:00"/>
    <n v="61148.800000000003"/>
    <n v="13182.4"/>
    <n v="10878.4"/>
    <n v="4695.6959999999999"/>
    <n v="15960.544"/>
    <x v="3"/>
    <x v="0"/>
    <x v="0"/>
    <n v="0.215579046522581"/>
    <n v="0.82522150746449796"/>
    <n v="0.35620949144313602"/>
    <n v="0.43165318429180799"/>
    <n v="2.39897301699258"/>
    <n v="3.39897301699258"/>
  </r>
  <r>
    <s v="CMP41"/>
    <s v="Cart to Couch"/>
    <x v="3"/>
    <x v="39"/>
    <d v="2024-05-18T00:00:00"/>
    <n v="21875.200000000001"/>
    <n v="8385.6"/>
    <n v="819.2"/>
    <n v="7198.8639999999996"/>
    <n v="20943.952000000001"/>
    <x v="4"/>
    <x v="4"/>
    <x v="1"/>
    <n v="0.38333820947922798"/>
    <n v="9.7691280290020999E-2"/>
    <n v="0.85847929784392296"/>
    <n v="8.7876757812499999"/>
    <n v="1.9093412516196999"/>
    <n v="2.9093412516197001"/>
  </r>
  <r>
    <s v="CMP42"/>
    <s v="Shop &amp; Share"/>
    <x v="1"/>
    <x v="40"/>
    <d v="2024-02-15T00:00:00"/>
    <n v="59494.400000000001"/>
    <n v="45912"/>
    <n v="993.6"/>
    <n v="6182.4960000000001"/>
    <n v="21350.031999999999"/>
    <x v="0"/>
    <x v="1"/>
    <x v="1"/>
    <n v="0.77170288296041301"/>
    <n v="2.1641400940930498E-2"/>
    <n v="0.134659696811291"/>
    <n v="6.2223188405797103"/>
    <n v="2.4533030025413698"/>
    <n v="3.4533030025413698"/>
  </r>
  <r>
    <s v="CMP43"/>
    <s v="Wishlist Wonders"/>
    <x v="2"/>
    <x v="41"/>
    <d v="2024-09-28T00:00:00"/>
    <n v="31840"/>
    <n v="2931.2"/>
    <n v="601.6"/>
    <n v="6666.9440000000004"/>
    <n v="20824.016"/>
    <x v="1"/>
    <x v="0"/>
    <x v="0"/>
    <n v="9.2060301507537703E-2"/>
    <n v="0.20524017467248901"/>
    <n v="2.2744759825327501"/>
    <n v="11.0820212765957"/>
    <n v="2.1234724635455202"/>
    <n v="3.1234724635455202"/>
  </r>
  <r>
    <s v="CMP44"/>
    <s v="Shop &amp; Share"/>
    <x v="3"/>
    <x v="42"/>
    <d v="2024-04-21T00:00:00"/>
    <n v="79616"/>
    <n v="44310.400000000001"/>
    <n v="39454.400000000001"/>
    <n v="6912.8959999999997"/>
    <n v="14296.128000000001"/>
    <x v="1"/>
    <x v="2"/>
    <x v="0"/>
    <n v="0.55655144694533798"/>
    <n v="0.890409474976529"/>
    <n v="0.15601068823571901"/>
    <n v="0.175212295713533"/>
    <n v="1.0680374766234"/>
    <n v="2.0680374766234002"/>
  </r>
  <r>
    <s v="CMP45"/>
    <s v="Deal of the Day"/>
    <x v="3"/>
    <x v="43"/>
    <d v="2024-03-16T00:00:00"/>
    <n v="55009.599999999999"/>
    <n v="29523.200000000001"/>
    <n v="13841.6"/>
    <n v="624.96"/>
    <n v="1763.328"/>
    <x v="0"/>
    <x v="4"/>
    <x v="0"/>
    <n v="0.53669177743521101"/>
    <n v="0.468838066334273"/>
    <n v="2.11684370257967E-2"/>
    <n v="4.5150849612761501E-2"/>
    <n v="1.82150537634409"/>
    <n v="2.8215053763440898"/>
  </r>
  <r>
    <s v="CMP46"/>
    <s v="Shop &amp; Share"/>
    <x v="0"/>
    <x v="44"/>
    <d v="2024-09-04T00:00:00"/>
    <n v="38636.800000000003"/>
    <n v="10345.6"/>
    <n v="2990.4"/>
    <n v="554.16"/>
    <n v="888.49599999999998"/>
    <x v="4"/>
    <x v="1"/>
    <x v="0"/>
    <n v="0.26776544641378203"/>
    <n v="0.28905041756882199"/>
    <n v="5.3564800494896397E-2"/>
    <n v="0.185313001605136"/>
    <n v="0.60332034069582796"/>
    <n v="1.6033203406958301"/>
  </r>
  <r>
    <s v="CMP47"/>
    <s v="Seasonal Steals"/>
    <x v="0"/>
    <x v="45"/>
    <d v="2024-06-11T00:00:00"/>
    <n v="60272"/>
    <n v="33368"/>
    <n v="10921.6"/>
    <n v="4179.0079999999998"/>
    <n v="11902.624"/>
    <x v="4"/>
    <x v="4"/>
    <x v="0"/>
    <n v="0.55362357313512101"/>
    <n v="0.32730760009589999"/>
    <n v="0.12523999040997399"/>
    <n v="0.38263697626721399"/>
    <n v="1.84819363829885"/>
    <n v="2.84819363829885"/>
  </r>
  <r>
    <s v="CMP48"/>
    <s v="Wishlist Wonders"/>
    <x v="0"/>
    <x v="46"/>
    <d v="2024-06-01T00:00:00"/>
    <n v="21476.799999999999"/>
    <n v="17140.8"/>
    <n v="12424"/>
    <n v="5163.2640000000001"/>
    <n v="7496.1440000000002"/>
    <x v="4"/>
    <x v="3"/>
    <x v="1"/>
    <n v="0.79810772554570497"/>
    <n v="0.72482031177074602"/>
    <n v="0.301226547185662"/>
    <n v="0.41558789439793897"/>
    <n v="0.45182272299072801"/>
    <n v="1.4518227229907299"/>
  </r>
  <r>
    <s v="CMP49"/>
    <s v="Deal of the Day"/>
    <x v="2"/>
    <x v="7"/>
    <d v="2024-01-09T00:00:00"/>
    <n v="70920"/>
    <n v="9288"/>
    <n v="3756.8"/>
    <n v="6028.48"/>
    <n v="14868.415999999999"/>
    <x v="2"/>
    <x v="3"/>
    <x v="0"/>
    <n v="0.130964467005076"/>
    <n v="0.40447889750215299"/>
    <n v="0.64906115417743304"/>
    <n v="1.60468483816014"/>
    <n v="1.46636233345719"/>
    <n v="2.46636233345719"/>
  </r>
  <r>
    <s v="CMP50"/>
    <s v="Seasonal Steals"/>
    <x v="1"/>
    <x v="47"/>
    <d v="2024-06-04T00:00:00"/>
    <n v="8694.4"/>
    <n v="3724.8"/>
    <n v="2020.8"/>
    <n v="503.74400000000003"/>
    <n v="1726.3040000000001"/>
    <x v="1"/>
    <x v="2"/>
    <x v="0"/>
    <n v="0.42841369157158599"/>
    <n v="0.54252577319587603"/>
    <n v="0.13524054982817901"/>
    <n v="0.24927949326999199"/>
    <n v="2.4269470207089299"/>
    <n v="3.4269470207089299"/>
  </r>
  <r>
    <s v="CMP51"/>
    <s v="Flash Sale Frenzy"/>
    <x v="3"/>
    <x v="24"/>
    <d v="2024-03-08T00:00:00"/>
    <n v="36246.400000000001"/>
    <n v="18328"/>
    <n v="1284.8"/>
    <n v="3681.424"/>
    <n v="9090.5439999999999"/>
    <x v="3"/>
    <x v="4"/>
    <x v="1"/>
    <n v="0.50565021629734297"/>
    <n v="7.0100392841553893E-2"/>
    <n v="0.20086337843736399"/>
    <n v="2.8653673723536701"/>
    <n v="1.46930100960933"/>
    <n v="2.4693010096093202"/>
  </r>
  <r>
    <s v="CMP52"/>
    <s v="Wishlist Wonders"/>
    <x v="1"/>
    <x v="48"/>
    <d v="2024-09-02T00:00:00"/>
    <n v="45992"/>
    <n v="40001.599999999999"/>
    <n v="26392"/>
    <n v="4945.1040000000003"/>
    <n v="16891.151999999998"/>
    <x v="2"/>
    <x v="1"/>
    <x v="0"/>
    <n v="0.86975126108888501"/>
    <n v="0.65977360905563798"/>
    <n v="0.123622655093796"/>
    <n v="0.18737132464383099"/>
    <n v="2.4157324092678301"/>
    <n v="3.4157324092678301"/>
  </r>
  <r>
    <s v="CMP53"/>
    <s v="Deal of the Day"/>
    <x v="3"/>
    <x v="49"/>
    <d v="2024-03-14T00:00:00"/>
    <n v="11459.2"/>
    <n v="8475.2000000000007"/>
    <n v="22.4"/>
    <n v="7412.1120000000001"/>
    <n v="10573.52"/>
    <x v="3"/>
    <x v="2"/>
    <x v="0"/>
    <n v="0.73959787768779695"/>
    <n v="2.6430054747970501E-3"/>
    <n v="0.87456484802718504"/>
    <n v="330.89785714285699"/>
    <n v="0.42651918913259801"/>
    <n v="1.4265191891325999"/>
  </r>
  <r>
    <s v="CMP54"/>
    <s v="Cart to Couch"/>
    <x v="3"/>
    <x v="50"/>
    <d v="2024-06-25T00:00:00"/>
    <n v="8267.2000000000007"/>
    <n v="5008"/>
    <n v="651.20000000000005"/>
    <n v="5518.3040000000001"/>
    <n v="15205.328"/>
    <x v="0"/>
    <x v="4"/>
    <x v="1"/>
    <n v="0.605767369847107"/>
    <n v="0.13003194888178901"/>
    <n v="1.1018977635782701"/>
    <n v="8.4740540540540508"/>
    <n v="1.7554350032183801"/>
    <n v="2.7554350032183801"/>
  </r>
  <r>
    <s v="CMP55"/>
    <s v="Deal of the Day"/>
    <x v="0"/>
    <x v="51"/>
    <d v="2024-09-05T00:00:00"/>
    <n v="20596.8"/>
    <n v="7659.2"/>
    <n v="2545.6"/>
    <n v="251.77600000000001"/>
    <n v="708.28800000000001"/>
    <x v="1"/>
    <x v="0"/>
    <x v="0"/>
    <n v="0.37186359046065398"/>
    <n v="0.33235847085857501"/>
    <n v="3.2872362648840601E-2"/>
    <n v="9.8906348208673805E-2"/>
    <n v="1.8131672597864801"/>
    <n v="2.8131672597864799"/>
  </r>
  <r>
    <s v="CMP56"/>
    <s v="Wishlist Wonders"/>
    <x v="2"/>
    <x v="52"/>
    <d v="2024-01-26T00:00:00"/>
    <n v="25542.400000000001"/>
    <n v="9393.6"/>
    <n v="4537.6000000000004"/>
    <n v="5560.8159999999998"/>
    <n v="21179.583999999999"/>
    <x v="1"/>
    <x v="0"/>
    <x v="0"/>
    <n v="0.36776497118516699"/>
    <n v="0.483052290921478"/>
    <n v="0.59197921989439595"/>
    <n v="1.22549717912553"/>
    <n v="2.80871872041801"/>
    <n v="3.80871872041801"/>
  </r>
  <r>
    <s v="CMP57"/>
    <s v="Seasonal Steals"/>
    <x v="3"/>
    <x v="4"/>
    <d v="2024-11-16T00:00:00"/>
    <n v="39273.599999999999"/>
    <n v="29331.200000000001"/>
    <n v="238.4"/>
    <n v="5795.6"/>
    <n v="11529.328"/>
    <x v="3"/>
    <x v="4"/>
    <x v="1"/>
    <n v="0.74684266275564204"/>
    <n v="8.1278638446432502E-3"/>
    <n v="0.19759164302858401"/>
    <n v="24.310402684563801"/>
    <n v="0.989324314997584"/>
    <n v="1.9893243149975799"/>
  </r>
  <r>
    <s v="CMP58"/>
    <s v="Flash Sale Frenzy"/>
    <x v="0"/>
    <x v="53"/>
    <d v="2024-06-20T00:00:00"/>
    <n v="20720"/>
    <n v="2643.2"/>
    <n v="2129.6"/>
    <n v="5311.3119999999999"/>
    <n v="20086.831999999999"/>
    <x v="1"/>
    <x v="1"/>
    <x v="0"/>
    <n v="0.12756756756756801"/>
    <n v="0.80569007263922499"/>
    <n v="2.0094249394673098"/>
    <n v="2.49404207362885"/>
    <n v="2.7818964504438801"/>
    <n v="3.7818964504438801"/>
  </r>
  <r>
    <s v="CMP59"/>
    <s v="Flash Sale Frenzy"/>
    <x v="2"/>
    <x v="54"/>
    <d v="2024-06-11T00:00:00"/>
    <n v="44851.199999999997"/>
    <n v="6600"/>
    <n v="1470.4"/>
    <n v="1078.528"/>
    <n v="2127.8879999999999"/>
    <x v="0"/>
    <x v="1"/>
    <x v="0"/>
    <n v="0.14715325342465799"/>
    <n v="0.22278787878787901"/>
    <n v="0.16341333333333299"/>
    <n v="0.73349292709466796"/>
    <n v="0.97295573225729903"/>
    <n v="1.9729557322572999"/>
  </r>
  <r>
    <s v="CMP60"/>
    <s v="Wishlist Wonders"/>
    <x v="2"/>
    <x v="55"/>
    <d v="2024-08-25T00:00:00"/>
    <n v="44569.599999999999"/>
    <n v="39780.800000000003"/>
    <n v="23590.400000000001"/>
    <n v="5372.848"/>
    <n v="17645.407999999999"/>
    <x v="4"/>
    <x v="1"/>
    <x v="0"/>
    <n v="0.89255456634118302"/>
    <n v="0.59300969311828799"/>
    <n v="0.13506133612194801"/>
    <n v="0.227755697232773"/>
    <n v="2.2841814992718898"/>
    <n v="3.2841814992718898"/>
  </r>
  <r>
    <s v="CMP61"/>
    <s v="Flash Sale Frenzy"/>
    <x v="3"/>
    <x v="32"/>
    <d v="2024-02-01T00:00:00"/>
    <n v="23411.200000000001"/>
    <n v="17531.2"/>
    <n v="14062.4"/>
    <n v="3368.4639999999999"/>
    <n v="4092.1120000000001"/>
    <x v="4"/>
    <x v="0"/>
    <x v="1"/>
    <n v="0.74883816293056304"/>
    <n v="0.80213562106416003"/>
    <n v="0.192141097015606"/>
    <n v="0.23953692115143899"/>
    <n v="0.21483026091417301"/>
    <n v="1.2148302609141699"/>
  </r>
  <r>
    <s v="CMP62"/>
    <s v="Deal of the Day"/>
    <x v="0"/>
    <x v="56"/>
    <d v="2024-10-14T00:00:00"/>
    <n v="79411.199999999997"/>
    <n v="8710.4"/>
    <n v="3376"/>
    <n v="4245.0240000000003"/>
    <n v="12052.704"/>
    <x v="1"/>
    <x v="3"/>
    <x v="0"/>
    <n v="0.109687298517086"/>
    <n v="0.387582659808964"/>
    <n v="0.48735121234386503"/>
    <n v="1.2574123222748801"/>
    <n v="1.83925461905516"/>
    <n v="2.83925461905516"/>
  </r>
  <r>
    <s v="CMP63"/>
    <s v="Flash Sale Frenzy"/>
    <x v="2"/>
    <x v="57"/>
    <d v="2024-10-24T00:00:00"/>
    <n v="13120"/>
    <n v="3486.4"/>
    <n v="1056"/>
    <n v="1823.328"/>
    <n v="2396.8159999999998"/>
    <x v="4"/>
    <x v="1"/>
    <x v="1"/>
    <n v="0.26573170731707302"/>
    <n v="0.302891234511244"/>
    <n v="0.522983019733823"/>
    <n v="1.72663636363636"/>
    <n v="0.31452815949735902"/>
    <n v="1.3145281594973599"/>
  </r>
  <r>
    <s v="CMP64"/>
    <s v="Cart to Couch"/>
    <x v="1"/>
    <x v="58"/>
    <d v="2024-11-17T00:00:00"/>
    <n v="34080"/>
    <n v="30784"/>
    <n v="16448"/>
    <n v="5055.808"/>
    <n v="11400.255999999999"/>
    <x v="0"/>
    <x v="0"/>
    <x v="1"/>
    <n v="0.90328638497652602"/>
    <n v="0.53430353430353394"/>
    <n v="0.164234927234927"/>
    <n v="0.307381322957198"/>
    <n v="1.2548830968264599"/>
    <n v="2.2548830968264602"/>
  </r>
  <r>
    <s v="CMP65"/>
    <s v="Seasonal Steals"/>
    <x v="1"/>
    <x v="59"/>
    <d v="2024-05-18T00:00:00"/>
    <n v="47889.599999999999"/>
    <n v="24296"/>
    <n v="21137.599999999999"/>
    <n v="5872.4960000000001"/>
    <n v="7368.9440000000004"/>
    <x v="4"/>
    <x v="3"/>
    <x v="0"/>
    <n v="0.50733353379439405"/>
    <n v="0.87000329272308197"/>
    <n v="0.24170628910108699"/>
    <n v="0.27782226932102"/>
    <n v="0.25482316207622802"/>
    <n v="1.25482316207623"/>
  </r>
  <r>
    <s v="CMP66"/>
    <s v="Wishlist Wonders"/>
    <x v="1"/>
    <x v="60"/>
    <d v="2024-09-03T00:00:00"/>
    <n v="75641.600000000006"/>
    <n v="22774.400000000001"/>
    <n v="377.6"/>
    <n v="7021.36"/>
    <n v="13144.208000000001"/>
    <x v="1"/>
    <x v="4"/>
    <x v="1"/>
    <n v="0.301083001946019"/>
    <n v="1.6580019671209801E-2"/>
    <n v="0.30830054798370099"/>
    <n v="18.594703389830499"/>
    <n v="0.87203162920004096"/>
    <n v="1.8720316292000401"/>
  </r>
  <r>
    <s v="CMP67"/>
    <s v="Wishlist Wonders"/>
    <x v="2"/>
    <x v="61"/>
    <d v="2024-02-18T00:00:00"/>
    <n v="18787.2"/>
    <n v="13897.6"/>
    <n v="2268.8000000000002"/>
    <n v="7290.1279999999997"/>
    <n v="22887.968000000001"/>
    <x v="1"/>
    <x v="1"/>
    <x v="0"/>
    <n v="0.73973769374893505"/>
    <n v="0.16325120884181399"/>
    <n v="0.52456021183513701"/>
    <n v="3.2132087447108599"/>
    <n v="2.1395838317242202"/>
    <n v="3.1395838317242202"/>
  </r>
  <r>
    <s v="CMP68"/>
    <s v="Wishlist Wonders"/>
    <x v="1"/>
    <x v="62"/>
    <d v="2024-04-11T00:00:00"/>
    <n v="31948.799999999999"/>
    <n v="12446.4"/>
    <n v="1216"/>
    <n v="3223.28"/>
    <n v="8304.8639999999996"/>
    <x v="2"/>
    <x v="0"/>
    <x v="0"/>
    <n v="0.38957331730769201"/>
    <n v="9.7698933024810405E-2"/>
    <n v="0.258972875690963"/>
    <n v="2.6507236842105302"/>
    <n v="1.5765257749869701"/>
    <n v="2.5765257749869699"/>
  </r>
  <r>
    <s v="CMP69"/>
    <s v="Wishlist Wonders"/>
    <x v="0"/>
    <x v="63"/>
    <d v="2024-06-27T00:00:00"/>
    <n v="54358.400000000001"/>
    <n v="27353.599999999999"/>
    <n v="12755.2"/>
    <n v="2913.5360000000001"/>
    <n v="9402.24"/>
    <x v="4"/>
    <x v="0"/>
    <x v="1"/>
    <n v="0.50320833578618895"/>
    <n v="0.46630790828263902"/>
    <n v="0.10651380439869"/>
    <n v="0.22841946813848499"/>
    <n v="2.2270890079957799"/>
    <n v="3.2270890079957799"/>
  </r>
  <r>
    <s v="CMP70"/>
    <s v="Shop &amp; Share"/>
    <x v="2"/>
    <x v="64"/>
    <d v="2024-03-13T00:00:00"/>
    <n v="16987.2"/>
    <n v="9499.2000000000007"/>
    <n v="1694.4"/>
    <n v="2429.5520000000001"/>
    <n v="6394.6880000000001"/>
    <x v="4"/>
    <x v="4"/>
    <x v="0"/>
    <n v="0.55919751342187096"/>
    <n v="0.178372915613946"/>
    <n v="0.25576385379821498"/>
    <n v="1.4338715769593999"/>
    <n v="1.63204409701871"/>
    <n v="2.63204409701871"/>
  </r>
  <r>
    <s v="CMP71"/>
    <s v="Flash Sale Frenzy"/>
    <x v="3"/>
    <x v="65"/>
    <d v="2024-03-19T00:00:00"/>
    <n v="48096"/>
    <n v="44819.199999999997"/>
    <n v="21297.599999999999"/>
    <n v="7853.3280000000004"/>
    <n v="30497.583999999999"/>
    <x v="1"/>
    <x v="3"/>
    <x v="0"/>
    <n v="0.931869594145043"/>
    <n v="0.47518920462658898"/>
    <n v="0.17522240468370701"/>
    <n v="0.36874239350912802"/>
    <n v="2.8833961856680399"/>
    <n v="3.8833961856680399"/>
  </r>
  <r>
    <s v="CMP72"/>
    <s v="Deal of the Day"/>
    <x v="1"/>
    <x v="15"/>
    <d v="2024-02-25T00:00:00"/>
    <n v="7985.6"/>
    <n v="2928"/>
    <n v="1273.5999999999999"/>
    <n v="3104.848"/>
    <n v="12219.696"/>
    <x v="1"/>
    <x v="4"/>
    <x v="1"/>
    <n v="0.36665998797836102"/>
    <n v="0.43497267759562802"/>
    <n v="1.06039890710383"/>
    <n v="2.4378517587939701"/>
    <n v="2.93568251972399"/>
    <n v="3.93568251972399"/>
  </r>
  <r>
    <s v="CMP73"/>
    <s v="Cart to Couch"/>
    <x v="1"/>
    <x v="66"/>
    <d v="2024-11-04T00:00:00"/>
    <n v="56998.400000000001"/>
    <n v="9363.2000000000007"/>
    <n v="950.4"/>
    <n v="3770.6239999999998"/>
    <n v="9570.6080000000002"/>
    <x v="4"/>
    <x v="1"/>
    <x v="0"/>
    <n v="0.16427127779025399"/>
    <n v="0.101503759398496"/>
    <n v="0.40270676691729301"/>
    <n v="3.9674074074074102"/>
    <n v="1.53820269536289"/>
    <n v="2.53820269536289"/>
  </r>
  <r>
    <s v="CMP74"/>
    <s v="Cart to Couch"/>
    <x v="0"/>
    <x v="67"/>
    <d v="2024-04-14T00:00:00"/>
    <n v="44379.199999999997"/>
    <n v="12782.4"/>
    <n v="6790.4"/>
    <n v="2069.5360000000001"/>
    <n v="3148.9760000000001"/>
    <x v="1"/>
    <x v="3"/>
    <x v="0"/>
    <n v="0.28802682337671698"/>
    <n v="0.53123044185755397"/>
    <n v="0.16190511953936701"/>
    <n v="0.304773798303487"/>
    <n v="0.52158551482071303"/>
    <n v="1.52158551482071"/>
  </r>
  <r>
    <s v="CMP75"/>
    <s v="Wishlist Wonders"/>
    <x v="2"/>
    <x v="68"/>
    <d v="2024-04-20T00:00:00"/>
    <n v="78080"/>
    <n v="65792"/>
    <n v="24940.799999999999"/>
    <n v="3560.8319999999999"/>
    <n v="12793.072"/>
    <x v="4"/>
    <x v="0"/>
    <x v="0"/>
    <n v="0.84262295081967198"/>
    <n v="0.37908560311284001"/>
    <n v="5.4122568093385198E-2"/>
    <n v="0.142771362586605"/>
    <n v="2.5927199036629598"/>
    <n v="3.5927199036629598"/>
  </r>
  <r>
    <s v="CMP76"/>
    <s v="Deal of the Day"/>
    <x v="0"/>
    <x v="69"/>
    <d v="2024-10-26T00:00:00"/>
    <n v="42163.199999999997"/>
    <n v="36440"/>
    <n v="7358.4"/>
    <n v="5052.3519999999999"/>
    <n v="14856.544"/>
    <x v="4"/>
    <x v="1"/>
    <x v="0"/>
    <n v="0.864260777170613"/>
    <n v="0.20193194291986799"/>
    <n v="0.13864851811196499"/>
    <n v="0.68661013263753001"/>
    <n v="1.94052037546078"/>
    <n v="2.94052037546078"/>
  </r>
  <r>
    <s v="CMP77"/>
    <s v="Deal of the Day"/>
    <x v="0"/>
    <x v="70"/>
    <d v="2024-04-18T00:00:00"/>
    <n v="22734.400000000001"/>
    <n v="19936"/>
    <n v="3859.2"/>
    <n v="4861.8720000000003"/>
    <n v="19308.016"/>
    <x v="4"/>
    <x v="4"/>
    <x v="0"/>
    <n v="0.87690900133718097"/>
    <n v="0.193579454253612"/>
    <n v="0.24387399678972699"/>
    <n v="1.2598134328358199"/>
    <n v="2.9713131073792098"/>
    <n v="3.9713131073792098"/>
  </r>
  <r>
    <s v="CMP78"/>
    <s v="Shop &amp; Share"/>
    <x v="3"/>
    <x v="71"/>
    <d v="2024-06-19T00:00:00"/>
    <n v="25409.599999999999"/>
    <n v="10139.200000000001"/>
    <n v="6958.4"/>
    <n v="7234.4160000000002"/>
    <n v="17080.544000000002"/>
    <x v="1"/>
    <x v="2"/>
    <x v="0"/>
    <n v="0.39903028776525401"/>
    <n v="0.68628688653937198"/>
    <n v="0.71350954710430803"/>
    <n v="1.0396665900206901"/>
    <n v="1.3610121397497701"/>
    <n v="2.3610121397497701"/>
  </r>
  <r>
    <s v="CMP79"/>
    <s v="Seasonal Steals"/>
    <x v="2"/>
    <x v="72"/>
    <d v="2024-07-26T00:00:00"/>
    <n v="18918.400000000001"/>
    <n v="2984"/>
    <n v="1112"/>
    <n v="5787.1040000000003"/>
    <n v="14901.152"/>
    <x v="3"/>
    <x v="4"/>
    <x v="1"/>
    <n v="0.157730040595399"/>
    <n v="0.37265415549597902"/>
    <n v="1.9393780160857901"/>
    <n v="5.2042302158273399"/>
    <n v="1.5748892710412701"/>
    <n v="2.5748892710412701"/>
  </r>
  <r>
    <s v="CMP80"/>
    <s v="Seasonal Steals"/>
    <x v="3"/>
    <x v="73"/>
    <d v="2024-10-27T00:00:00"/>
    <n v="43420.800000000003"/>
    <n v="36108.800000000003"/>
    <n v="8996.7999999999993"/>
    <n v="6136.08"/>
    <n v="13819.68"/>
    <x v="0"/>
    <x v="1"/>
    <x v="1"/>
    <n v="0.83160144446900996"/>
    <n v="0.24915809996455199"/>
    <n v="0.169933091102446"/>
    <n v="0.68202916592566298"/>
    <n v="1.25220010169359"/>
    <n v="2.2522001016935902"/>
  </r>
  <r>
    <s v="CMP81"/>
    <s v="Seasonal Steals"/>
    <x v="2"/>
    <x v="74"/>
    <d v="2024-07-03T00:00:00"/>
    <n v="62304"/>
    <n v="3755.2"/>
    <n v="537.6"/>
    <n v="6057.1679999999997"/>
    <n v="7809.0079999999998"/>
    <x v="3"/>
    <x v="1"/>
    <x v="0"/>
    <n v="6.0272213662044202E-2"/>
    <n v="0.14316148274392801"/>
    <n v="1.61300809544099"/>
    <n v="11.267053571428599"/>
    <n v="0.28921766739836202"/>
    <n v="1.28921766739836"/>
  </r>
  <r>
    <s v="CMP82"/>
    <s v="Shop &amp; Share"/>
    <x v="1"/>
    <x v="26"/>
    <d v="2024-09-11T00:00:00"/>
    <n v="78168"/>
    <n v="38168"/>
    <n v="2283.1999999999998"/>
    <n v="4801.28"/>
    <n v="12214.08"/>
    <x v="1"/>
    <x v="3"/>
    <x v="0"/>
    <n v="0.48828164977996102"/>
    <n v="5.9819744288409103E-2"/>
    <n v="0.12579333473066401"/>
    <n v="2.1028731604765198"/>
    <n v="1.54392162090109"/>
    <n v="2.5439216209010902"/>
  </r>
  <r>
    <s v="CMP83"/>
    <s v="Seasonal Steals"/>
    <x v="1"/>
    <x v="59"/>
    <d v="2024-05-05T00:00:00"/>
    <n v="52144"/>
    <n v="31788.799999999999"/>
    <n v="18432"/>
    <n v="4831.2640000000001"/>
    <n v="19119.856"/>
    <x v="0"/>
    <x v="0"/>
    <x v="1"/>
    <n v="0.609634857318196"/>
    <n v="0.57982685725790195"/>
    <n v="0.151980068451782"/>
    <n v="0.262112847222222"/>
    <n v="2.9575266431310698"/>
    <n v="3.9575266431310698"/>
  </r>
  <r>
    <s v="CMP84"/>
    <s v="Seasonal Steals"/>
    <x v="0"/>
    <x v="75"/>
    <d v="2024-10-28T00:00:00"/>
    <n v="12747.2"/>
    <n v="6064"/>
    <n v="2462.4"/>
    <n v="1511.568"/>
    <n v="3944.1759999999999"/>
    <x v="3"/>
    <x v="1"/>
    <x v="0"/>
    <n v="0.47571231329233099"/>
    <n v="0.40606860158311298"/>
    <n v="0.24926912928759901"/>
    <n v="0.61385964912280699"/>
    <n v="1.60932753273422"/>
    <n v="2.6093275327342198"/>
  </r>
  <r>
    <s v="CMP85"/>
    <s v="Wishlist Wonders"/>
    <x v="1"/>
    <x v="76"/>
    <d v="2024-10-21T00:00:00"/>
    <n v="46932.800000000003"/>
    <n v="19675.2"/>
    <n v="6928"/>
    <n v="2874.864"/>
    <n v="4970.7839999999997"/>
    <x v="0"/>
    <x v="2"/>
    <x v="0"/>
    <n v="0.41922067296219301"/>
    <n v="0.35211840286248702"/>
    <n v="0.14611612588436201"/>
    <n v="0.41496304849884502"/>
    <n v="0.72905013941529095"/>
    <n v="1.72905013941529"/>
  </r>
  <r>
    <s v="CMP86"/>
    <s v="Cart to Couch"/>
    <x v="2"/>
    <x v="77"/>
    <d v="2024-03-09T00:00:00"/>
    <n v="54475.199999999997"/>
    <n v="14777.6"/>
    <n v="8174.4"/>
    <n v="7531.2160000000003"/>
    <n v="19521.407999999999"/>
    <x v="4"/>
    <x v="4"/>
    <x v="1"/>
    <n v="0.27127206508649798"/>
    <n v="0.55316154179298405"/>
    <n v="0.50963728886964099"/>
    <n v="0.92131728322567996"/>
    <n v="1.59206587621441"/>
    <n v="2.5920658762144102"/>
  </r>
  <r>
    <s v="CMP87"/>
    <s v="Shop &amp; Share"/>
    <x v="0"/>
    <x v="78"/>
    <d v="2024-08-27T00:00:00"/>
    <n v="45742.400000000001"/>
    <n v="308.8"/>
    <n v="118.4"/>
    <n v="2108.8960000000002"/>
    <n v="7506.8320000000003"/>
    <x v="1"/>
    <x v="1"/>
    <x v="0"/>
    <n v="6.7508482283395697E-3"/>
    <n v="0.38341968911917101"/>
    <n v="6.8293264248704704"/>
    <n v="17.811621621621601"/>
    <n v="2.5596027494954701"/>
    <n v="3.5596027494954701"/>
  </r>
  <r>
    <s v="CMP88"/>
    <s v="Seasonal Steals"/>
    <x v="2"/>
    <x v="79"/>
    <d v="2024-06-29T00:00:00"/>
    <n v="21352"/>
    <n v="3310.4"/>
    <n v="1020.8"/>
    <n v="904.81600000000003"/>
    <n v="1432.48"/>
    <x v="2"/>
    <x v="2"/>
    <x v="0"/>
    <n v="0.15503934057699501"/>
    <n v="0.30836152730787803"/>
    <n v="0.27332527791203498"/>
    <n v="0.88637931034482798"/>
    <n v="0.58317271135788895"/>
    <n v="1.58317271135789"/>
  </r>
  <r>
    <s v="CMP89"/>
    <s v="Seasonal Steals"/>
    <x v="1"/>
    <x v="80"/>
    <d v="2024-11-18T00:00:00"/>
    <n v="55739.199999999997"/>
    <n v="49657.599999999999"/>
    <n v="21342.400000000001"/>
    <n v="3393.0880000000002"/>
    <n v="12190.768"/>
    <x v="1"/>
    <x v="1"/>
    <x v="0"/>
    <n v="0.89089186784166297"/>
    <n v="0.429791210207501"/>
    <n v="6.8329681660007704E-2"/>
    <n v="0.15898343204138199"/>
    <n v="2.5928239998491001"/>
    <n v="3.5928239998491001"/>
  </r>
  <r>
    <s v="CMP90"/>
    <s v="Cart to Couch"/>
    <x v="3"/>
    <x v="5"/>
    <d v="2024-09-20T00:00:00"/>
    <n v="31265.599999999999"/>
    <n v="10481.6"/>
    <n v="6766.4"/>
    <n v="6539.5039999999999"/>
    <n v="11561.2"/>
    <x v="0"/>
    <x v="1"/>
    <x v="0"/>
    <n v="0.33524384627194098"/>
    <n v="0.64555029766447902"/>
    <n v="0.62390322088230799"/>
    <n v="0.96646724994088395"/>
    <n v="0.76790166349007505"/>
    <n v="1.7679016634900799"/>
  </r>
  <r>
    <s v="CMP91"/>
    <s v="Wishlist Wonders"/>
    <x v="2"/>
    <x v="81"/>
    <d v="2024-01-18T00:00:00"/>
    <n v="77721.600000000006"/>
    <n v="29940.799999999999"/>
    <n v="2846.4"/>
    <n v="7171.0879999999997"/>
    <n v="12262.704"/>
    <x v="4"/>
    <x v="0"/>
    <x v="1"/>
    <n v="0.38523138998682499"/>
    <n v="9.5067600064126595E-2"/>
    <n v="0.23950889755784699"/>
    <n v="2.5193535694210198"/>
    <n v="0.710020013699455"/>
    <n v="1.7100200136994601"/>
  </r>
  <r>
    <s v="CMP92"/>
    <s v="Shop &amp; Share"/>
    <x v="0"/>
    <x v="82"/>
    <d v="2024-08-08T00:00:00"/>
    <n v="3780.8"/>
    <n v="2443.1999999999998"/>
    <n v="822.4"/>
    <n v="931.47199999999998"/>
    <n v="2357.4720000000002"/>
    <x v="3"/>
    <x v="3"/>
    <x v="1"/>
    <n v="0.64621244181125703"/>
    <n v="0.33660772757039897"/>
    <n v="0.38125081859855903"/>
    <n v="1.1326264591439701"/>
    <n v="1.53091021522923"/>
    <n v="2.53091021522923"/>
  </r>
  <r>
    <s v="CMP93"/>
    <s v="Flash Sale Frenzy"/>
    <x v="1"/>
    <x v="83"/>
    <d v="2024-07-14T00:00:00"/>
    <n v="17217.599999999999"/>
    <n v="15728"/>
    <n v="2636.8"/>
    <n v="1985.9680000000001"/>
    <n v="2679.3760000000002"/>
    <x v="1"/>
    <x v="0"/>
    <x v="0"/>
    <n v="0.91348387696310795"/>
    <n v="0.1676500508647"/>
    <n v="0.126269582909461"/>
    <n v="0.75317354368931999"/>
    <n v="0.349153662093246"/>
    <n v="1.3491536620932501"/>
  </r>
  <r>
    <s v="CMP94"/>
    <s v="Shop &amp; Share"/>
    <x v="0"/>
    <x v="84"/>
    <d v="2024-07-11T00:00:00"/>
    <n v="75099.199999999997"/>
    <n v="53721.599999999999"/>
    <n v="14304"/>
    <n v="7961.0720000000001"/>
    <n v="28582.063999999998"/>
    <x v="1"/>
    <x v="1"/>
    <x v="1"/>
    <n v="0.715341841191384"/>
    <n v="0.26626161543959997"/>
    <n v="0.14819126757207499"/>
    <n v="0.55656263982102905"/>
    <n v="2.5902280496897898"/>
    <n v="3.5902280496897898"/>
  </r>
  <r>
    <s v="CMP95"/>
    <s v="Seasonal Steals"/>
    <x v="2"/>
    <x v="85"/>
    <d v="2024-08-08T00:00:00"/>
    <n v="39576"/>
    <n v="7590.4"/>
    <n v="6464"/>
    <n v="5860.0479999999998"/>
    <n v="14745.263999999999"/>
    <x v="1"/>
    <x v="2"/>
    <x v="1"/>
    <n v="0.19179300586213899"/>
    <n v="0.85160202360876902"/>
    <n v="0.77203414839797602"/>
    <n v="0.90656683168316798"/>
    <n v="1.5162360444829099"/>
    <n v="2.5162360444829099"/>
  </r>
  <r>
    <s v="CMP96"/>
    <s v="Wishlist Wonders"/>
    <x v="0"/>
    <x v="86"/>
    <d v="2024-08-26T00:00:00"/>
    <n v="76529.600000000006"/>
    <n v="59977.599999999999"/>
    <n v="12396.8"/>
    <n v="1351.44"/>
    <n v="1668.624"/>
    <x v="3"/>
    <x v="0"/>
    <x v="0"/>
    <n v="0.78371767263908299"/>
    <n v="0.20669049778584"/>
    <n v="2.2532412100517499E-2"/>
    <n v="0.10901522973670601"/>
    <n v="0.234700763629906"/>
    <n v="1.2347007636299101"/>
  </r>
  <r>
    <s v="CMP97"/>
    <s v="Flash Sale Frenzy"/>
    <x v="1"/>
    <x v="87"/>
    <d v="2024-03-06T00:00:00"/>
    <n v="69201.600000000006"/>
    <n v="48073.599999999999"/>
    <n v="16912"/>
    <n v="7676.7520000000004"/>
    <n v="17207.824000000001"/>
    <x v="1"/>
    <x v="4"/>
    <x v="1"/>
    <n v="0.69468914013548799"/>
    <n v="0.35179391599547399"/>
    <n v="0.15968747919856199"/>
    <n v="0.453923368022706"/>
    <n v="1.2415500722180399"/>
    <n v="2.2415500722180401"/>
  </r>
  <r>
    <s v="CMP98"/>
    <s v="Shop &amp; Share"/>
    <x v="0"/>
    <x v="88"/>
    <d v="2024-10-22T00:00:00"/>
    <n v="52396.800000000003"/>
    <n v="12156.8"/>
    <n v="11579.2"/>
    <n v="4499.232"/>
    <n v="14719.984"/>
    <x v="2"/>
    <x v="1"/>
    <x v="1"/>
    <n v="0.232014168804202"/>
    <n v="0.95248749670966104"/>
    <n v="0.37010002632271699"/>
    <n v="0.38856155865690201"/>
    <n v="2.2716659198725502"/>
    <n v="3.2716659198725502"/>
  </r>
  <r>
    <s v="CMP99"/>
    <s v="Wishlist Wonders"/>
    <x v="0"/>
    <x v="89"/>
    <d v="2024-03-04T00:00:00"/>
    <n v="44478.400000000001"/>
    <n v="1926.4"/>
    <n v="441.6"/>
    <n v="1380.816"/>
    <n v="2468.48"/>
    <x v="4"/>
    <x v="0"/>
    <x v="1"/>
    <n v="4.3310910464405203E-2"/>
    <n v="0.22923588039867099"/>
    <n v="0.71678571428571403"/>
    <n v="3.1268478260869599"/>
    <n v="0.78769655044553399"/>
    <n v="1.78769655044553"/>
  </r>
  <r>
    <s v="CMP100"/>
    <s v="Deal of the Day"/>
    <x v="0"/>
    <x v="90"/>
    <d v="2024-07-26T00:00:00"/>
    <n v="6945.6"/>
    <n v="2128"/>
    <n v="2028.8"/>
    <n v="3509.5039999999999"/>
    <n v="7428.7839999999997"/>
    <x v="2"/>
    <x v="4"/>
    <x v="0"/>
    <n v="0.306381018198572"/>
    <n v="0.953383458646617"/>
    <n v="1.6492030075188"/>
    <n v="1.7298422712933801"/>
    <n v="1.1167617988182901"/>
    <n v="2.1167617988182901"/>
  </r>
  <r>
    <s v="CMP101"/>
    <s v="Deal of the Day"/>
    <x v="1"/>
    <x v="91"/>
    <d v="2024-06-06T00:00:00"/>
    <n v="5004.8"/>
    <n v="2182.4"/>
    <n v="19.2"/>
    <n v="2551.4879999999998"/>
    <n v="7986.8959999999997"/>
    <x v="2"/>
    <x v="3"/>
    <x v="1"/>
    <n v="0.43606138107416897"/>
    <n v="8.7976539589442806E-3"/>
    <n v="1.1691202346041101"/>
    <n v="132.88999999999999"/>
    <n v="2.1302894624626898"/>
    <n v="3.1302894624626898"/>
  </r>
  <r>
    <s v="CMP102"/>
    <s v="Flash Sale Frenzy"/>
    <x v="0"/>
    <x v="14"/>
    <d v="2024-08-28T00:00:00"/>
    <n v="19878.400000000001"/>
    <n v="14368"/>
    <n v="4857.6000000000004"/>
    <n v="7174.8"/>
    <n v="28108.576000000001"/>
    <x v="3"/>
    <x v="1"/>
    <x v="0"/>
    <n v="0.72279459111397304"/>
    <n v="0.33808463251670401"/>
    <n v="0.49935968819599102"/>
    <n v="1.4770256916996001"/>
    <n v="2.9176807715894499"/>
    <n v="3.9176807715894499"/>
  </r>
  <r>
    <s v="CMP103"/>
    <s v="Shop &amp; Share"/>
    <x v="2"/>
    <x v="18"/>
    <d v="2024-08-10T00:00:00"/>
    <n v="63246.400000000001"/>
    <n v="33163.199999999997"/>
    <n v="18712"/>
    <n v="5816.3360000000002"/>
    <n v="12764.048000000001"/>
    <x v="0"/>
    <x v="3"/>
    <x v="0"/>
    <n v="0.52434921197095796"/>
    <n v="0.56423988034930295"/>
    <n v="0.17538524629710001"/>
    <n v="0.310834544677212"/>
    <n v="1.19451696050572"/>
    <n v="2.19451696050572"/>
  </r>
  <r>
    <s v="CMP104"/>
    <s v="Shop &amp; Share"/>
    <x v="2"/>
    <x v="92"/>
    <d v="2024-06-23T00:00:00"/>
    <n v="48364.800000000003"/>
    <n v="20800"/>
    <n v="13102.4"/>
    <n v="324.86399999999998"/>
    <n v="632.89599999999996"/>
    <x v="4"/>
    <x v="4"/>
    <x v="0"/>
    <n v="0.43006484054519001"/>
    <n v="0.62992307692307703"/>
    <n v="1.5618461538461499E-2"/>
    <n v="2.4794236170472599E-2"/>
    <n v="0.94818754925137905"/>
    <n v="1.94818754925138"/>
  </r>
  <r>
    <s v="CMP105"/>
    <s v="Shop &amp; Share"/>
    <x v="2"/>
    <x v="93"/>
    <d v="2024-04-24T00:00:00"/>
    <n v="39297.599999999999"/>
    <n v="33660.800000000003"/>
    <n v="13484.8"/>
    <n v="3494.7359999999999"/>
    <n v="12373.68"/>
    <x v="0"/>
    <x v="0"/>
    <x v="0"/>
    <n v="0.85656121493424497"/>
    <n v="0.40060842285388298"/>
    <n v="0.10382213138131"/>
    <n v="0.259161129568106"/>
    <n v="2.54066229895477"/>
    <n v="3.54066229895477"/>
  </r>
  <r>
    <s v="CMP106"/>
    <s v="Wishlist Wonders"/>
    <x v="2"/>
    <x v="7"/>
    <d v="2024-01-09T00:00:00"/>
    <n v="30819.200000000001"/>
    <n v="22252.799999999999"/>
    <n v="17608"/>
    <n v="1890.6880000000001"/>
    <n v="5092.8320000000003"/>
    <x v="4"/>
    <x v="2"/>
    <x v="0"/>
    <n v="0.72204340151593804"/>
    <n v="0.79127121081392005"/>
    <n v="8.4964049467932096E-2"/>
    <n v="0.107376646978646"/>
    <n v="1.6936395640105599"/>
    <n v="2.6936395640105602"/>
  </r>
  <r>
    <s v="CMP107"/>
    <s v="Wishlist Wonders"/>
    <x v="0"/>
    <x v="94"/>
    <d v="2024-05-19T00:00:00"/>
    <n v="7387.2"/>
    <n v="408"/>
    <n v="164.8"/>
    <n v="7346.0479999999998"/>
    <n v="9234.9120000000003"/>
    <x v="4"/>
    <x v="2"/>
    <x v="1"/>
    <n v="5.5230669265757003E-2"/>
    <n v="0.40392156862745099"/>
    <n v="18.005019607843099"/>
    <n v="44.575533980582499"/>
    <n v="0.25712655294384101"/>
    <n v="1.25712655294384"/>
  </r>
  <r>
    <s v="CMP108"/>
    <s v="Deal of the Day"/>
    <x v="2"/>
    <x v="95"/>
    <d v="2024-02-21T00:00:00"/>
    <n v="67809.600000000006"/>
    <n v="33475.199999999997"/>
    <n v="31009.599999999999"/>
    <n v="2363.248"/>
    <n v="7268.1760000000004"/>
    <x v="0"/>
    <x v="2"/>
    <x v="0"/>
    <n v="0.493664613859984"/>
    <n v="0.92634547366408604"/>
    <n v="7.0596979256285303E-2"/>
    <n v="7.6210205871730094E-2"/>
    <n v="2.0755028672403402"/>
    <n v="3.0755028672403402"/>
  </r>
  <r>
    <s v="CMP109"/>
    <s v="Shop &amp; Share"/>
    <x v="0"/>
    <x v="96"/>
    <d v="2024-02-22T00:00:00"/>
    <n v="18051.2"/>
    <n v="16305.6"/>
    <n v="12868.8"/>
    <n v="6774.8320000000003"/>
    <n v="15144.352000000001"/>
    <x v="0"/>
    <x v="2"/>
    <x v="0"/>
    <n v="0.903297287714944"/>
    <n v="0.78922578745952299"/>
    <n v="0.41549111961534702"/>
    <n v="0.52645405943056101"/>
    <n v="1.2353841394148199"/>
    <n v="2.2353841394148199"/>
  </r>
  <r>
    <s v="CMP110"/>
    <s v="Cart to Couch"/>
    <x v="2"/>
    <x v="25"/>
    <d v="2024-11-09T00:00:00"/>
    <n v="37153.599999999999"/>
    <n v="34244.800000000003"/>
    <n v="32267.200000000001"/>
    <n v="7247.6319999999996"/>
    <n v="17878.48"/>
    <x v="2"/>
    <x v="1"/>
    <x v="1"/>
    <n v="0.92170879807071204"/>
    <n v="0.94225108629631305"/>
    <n v="0.211641825912255"/>
    <n v="0.22461298160361001"/>
    <n v="1.46680295026017"/>
    <n v="2.46680295026017"/>
  </r>
  <r>
    <s v="CMP111"/>
    <s v="Deal of the Day"/>
    <x v="0"/>
    <x v="97"/>
    <d v="2024-10-09T00:00:00"/>
    <n v="53676.800000000003"/>
    <n v="1627.2"/>
    <n v="1150.4000000000001"/>
    <n v="4628.1440000000002"/>
    <n v="7853.5519999999997"/>
    <x v="4"/>
    <x v="2"/>
    <x v="0"/>
    <n v="3.0314772862763802E-2"/>
    <n v="0.70698131760078697"/>
    <n v="2.8442379547689298"/>
    <n v="4.0230737134909598"/>
    <n v="0.69691176419748402"/>
    <n v="1.69691176419748"/>
  </r>
  <r>
    <s v="CMP112"/>
    <s v="Wishlist Wonders"/>
    <x v="0"/>
    <x v="98"/>
    <d v="2024-10-22T00:00:00"/>
    <n v="42980.800000000003"/>
    <n v="15252.8"/>
    <n v="5744"/>
    <n v="6521.9679999999998"/>
    <n v="13433.936"/>
    <x v="3"/>
    <x v="0"/>
    <x v="0"/>
    <n v="0.35487473476529102"/>
    <n v="0.37658659393685101"/>
    <n v="0.42759152417916702"/>
    <n v="1.1354401114206101"/>
    <n v="1.05979790149231"/>
    <n v="2.0597979014923098"/>
  </r>
  <r>
    <s v="CMP113"/>
    <s v="Shop &amp; Share"/>
    <x v="1"/>
    <x v="99"/>
    <d v="2024-06-16T00:00:00"/>
    <n v="57070.400000000001"/>
    <n v="22198.400000000001"/>
    <n v="7563.2"/>
    <n v="2489.9360000000001"/>
    <n v="6512.8320000000003"/>
    <x v="1"/>
    <x v="2"/>
    <x v="0"/>
    <n v="0.38896520788359601"/>
    <n v="0.34070924030560801"/>
    <n v="0.112167363413579"/>
    <n v="0.329217262534377"/>
    <n v="1.6156624106001101"/>
    <n v="2.6156624106001098"/>
  </r>
  <r>
    <s v="CMP114"/>
    <s v="Flash Sale Frenzy"/>
    <x v="3"/>
    <x v="100"/>
    <d v="2024-01-18T00:00:00"/>
    <n v="77916.800000000003"/>
    <n v="38212.800000000003"/>
    <n v="619.20000000000005"/>
    <n v="3117.9360000000001"/>
    <n v="6080.768"/>
    <x v="1"/>
    <x v="1"/>
    <x v="1"/>
    <n v="0.49043081851410703"/>
    <n v="1.6203994473056101E-2"/>
    <n v="8.1594020851651794E-2"/>
    <n v="5.0354263565891504"/>
    <n v="0.95025427077399904"/>
    <n v="1.950254270774"/>
  </r>
  <r>
    <s v="CMP115"/>
    <s v="Flash Sale Frenzy"/>
    <x v="0"/>
    <x v="52"/>
    <d v="2024-02-07T00:00:00"/>
    <n v="50622.400000000001"/>
    <n v="31958.400000000001"/>
    <n v="7756.8"/>
    <n v="5649.3440000000001"/>
    <n v="10538.544"/>
    <x v="0"/>
    <x v="1"/>
    <x v="0"/>
    <n v="0.631309459843864"/>
    <n v="0.24271553018924599"/>
    <n v="0.176771803344348"/>
    <n v="0.72830858085808603"/>
    <n v="0.86544561634058703"/>
    <n v="1.8654456163405899"/>
  </r>
  <r>
    <s v="CMP116"/>
    <s v="Deal of the Day"/>
    <x v="1"/>
    <x v="101"/>
    <d v="2024-05-28T00:00:00"/>
    <n v="25553.599999999999"/>
    <n v="12312"/>
    <n v="11579.2"/>
    <n v="5853.3440000000001"/>
    <n v="18178.8"/>
    <x v="2"/>
    <x v="2"/>
    <x v="0"/>
    <n v="0.48181078204245198"/>
    <n v="0.94048083170890195"/>
    <n v="0.47541780376868098"/>
    <n v="0.50550504352632297"/>
    <n v="2.1057118802516999"/>
    <n v="3.1057118802516999"/>
  </r>
  <r>
    <s v="CMP117"/>
    <s v="Shop &amp; Share"/>
    <x v="1"/>
    <x v="102"/>
    <d v="2024-02-24T00:00:00"/>
    <n v="41076.800000000003"/>
    <n v="2761.6"/>
    <n v="2750.4"/>
    <n v="5731.8239999999996"/>
    <n v="20439.263999999999"/>
    <x v="3"/>
    <x v="2"/>
    <x v="1"/>
    <n v="6.72301639855101E-2"/>
    <n v="0.99594438006952501"/>
    <n v="2.0755446118192298"/>
    <n v="2.0839965095986002"/>
    <n v="2.5659266579015698"/>
    <n v="3.5659266579015698"/>
  </r>
  <r>
    <s v="CMP118"/>
    <s v="Shop &amp; Share"/>
    <x v="1"/>
    <x v="103"/>
    <d v="2024-07-23T00:00:00"/>
    <n v="45347.199999999997"/>
    <n v="20232"/>
    <n v="8484.7999999999993"/>
    <n v="1885.76"/>
    <n v="5564.72"/>
    <x v="2"/>
    <x v="1"/>
    <x v="0"/>
    <n v="0.44615764589654899"/>
    <n v="0.41937524713325403"/>
    <n v="9.3206801107156997E-2"/>
    <n v="0.22225155572317601"/>
    <n v="1.9509163414220301"/>
    <n v="2.9509163414220301"/>
  </r>
  <r>
    <s v="CMP119"/>
    <s v="Cart to Couch"/>
    <x v="2"/>
    <x v="50"/>
    <d v="2024-06-09T00:00:00"/>
    <n v="73038.399999999994"/>
    <n v="71403.199999999997"/>
    <n v="50574.400000000001"/>
    <n v="7579.7280000000001"/>
    <n v="12131.343999999999"/>
    <x v="3"/>
    <x v="4"/>
    <x v="1"/>
    <n v="0.97761177681876898"/>
    <n v="0.708293185739575"/>
    <n v="0.10615389786452099"/>
    <n v="0.14987282103198499"/>
    <n v="0.60049859308935605"/>
    <n v="1.60049859308936"/>
  </r>
  <r>
    <s v="CMP120"/>
    <s v="Shop &amp; Share"/>
    <x v="1"/>
    <x v="104"/>
    <d v="2024-05-05T00:00:00"/>
    <n v="2489.6"/>
    <n v="2022.4"/>
    <n v="969.6"/>
    <n v="3691.6320000000001"/>
    <n v="11307.183999999999"/>
    <x v="3"/>
    <x v="2"/>
    <x v="0"/>
    <n v="0.81233933161953698"/>
    <n v="0.479430379746835"/>
    <n v="1.8253718354430399"/>
    <n v="3.8073762376237599"/>
    <n v="2.0629228482145598"/>
    <n v="3.0629228482145598"/>
  </r>
  <r>
    <s v="CMP121"/>
    <s v="Flash Sale Frenzy"/>
    <x v="1"/>
    <x v="105"/>
    <d v="2024-10-02T00:00:00"/>
    <n v="71198.399999999994"/>
    <n v="40614.400000000001"/>
    <n v="31467.200000000001"/>
    <n v="4872.7039999999997"/>
    <n v="14840.288"/>
    <x v="1"/>
    <x v="4"/>
    <x v="0"/>
    <n v="0.57043978516371197"/>
    <n v="0.77477938859123896"/>
    <n v="0.11997478726756999"/>
    <n v="0.154850256775309"/>
    <n v="2.0455960386676502"/>
    <n v="3.0455960386676502"/>
  </r>
  <r>
    <s v="CMP122"/>
    <s v="Deal of the Day"/>
    <x v="2"/>
    <x v="106"/>
    <d v="2024-09-08T00:00:00"/>
    <n v="45956.800000000003"/>
    <n v="2438.4"/>
    <n v="2104"/>
    <n v="2736.2719999999999"/>
    <n v="8540.5280000000002"/>
    <x v="2"/>
    <x v="2"/>
    <x v="0"/>
    <n v="5.3058524527382203E-2"/>
    <n v="0.86286089238845098"/>
    <n v="1.12215879265092"/>
    <n v="1.3005095057034199"/>
    <n v="2.12122771420385"/>
    <n v="3.12122771420385"/>
  </r>
  <r>
    <s v="CMP123"/>
    <s v="Cart to Couch"/>
    <x v="1"/>
    <x v="107"/>
    <d v="2024-02-03T00:00:00"/>
    <n v="10721.6"/>
    <n v="1416"/>
    <n v="153.6"/>
    <n v="1667.6320000000001"/>
    <n v="2963.152"/>
    <x v="0"/>
    <x v="1"/>
    <x v="1"/>
    <n v="0.13206984032234001"/>
    <n v="0.10847457627118599"/>
    <n v="1.1777062146892701"/>
    <n v="10.856979166666701"/>
    <n v="0.77686204150556004"/>
    <n v="1.77686204150556"/>
  </r>
  <r>
    <s v="CMP124"/>
    <s v="Deal of the Day"/>
    <x v="1"/>
    <x v="4"/>
    <d v="2024-11-10T00:00:00"/>
    <n v="2216"/>
    <n v="204.8"/>
    <n v="148.80000000000001"/>
    <n v="3447.8879999999999"/>
    <n v="5292.6880000000001"/>
    <x v="4"/>
    <x v="0"/>
    <x v="0"/>
    <n v="9.2418772563176904E-2"/>
    <n v="0.7265625"/>
    <n v="16.835390624999999"/>
    <n v="23.1712903225806"/>
    <n v="0.53505218266950705"/>
    <n v="1.53505218266951"/>
  </r>
  <r>
    <s v="CMP125"/>
    <s v="Wishlist Wonders"/>
    <x v="3"/>
    <x v="108"/>
    <d v="2024-07-06T00:00:00"/>
    <n v="77665.600000000006"/>
    <n v="26659.200000000001"/>
    <n v="14467.2"/>
    <n v="2019.12"/>
    <n v="3863.4879999999998"/>
    <x v="1"/>
    <x v="4"/>
    <x v="0"/>
    <n v="0.34325621639438803"/>
    <n v="0.54267194814548103"/>
    <n v="7.5738206697875399E-2"/>
    <n v="0.139565361645654"/>
    <n v="0.91345140457228902"/>
    <n v="1.9134514045722899"/>
  </r>
  <r>
    <s v="CMP126"/>
    <s v="Wishlist Wonders"/>
    <x v="3"/>
    <x v="109"/>
    <d v="2024-09-19T00:00:00"/>
    <n v="10952"/>
    <n v="7019.2"/>
    <n v="6078.4"/>
    <n v="7170.8"/>
    <n v="19898.96"/>
    <x v="3"/>
    <x v="0"/>
    <x v="0"/>
    <n v="0.64090577063550003"/>
    <n v="0.86596763163893298"/>
    <n v="1.02159790289492"/>
    <n v="1.1797183469334001"/>
    <n v="1.7749986054554601"/>
    <n v="2.7749986054554601"/>
  </r>
  <r>
    <s v="CMP127"/>
    <s v="Wishlist Wonders"/>
    <x v="1"/>
    <x v="110"/>
    <d v="2024-05-30T00:00:00"/>
    <n v="10664"/>
    <n v="5555.2"/>
    <n v="2603.1999999999998"/>
    <n v="4310.0479999999998"/>
    <n v="12820.784"/>
    <x v="0"/>
    <x v="1"/>
    <x v="0"/>
    <n v="0.52093023255813997"/>
    <n v="0.46860599078340998"/>
    <n v="0.77585829493087599"/>
    <n v="1.6556730178242201"/>
    <n v="1.97462673269532"/>
    <n v="2.9746267326953202"/>
  </r>
  <r>
    <s v="CMP128"/>
    <s v="Deal of the Day"/>
    <x v="3"/>
    <x v="111"/>
    <d v="2024-08-22T00:00:00"/>
    <n v="70443.199999999997"/>
    <n v="55912"/>
    <n v="23091.200000000001"/>
    <n v="3044.4319999999998"/>
    <n v="9953.616"/>
    <x v="2"/>
    <x v="4"/>
    <x v="0"/>
    <n v="0.79371749153928295"/>
    <n v="0.41299184432679897"/>
    <n v="5.4450422091858602E-2"/>
    <n v="0.13184381929046601"/>
    <n v="2.2694492765809802"/>
    <n v="3.2694492765809802"/>
  </r>
  <r>
    <s v="CMP129"/>
    <s v="Wishlist Wonders"/>
    <x v="0"/>
    <x v="31"/>
    <d v="2024-10-21T00:00:00"/>
    <n v="68305.600000000006"/>
    <n v="64881.599999999999"/>
    <n v="63155.199999999997"/>
    <n v="812.57600000000002"/>
    <n v="2677.36"/>
    <x v="4"/>
    <x v="2"/>
    <x v="0"/>
    <n v="0.94987233843198804"/>
    <n v="0.97339153165150105"/>
    <n v="1.2523982145939701E-2"/>
    <n v="1.28663356303202E-2"/>
    <n v="2.2949041074311798"/>
    <n v="3.2949041074311798"/>
  </r>
  <r>
    <s v="CMP130"/>
    <s v="Deal of the Day"/>
    <x v="1"/>
    <x v="112"/>
    <d v="2024-10-06T00:00:00"/>
    <n v="41916.800000000003"/>
    <n v="23310.400000000001"/>
    <n v="3732.8"/>
    <n v="5977.8239999999996"/>
    <n v="21368.400000000001"/>
    <x v="4"/>
    <x v="2"/>
    <x v="1"/>
    <n v="0.55611115352316998"/>
    <n v="0.160134532225959"/>
    <n v="0.25644450545679198"/>
    <n v="1.6014316330904399"/>
    <n v="2.5746117650837501"/>
    <n v="3.5746117650837501"/>
  </r>
  <r>
    <s v="CMP131"/>
    <s v="Flash Sale Frenzy"/>
    <x v="2"/>
    <x v="113"/>
    <d v="2024-04-05T00:00:00"/>
    <n v="33492.800000000003"/>
    <n v="17564.8"/>
    <n v="12366.4"/>
    <n v="763.98400000000004"/>
    <n v="1662.288"/>
    <x v="3"/>
    <x v="3"/>
    <x v="1"/>
    <n v="0.52443510246978498"/>
    <n v="0.70404445254144699"/>
    <n v="4.3495172162506798E-2"/>
    <n v="6.1779014102729998E-2"/>
    <n v="1.17581520031833"/>
    <n v="2.17581520031833"/>
  </r>
  <r>
    <s v="CMP132"/>
    <s v="Flash Sale Frenzy"/>
    <x v="0"/>
    <x v="97"/>
    <d v="2024-09-25T00:00:00"/>
    <n v="35904"/>
    <n v="8403.2000000000007"/>
    <n v="4416"/>
    <n v="2053.5839999999998"/>
    <n v="5069.8879999999999"/>
    <x v="1"/>
    <x v="4"/>
    <x v="1"/>
    <n v="0.23404634581105199"/>
    <n v="0.52551408987052595"/>
    <n v="0.24438118811881199"/>
    <n v="0.46503260869565199"/>
    <n v="1.4687999127379301"/>
    <n v="2.4687999127379299"/>
  </r>
  <r>
    <s v="CMP133"/>
    <s v="Cart to Couch"/>
    <x v="0"/>
    <x v="52"/>
    <d v="2024-02-03T00:00:00"/>
    <n v="77288"/>
    <n v="66678.399999999994"/>
    <n v="64001.599999999999"/>
    <n v="3973.9839999999999"/>
    <n v="15061.84"/>
    <x v="2"/>
    <x v="0"/>
    <x v="1"/>
    <n v="0.86272642583583503"/>
    <n v="0.95985506550847099"/>
    <n v="5.9599270528386997E-2"/>
    <n v="6.20919477013075E-2"/>
    <n v="2.7901108811711399"/>
    <n v="3.7901108811711399"/>
  </r>
  <r>
    <s v="CMP134"/>
    <s v="Seasonal Steals"/>
    <x v="1"/>
    <x v="69"/>
    <d v="2024-11-15T00:00:00"/>
    <n v="18916.8"/>
    <n v="8966.4"/>
    <n v="8235.2000000000007"/>
    <n v="961.79200000000003"/>
    <n v="2959.3919999999998"/>
    <x v="0"/>
    <x v="4"/>
    <x v="1"/>
    <n v="0.47399137274803299"/>
    <n v="0.91845110635260496"/>
    <n v="0.10726623840114199"/>
    <n v="0.11679036331843801"/>
    <n v="2.0769563481501199"/>
    <n v="3.0769563481501199"/>
  </r>
  <r>
    <s v="CMP135"/>
    <s v="Deal of the Day"/>
    <x v="3"/>
    <x v="114"/>
    <d v="2024-02-15T00:00:00"/>
    <n v="44568"/>
    <n v="15536"/>
    <n v="6870.4"/>
    <n v="1108.72"/>
    <n v="2749.3440000000001"/>
    <x v="2"/>
    <x v="2"/>
    <x v="0"/>
    <n v="0.34859091725004498"/>
    <n v="0.44222451081359399"/>
    <n v="7.1364572605561297E-2"/>
    <n v="0.16137633907778301"/>
    <n v="1.47974601342088"/>
    <n v="2.47974601342088"/>
  </r>
  <r>
    <s v="CMP136"/>
    <s v="Flash Sale Frenzy"/>
    <x v="3"/>
    <x v="99"/>
    <d v="2024-06-04T00:00:00"/>
    <n v="45704"/>
    <n v="24408"/>
    <n v="4739.2"/>
    <n v="4982.1440000000002"/>
    <n v="13957.168"/>
    <x v="1"/>
    <x v="2"/>
    <x v="0"/>
    <n v="0.53404516016103598"/>
    <n v="0.194165847263192"/>
    <n v="0.204119305145854"/>
    <n v="1.05126266036462"/>
    <n v="1.8014380957274601"/>
    <n v="2.8014380957274598"/>
  </r>
  <r>
    <s v="CMP137"/>
    <s v="Shop &amp; Share"/>
    <x v="3"/>
    <x v="115"/>
    <d v="2024-07-17T00:00:00"/>
    <n v="45432"/>
    <n v="22483.200000000001"/>
    <n v="9411.2000000000007"/>
    <n v="2740.8"/>
    <n v="7186.4319999999998"/>
    <x v="3"/>
    <x v="1"/>
    <x v="1"/>
    <n v="0.49487585842577902"/>
    <n v="0.41858810133788799"/>
    <n v="0.121904355251921"/>
    <n v="0.291227473648419"/>
    <n v="1.6220198482195001"/>
    <n v="2.6220198482194998"/>
  </r>
  <r>
    <s v="CMP138"/>
    <s v="Wishlist Wonders"/>
    <x v="0"/>
    <x v="116"/>
    <d v="2024-08-04T00:00:00"/>
    <n v="44907.199999999997"/>
    <n v="15875.2"/>
    <n v="15052.8"/>
    <n v="4118.6400000000003"/>
    <n v="12761.6"/>
    <x v="4"/>
    <x v="0"/>
    <x v="1"/>
    <n v="0.353511240959134"/>
    <n v="0.94819592824027399"/>
    <n v="0.25943862124571698"/>
    <n v="0.273612882653061"/>
    <n v="2.0984985334964898"/>
    <n v="3.0984985334964898"/>
  </r>
  <r>
    <s v="CMP139"/>
    <s v="Seasonal Steals"/>
    <x v="2"/>
    <x v="25"/>
    <d v="2024-11-17T00:00:00"/>
    <n v="72038.399999999994"/>
    <n v="25787.200000000001"/>
    <n v="9124.7999999999993"/>
    <n v="6042.8"/>
    <n v="7371.5680000000002"/>
    <x v="2"/>
    <x v="2"/>
    <x v="0"/>
    <n v="0.35796464108031301"/>
    <n v="0.35384997207917102"/>
    <n v="0.234333312651238"/>
    <n v="0.66223917236542196"/>
    <n v="0.21989276494340401"/>
    <n v="1.2198927649433999"/>
  </r>
  <r>
    <s v="CMP140"/>
    <s v="Flash Sale Frenzy"/>
    <x v="1"/>
    <x v="117"/>
    <d v="2024-03-05T00:00:00"/>
    <n v="22572.799999999999"/>
    <n v="3147.2"/>
    <n v="201.6"/>
    <n v="7876.3040000000001"/>
    <n v="29370.080000000002"/>
    <x v="2"/>
    <x v="0"/>
    <x v="1"/>
    <n v="0.13942444003402299"/>
    <n v="6.4056939501779403E-2"/>
    <n v="2.5026385358413799"/>
    <n v="39.068968253968301"/>
    <n v="2.7289165070317201"/>
    <n v="3.7289165070317201"/>
  </r>
  <r>
    <s v="CMP141"/>
    <s v="Cart to Couch"/>
    <x v="1"/>
    <x v="118"/>
    <d v="2024-08-22T00:00:00"/>
    <n v="14926.4"/>
    <n v="3008"/>
    <n v="2430.4"/>
    <n v="6530.1120000000001"/>
    <n v="17662.687999999998"/>
    <x v="0"/>
    <x v="4"/>
    <x v="1"/>
    <n v="0.20152213527709301"/>
    <n v="0.80797872340425503"/>
    <n v="2.1709148936170202"/>
    <n v="2.6868466096115902"/>
    <n v="1.7048062881616699"/>
    <n v="2.7048062881616701"/>
  </r>
  <r>
    <s v="CMP142"/>
    <s v="Seasonal Steals"/>
    <x v="0"/>
    <x v="119"/>
    <d v="2024-06-16T00:00:00"/>
    <n v="69296"/>
    <n v="52046.400000000001"/>
    <n v="20448"/>
    <n v="7946.08"/>
    <n v="18811.984"/>
    <x v="4"/>
    <x v="2"/>
    <x v="1"/>
    <n v="0.75107365504502399"/>
    <n v="0.39288019920686201"/>
    <n v="0.15267299947738899"/>
    <n v="0.38859937402190903"/>
    <n v="1.3674546443026001"/>
    <n v="2.3674546443026001"/>
  </r>
  <r>
    <s v="CMP143"/>
    <s v="Flash Sale Frenzy"/>
    <x v="1"/>
    <x v="120"/>
    <d v="2024-03-10T00:00:00"/>
    <n v="9659.2000000000007"/>
    <n v="6993.6"/>
    <n v="5774.4"/>
    <n v="4163.6959999999999"/>
    <n v="9834.9279999999999"/>
    <x v="0"/>
    <x v="4"/>
    <x v="0"/>
    <n v="0.72403511677985799"/>
    <n v="0.82566918325326"/>
    <n v="0.59535804163806905"/>
    <n v="0.72106123579938997"/>
    <n v="1.3620667791308501"/>
    <n v="2.3620667791308501"/>
  </r>
  <r>
    <s v="CMP144"/>
    <s v="Flash Sale Frenzy"/>
    <x v="1"/>
    <x v="55"/>
    <d v="2024-08-02T00:00:00"/>
    <n v="18099.2"/>
    <n v="17811.2"/>
    <n v="14377.6"/>
    <n v="6695.4560000000001"/>
    <n v="18014.576000000001"/>
    <x v="1"/>
    <x v="0"/>
    <x v="0"/>
    <n v="0.98408769448373401"/>
    <n v="0.80722242184692805"/>
    <n v="0.37591268415379098"/>
    <n v="0.46568662363676799"/>
    <n v="1.69056745350877"/>
    <n v="2.6905674535087698"/>
  </r>
  <r>
    <s v="CMP145"/>
    <s v="Wishlist Wonders"/>
    <x v="0"/>
    <x v="121"/>
    <d v="2024-03-02T00:00:00"/>
    <n v="30307.200000000001"/>
    <n v="18788.8"/>
    <n v="2995.2"/>
    <n v="4736.7359999999999"/>
    <n v="17719.344000000001"/>
    <x v="4"/>
    <x v="3"/>
    <x v="0"/>
    <n v="0.619945095554852"/>
    <n v="0.159414119049647"/>
    <n v="0.25210423230860901"/>
    <n v="1.5814423076923101"/>
    <n v="2.7408341946859598"/>
    <n v="3.7408341946859598"/>
  </r>
  <r>
    <s v="CMP146"/>
    <s v="Cart to Couch"/>
    <x v="2"/>
    <x v="122"/>
    <d v="2024-02-11T00:00:00"/>
    <n v="30860.799999999999"/>
    <n v="13572.8"/>
    <n v="9411.2000000000007"/>
    <n v="5182.3519999999999"/>
    <n v="13372.4"/>
    <x v="0"/>
    <x v="2"/>
    <x v="1"/>
    <n v="0.43980713396930698"/>
    <n v="0.69338677354709399"/>
    <n v="0.38181893198160999"/>
    <n v="0.55065793947636898"/>
    <n v="1.58037277282593"/>
    <n v="2.58037277282593"/>
  </r>
  <r>
    <s v="CMP147"/>
    <s v="Wishlist Wonders"/>
    <x v="1"/>
    <x v="123"/>
    <d v="2024-03-18T00:00:00"/>
    <n v="64078.400000000001"/>
    <n v="11499.2"/>
    <n v="6772.8"/>
    <n v="6032.4639999999999"/>
    <n v="14495.456"/>
    <x v="1"/>
    <x v="3"/>
    <x v="0"/>
    <n v="0.17945516741991099"/>
    <n v="0.58898010296368397"/>
    <n v="0.52459858077083599"/>
    <n v="0.89068981809591297"/>
    <n v="1.40290799911943"/>
    <n v="2.4029079991194302"/>
  </r>
  <r>
    <s v="CMP148"/>
    <s v="Cart to Couch"/>
    <x v="3"/>
    <x v="124"/>
    <d v="2024-08-10T00:00:00"/>
    <n v="78990.399999999994"/>
    <n v="31100.799999999999"/>
    <n v="26028.799999999999"/>
    <n v="1594.624"/>
    <n v="5888.96"/>
    <x v="1"/>
    <x v="2"/>
    <x v="1"/>
    <n v="0.39372885819036202"/>
    <n v="0.83691737833110402"/>
    <n v="5.1272764687725098E-2"/>
    <n v="6.1263830833538202E-2"/>
    <n v="2.6930085085888602"/>
    <n v="3.6930085085888602"/>
  </r>
  <r>
    <s v="CMP149"/>
    <s v="Flash Sale Frenzy"/>
    <x v="3"/>
    <x v="125"/>
    <d v="2024-01-31T00:00:00"/>
    <n v="15185.6"/>
    <n v="10249.6"/>
    <n v="4742.3999999999996"/>
    <n v="307.072"/>
    <n v="968.12800000000004"/>
    <x v="2"/>
    <x v="3"/>
    <x v="0"/>
    <n v="0.67495522073543401"/>
    <n v="0.46269122697471099"/>
    <n v="2.99594130502654E-2"/>
    <n v="6.4750337381916295E-2"/>
    <n v="2.1527719883284702"/>
    <n v="3.1527719883284702"/>
  </r>
  <r>
    <s v="CMP150"/>
    <s v="Wishlist Wonders"/>
    <x v="1"/>
    <x v="95"/>
    <d v="2024-02-13T00:00:00"/>
    <n v="11657.6"/>
    <n v="9462.4"/>
    <n v="5022.3999999999996"/>
    <n v="7866.4"/>
    <n v="22491.68"/>
    <x v="3"/>
    <x v="1"/>
    <x v="0"/>
    <n v="0.81169365907219304"/>
    <n v="0.53077443354751397"/>
    <n v="0.83133243151843095"/>
    <n v="1.5662631411277499"/>
    <n v="1.8592087867385301"/>
    <n v="2.8592087867385301"/>
  </r>
  <r>
    <s v="CMP151"/>
    <s v="Wishlist Wonders"/>
    <x v="1"/>
    <x v="74"/>
    <d v="2024-07-26T00:00:00"/>
    <n v="9708.7999999999993"/>
    <n v="5526.4"/>
    <n v="1145.5999999999999"/>
    <n v="2893.5360000000001"/>
    <n v="7808.8159999999998"/>
    <x v="0"/>
    <x v="3"/>
    <x v="0"/>
    <n v="0.56921555702043503"/>
    <n v="0.20729588882455099"/>
    <n v="0.52358425014475996"/>
    <n v="2.5257821229050301"/>
    <n v="1.6987105050706099"/>
    <n v="2.6987105050706099"/>
  </r>
  <r>
    <s v="CMP152"/>
    <s v="Flash Sale Frenzy"/>
    <x v="1"/>
    <x v="22"/>
    <d v="2024-10-06T00:00:00"/>
    <n v="50315.199999999997"/>
    <n v="4392"/>
    <n v="2020.8"/>
    <n v="6590.2879999999996"/>
    <n v="13848.864"/>
    <x v="3"/>
    <x v="4"/>
    <x v="0"/>
    <n v="8.7289725570006693E-2"/>
    <n v="0.46010928961748598"/>
    <n v="1.5005209471766801"/>
    <n v="3.26122723673793"/>
    <n v="1.1014049765351701"/>
    <n v="2.1014049765351701"/>
  </r>
  <r>
    <s v="CMP153"/>
    <s v="Flash Sale Frenzy"/>
    <x v="2"/>
    <x v="126"/>
    <d v="2024-04-22T00:00:00"/>
    <n v="8740.7999999999993"/>
    <n v="777.6"/>
    <n v="182.4"/>
    <n v="1752.5440000000001"/>
    <n v="3926.6880000000001"/>
    <x v="2"/>
    <x v="1"/>
    <x v="0"/>
    <n v="8.8962108731466205E-2"/>
    <n v="0.234567901234568"/>
    <n v="2.2537860082304499"/>
    <n v="9.6082456140350896"/>
    <n v="1.2405645735570701"/>
    <n v="2.2405645735570698"/>
  </r>
  <r>
    <s v="CMP154"/>
    <s v="Shop &amp; Share"/>
    <x v="3"/>
    <x v="4"/>
    <d v="2024-11-09T00:00:00"/>
    <n v="47673.599999999999"/>
    <n v="36460.800000000003"/>
    <n v="28408"/>
    <n v="7390.5280000000002"/>
    <n v="24939.151999999998"/>
    <x v="4"/>
    <x v="3"/>
    <x v="1"/>
    <n v="0.76480064438179596"/>
    <n v="0.77913814288221905"/>
    <n v="0.20269791118132299"/>
    <n v="0.26015657561250399"/>
    <n v="2.3744750036803901"/>
    <n v="3.3744750036803901"/>
  </r>
  <r>
    <s v="CMP155"/>
    <s v="Seasonal Steals"/>
    <x v="1"/>
    <x v="41"/>
    <d v="2024-09-27T00:00:00"/>
    <n v="36208"/>
    <n v="340.8"/>
    <n v="248"/>
    <n v="4131.0879999999997"/>
    <n v="6644.9440000000004"/>
    <x v="2"/>
    <x v="4"/>
    <x v="0"/>
    <n v="9.4122845779938107E-3"/>
    <n v="0.72769953051643199"/>
    <n v="12.121737089201901"/>
    <n v="16.6576129032258"/>
    <n v="0.60852153234208495"/>
    <n v="1.6085215323420901"/>
  </r>
  <r>
    <s v="CMP156"/>
    <s v="Deal of the Day"/>
    <x v="0"/>
    <x v="74"/>
    <d v="2024-07-27T00:00:00"/>
    <n v="79163.199999999997"/>
    <n v="49824"/>
    <n v="21558.400000000001"/>
    <n v="1939.0239999999999"/>
    <n v="5103.2160000000003"/>
    <x v="1"/>
    <x v="4"/>
    <x v="1"/>
    <n v="0.62938334983931898"/>
    <n v="0.43269107257546602"/>
    <n v="3.8917469492614001E-2"/>
    <n v="8.9942852901885098E-2"/>
    <n v="1.63184777496307"/>
    <n v="2.6318477749630702"/>
  </r>
  <r>
    <s v="CMP157"/>
    <s v="Cart to Couch"/>
    <x v="0"/>
    <x v="109"/>
    <d v="2024-10-11T00:00:00"/>
    <n v="48409.599999999999"/>
    <n v="46505.599999999999"/>
    <n v="22412.799999999999"/>
    <n v="745.44"/>
    <n v="2914.08"/>
    <x v="2"/>
    <x v="1"/>
    <x v="0"/>
    <n v="0.96066895822316201"/>
    <n v="0.48193765912062198"/>
    <n v="1.60290373632423E-2"/>
    <n v="3.3259565962307301E-2"/>
    <n v="2.9092079845460401"/>
    <n v="3.9092079845460401"/>
  </r>
  <r>
    <s v="CMP158"/>
    <s v="Wishlist Wonders"/>
    <x v="2"/>
    <x v="127"/>
    <d v="2024-09-30T00:00:00"/>
    <n v="75035.199999999997"/>
    <n v="72216"/>
    <n v="30073.599999999999"/>
    <n v="3663.616"/>
    <n v="5374.0320000000002"/>
    <x v="3"/>
    <x v="2"/>
    <x v="1"/>
    <n v="0.96242830031771798"/>
    <n v="0.41643957017835398"/>
    <n v="5.07313614711421E-2"/>
    <n v="0.121821664183869"/>
    <n v="0.466865523024247"/>
    <n v="1.46686552302425"/>
  </r>
  <r>
    <s v="CMP159"/>
    <s v="Deal of the Day"/>
    <x v="2"/>
    <x v="128"/>
    <d v="2024-10-04T00:00:00"/>
    <n v="20680"/>
    <n v="16315.2"/>
    <n v="579.20000000000005"/>
    <n v="1575.904"/>
    <n v="4174.0959999999995"/>
    <x v="2"/>
    <x v="0"/>
    <x v="0"/>
    <n v="0.78893617021276596"/>
    <n v="3.5500637442384998E-2"/>
    <n v="9.6591154261057202E-2"/>
    <n v="2.7208287292817701"/>
    <n v="1.6486994131622199"/>
    <n v="2.6486994131622201"/>
  </r>
  <r>
    <s v="CMP160"/>
    <s v="Cart to Couch"/>
    <x v="1"/>
    <x v="121"/>
    <d v="2024-03-05T00:00:00"/>
    <n v="1692.8"/>
    <n v="1198.4000000000001"/>
    <n v="1065.5999999999999"/>
    <n v="4906.8320000000003"/>
    <n v="9246.48"/>
    <x v="3"/>
    <x v="4"/>
    <x v="0"/>
    <n v="0.70793950850661602"/>
    <n v="0.88918558077436605"/>
    <n v="4.0944859813084102"/>
    <n v="4.6047597597597596"/>
    <n v="0.88440932968563002"/>
    <n v="1.8844093296856299"/>
  </r>
  <r>
    <s v="CMP161"/>
    <s v="Wishlist Wonders"/>
    <x v="1"/>
    <x v="129"/>
    <d v="2024-10-25T00:00:00"/>
    <n v="75488"/>
    <n v="12576"/>
    <n v="9600"/>
    <n v="2097.2959999999998"/>
    <n v="7069.5680000000002"/>
    <x v="2"/>
    <x v="3"/>
    <x v="0"/>
    <n v="0.166596015260704"/>
    <n v="0.76335877862595403"/>
    <n v="0.16676972010178101"/>
    <n v="0.21846833333333299"/>
    <n v="2.3708012602894399"/>
    <n v="3.3708012602894399"/>
  </r>
  <r>
    <s v="CMP162"/>
    <s v="Wishlist Wonders"/>
    <x v="3"/>
    <x v="9"/>
    <d v="2024-05-28T00:00:00"/>
    <n v="14284.8"/>
    <n v="13276.8"/>
    <n v="6563.2"/>
    <n v="5713.6480000000001"/>
    <n v="14274.175999999999"/>
    <x v="3"/>
    <x v="2"/>
    <x v="0"/>
    <n v="0.92943548387096797"/>
    <n v="0.49433598457459599"/>
    <n v="0.43034827669317899"/>
    <n v="0.87055826426133598"/>
    <n v="1.4982596057719999"/>
    <n v="2.4982596057720001"/>
  </r>
  <r>
    <s v="CMP163"/>
    <s v="Flash Sale Frenzy"/>
    <x v="3"/>
    <x v="130"/>
    <d v="2024-03-29T00:00:00"/>
    <n v="26163.200000000001"/>
    <n v="19390.400000000001"/>
    <n v="8230.4"/>
    <n v="4396.1760000000004"/>
    <n v="10593.152"/>
    <x v="0"/>
    <x v="2"/>
    <x v="0"/>
    <n v="0.74113258317025399"/>
    <n v="0.42445746348708602"/>
    <n v="0.22671920125422901"/>
    <n v="0.53413880248833601"/>
    <n v="1.4096287318797101"/>
    <n v="2.4096287318797098"/>
  </r>
  <r>
    <s v="CMP164"/>
    <s v="Deal of the Day"/>
    <x v="1"/>
    <x v="131"/>
    <d v="2024-05-19T00:00:00"/>
    <n v="38747.199999999997"/>
    <n v="27219.200000000001"/>
    <n v="26171.200000000001"/>
    <n v="7285.5039999999999"/>
    <n v="24143.263999999999"/>
    <x v="2"/>
    <x v="0"/>
    <x v="0"/>
    <n v="0.70248172771193795"/>
    <n v="0.96149776628262396"/>
    <n v="0.26766047495885298"/>
    <n v="0.27837867579629499"/>
    <n v="2.31387698091992"/>
    <n v="3.31387698091992"/>
  </r>
  <r>
    <s v="CMP165"/>
    <s v="Seasonal Steals"/>
    <x v="0"/>
    <x v="117"/>
    <d v="2024-03-30T00:00:00"/>
    <n v="47502.400000000001"/>
    <n v="26374.400000000001"/>
    <n v="8635.2000000000007"/>
    <n v="7595.3760000000002"/>
    <n v="11493.376"/>
    <x v="1"/>
    <x v="0"/>
    <x v="1"/>
    <n v="0.555222472969787"/>
    <n v="0.32740839602038302"/>
    <n v="0.28798289250182002"/>
    <n v="0.879583101723179"/>
    <n v="0.51320698277478305"/>
    <n v="1.5132069827747801"/>
  </r>
  <r>
    <s v="CMP166"/>
    <s v="Wishlist Wonders"/>
    <x v="2"/>
    <x v="114"/>
    <d v="2024-02-11T00:00:00"/>
    <n v="31528"/>
    <n v="14817.6"/>
    <n v="4152"/>
    <n v="7802.2719999999999"/>
    <n v="18373.008000000002"/>
    <x v="1"/>
    <x v="3"/>
    <x v="0"/>
    <n v="0.46998223801065703"/>
    <n v="0.28020732102364798"/>
    <n v="0.526554367778858"/>
    <n v="1.8791599229287099"/>
    <n v="1.35482792704484"/>
    <n v="2.3548279270448398"/>
  </r>
  <r>
    <s v="CMP167"/>
    <s v="Cart to Couch"/>
    <x v="2"/>
    <x v="132"/>
    <d v="2024-05-01T00:00:00"/>
    <n v="61923.199999999997"/>
    <n v="48001.599999999999"/>
    <n v="41368"/>
    <n v="7082.8"/>
    <n v="14618.384"/>
    <x v="1"/>
    <x v="4"/>
    <x v="0"/>
    <n v="0.77517957728282805"/>
    <n v="0.86180460651311597"/>
    <n v="0.14755341488616999"/>
    <n v="0.17121446528717901"/>
    <n v="1.0639272604054899"/>
    <n v="2.0639272604054901"/>
  </r>
  <r>
    <s v="CMP168"/>
    <s v="Shop &amp; Share"/>
    <x v="0"/>
    <x v="77"/>
    <d v="2024-03-14T00:00:00"/>
    <n v="8539.2000000000007"/>
    <n v="3462.4"/>
    <n v="2768"/>
    <n v="356.65600000000001"/>
    <n v="469.93599999999998"/>
    <x v="1"/>
    <x v="2"/>
    <x v="0"/>
    <n v="0.40547123852351502"/>
    <n v="0.79944547134935295"/>
    <n v="0.10300831792975999"/>
    <n v="0.12884971098265899"/>
    <n v="0.31761697546094803"/>
    <n v="1.3176169754609499"/>
  </r>
  <r>
    <s v="CMP169"/>
    <s v="Wishlist Wonders"/>
    <x v="0"/>
    <x v="133"/>
    <d v="2024-08-23T00:00:00"/>
    <n v="53838.400000000001"/>
    <n v="41414.400000000001"/>
    <n v="19345.599999999999"/>
    <n v="2805.5360000000001"/>
    <n v="7366.6239999999998"/>
    <x v="1"/>
    <x v="3"/>
    <x v="0"/>
    <n v="0.76923534131772098"/>
    <n v="0.46712254674702502"/>
    <n v="6.7743007263174199E-2"/>
    <n v="0.14502191712844301"/>
    <n v="1.62574566856387"/>
    <n v="2.6257456685638698"/>
  </r>
  <r>
    <s v="CMP170"/>
    <s v="Seasonal Steals"/>
    <x v="0"/>
    <x v="134"/>
    <d v="2024-07-30T00:00:00"/>
    <n v="29243.200000000001"/>
    <n v="24662.400000000001"/>
    <n v="5070.3999999999996"/>
    <n v="4926.1120000000001"/>
    <n v="10076.624"/>
    <x v="3"/>
    <x v="2"/>
    <x v="0"/>
    <n v="0.84335503638452702"/>
    <n v="0.20559231867133801"/>
    <n v="0.19974179317503599"/>
    <n v="0.97154307352477098"/>
    <n v="1.0455531664728701"/>
    <n v="2.0455531664728701"/>
  </r>
  <r>
    <s v="CMP171"/>
    <s v="Seasonal Steals"/>
    <x v="0"/>
    <x v="135"/>
    <d v="2024-09-23T00:00:00"/>
    <n v="33251.199999999997"/>
    <n v="2547.1999999999998"/>
    <n v="964.8"/>
    <n v="6325.9840000000004"/>
    <n v="8931.8719999999994"/>
    <x v="0"/>
    <x v="0"/>
    <x v="1"/>
    <n v="7.6604754114137197E-2"/>
    <n v="0.37876884422110602"/>
    <n v="2.4835050251256301"/>
    <n v="6.5567827529021603"/>
    <n v="0.41193401690551201"/>
    <n v="1.4119340169055099"/>
  </r>
  <r>
    <s v="CMP172"/>
    <s v="Shop &amp; Share"/>
    <x v="1"/>
    <x v="32"/>
    <d v="2024-01-31T00:00:00"/>
    <n v="71848"/>
    <n v="36980.800000000003"/>
    <n v="30670.400000000001"/>
    <n v="2079.5039999999999"/>
    <n v="6752.24"/>
    <x v="1"/>
    <x v="2"/>
    <x v="1"/>
    <n v="0.51470882975169796"/>
    <n v="0.82936010037641195"/>
    <n v="5.6231990654610001E-2"/>
    <n v="6.7801658928478295E-2"/>
    <n v="2.2470435257638401"/>
    <n v="3.2470435257638401"/>
  </r>
  <r>
    <s v="CMP173"/>
    <s v="Cart to Couch"/>
    <x v="0"/>
    <x v="91"/>
    <d v="2024-06-18T00:00:00"/>
    <n v="70990.399999999994"/>
    <n v="10652.8"/>
    <n v="10446.4"/>
    <n v="2699.808"/>
    <n v="3422.384"/>
    <x v="2"/>
    <x v="3"/>
    <x v="0"/>
    <n v="0.15005972638553899"/>
    <n v="0.98062481225593301"/>
    <n v="0.25343646740762998"/>
    <n v="0.25844386582937701"/>
    <n v="0.26763977290236901"/>
    <n v="1.2676397729023701"/>
  </r>
  <r>
    <s v="CMP174"/>
    <s v="Shop &amp; Share"/>
    <x v="3"/>
    <x v="119"/>
    <d v="2024-06-14T00:00:00"/>
    <n v="6420.8"/>
    <n v="3241.6"/>
    <n v="988.8"/>
    <n v="6128.0640000000003"/>
    <n v="17740.32"/>
    <x v="3"/>
    <x v="4"/>
    <x v="1"/>
    <n v="0.50485920757538005"/>
    <n v="0.30503455083909198"/>
    <n v="1.8904442250740401"/>
    <n v="6.1974757281553403"/>
    <n v="1.89493060124698"/>
    <n v="2.8949306012469802"/>
  </r>
  <r>
    <s v="CMP175"/>
    <s v="Cart to Couch"/>
    <x v="1"/>
    <x v="32"/>
    <d v="2024-01-06T00:00:00"/>
    <n v="49056"/>
    <n v="8172.8"/>
    <n v="3350.4"/>
    <n v="3838.0160000000001"/>
    <n v="13491.392"/>
    <x v="2"/>
    <x v="2"/>
    <x v="1"/>
    <n v="0.166601435094586"/>
    <n v="0.40994518402505897"/>
    <n v="0.46960845732184803"/>
    <n v="1.14553963705826"/>
    <n v="2.5151995197518699"/>
    <n v="3.5151995197518699"/>
  </r>
  <r>
    <s v="CMP176"/>
    <s v="Wishlist Wonders"/>
    <x v="1"/>
    <x v="136"/>
    <d v="2024-03-25T00:00:00"/>
    <n v="65539.199999999997"/>
    <n v="23108.799999999999"/>
    <n v="22432"/>
    <n v="2400.3519999999999"/>
    <n v="6915.6959999999999"/>
    <x v="2"/>
    <x v="3"/>
    <x v="0"/>
    <n v="0.35259508813046198"/>
    <n v="0.97071245586097099"/>
    <n v="0.103871771792564"/>
    <n v="0.10700570613409401"/>
    <n v="1.8811174361093701"/>
    <n v="2.8811174361093701"/>
  </r>
  <r>
    <s v="CMP177"/>
    <s v="Shop &amp; Share"/>
    <x v="3"/>
    <x v="137"/>
    <d v="2024-05-31T00:00:00"/>
    <n v="12356.8"/>
    <n v="2992"/>
    <n v="937.6"/>
    <n v="7861.9359999999997"/>
    <n v="30883.135999999999"/>
    <x v="1"/>
    <x v="4"/>
    <x v="0"/>
    <n v="0.24213388579567499"/>
    <n v="0.31336898395721902"/>
    <n v="2.6276524064171101"/>
    <n v="8.3851706484641593"/>
    <n v="2.92818460999937"/>
    <n v="3.92818460999937"/>
  </r>
  <r>
    <s v="CMP178"/>
    <s v="Wishlist Wonders"/>
    <x v="2"/>
    <x v="138"/>
    <d v="2024-02-05T00:00:00"/>
    <n v="67345.600000000006"/>
    <n v="13721.6"/>
    <n v="13262.4"/>
    <n v="3038.3359999999998"/>
    <n v="5582.56"/>
    <x v="3"/>
    <x v="0"/>
    <x v="0"/>
    <n v="0.203749019980518"/>
    <n v="0.96653451492537301"/>
    <n v="0.22142723880597001"/>
    <n v="0.22909397997345901"/>
    <n v="0.83737414163542201"/>
    <n v="1.8373741416354199"/>
  </r>
  <r>
    <s v="CMP179"/>
    <s v="Deal of the Day"/>
    <x v="0"/>
    <x v="139"/>
    <d v="2024-05-31T00:00:00"/>
    <n v="12692.8"/>
    <n v="2833.6"/>
    <n v="638.4"/>
    <n v="4088.6880000000001"/>
    <n v="6368.848"/>
    <x v="2"/>
    <x v="1"/>
    <x v="0"/>
    <n v="0.22324467414597299"/>
    <n v="0.22529644268774701"/>
    <n v="1.44293054771316"/>
    <n v="6.4045864661654104"/>
    <n v="0.55767522491322397"/>
    <n v="1.55767522491322"/>
  </r>
  <r>
    <s v="CMP180"/>
    <s v="Flash Sale Frenzy"/>
    <x v="2"/>
    <x v="116"/>
    <d v="2024-08-16T00:00:00"/>
    <n v="18420.8"/>
    <n v="11440"/>
    <n v="3614.4"/>
    <n v="4887.5519999999997"/>
    <n v="12399.84"/>
    <x v="4"/>
    <x v="4"/>
    <x v="0"/>
    <n v="0.62103708850864203"/>
    <n v="0.315944055944056"/>
    <n v="0.42723356643356603"/>
    <n v="1.3522443559096899"/>
    <n v="1.5370246700188599"/>
    <n v="2.5370246700188601"/>
  </r>
  <r>
    <s v="CMP181"/>
    <s v="Seasonal Steals"/>
    <x v="1"/>
    <x v="140"/>
    <d v="2024-09-14T00:00:00"/>
    <n v="9456"/>
    <n v="5499.2"/>
    <n v="353.6"/>
    <n v="4599.0879999999997"/>
    <n v="12380.175999999999"/>
    <x v="4"/>
    <x v="0"/>
    <x v="1"/>
    <n v="0.58155668358713997"/>
    <n v="6.4300261856269997E-2"/>
    <n v="0.83631946464940399"/>
    <n v="13.006470588235301"/>
    <n v="1.6918763024321299"/>
    <n v="2.6918763024321302"/>
  </r>
  <r>
    <s v="CMP182"/>
    <s v="Wishlist Wonders"/>
    <x v="2"/>
    <x v="58"/>
    <d v="2024-11-21T00:00:00"/>
    <n v="27947.200000000001"/>
    <n v="4529.6000000000004"/>
    <n v="1302.4000000000001"/>
    <n v="3581.3919999999998"/>
    <n v="4786.576"/>
    <x v="4"/>
    <x v="3"/>
    <x v="1"/>
    <n v="0.16207705959809901"/>
    <n v="0.28753090780642898"/>
    <n v="0.79066407629812796"/>
    <n v="2.7498402948402898"/>
    <n v="0.33651273024567002"/>
    <n v="1.3365127302456701"/>
  </r>
  <r>
    <s v="CMP183"/>
    <s v="Seasonal Steals"/>
    <x v="0"/>
    <x v="44"/>
    <d v="2024-09-23T00:00:00"/>
    <n v="25884.799999999999"/>
    <n v="12475.2"/>
    <n v="11241.6"/>
    <n v="7454.9920000000002"/>
    <n v="13856.272000000001"/>
    <x v="2"/>
    <x v="0"/>
    <x v="0"/>
    <n v="0.48195079737915703"/>
    <n v="0.90111581377452898"/>
    <n v="0.59758496857765797"/>
    <n v="0.66316111585539395"/>
    <n v="0.85865685704290495"/>
    <n v="1.8586568570429001"/>
  </r>
  <r>
    <s v="CMP184"/>
    <s v="Deal of the Day"/>
    <x v="1"/>
    <x v="141"/>
    <d v="2024-06-11T00:00:00"/>
    <n v="17195.2"/>
    <n v="3164.8"/>
    <n v="3099.2"/>
    <n v="1091.6959999999999"/>
    <n v="3403.712"/>
    <x v="4"/>
    <x v="1"/>
    <x v="0"/>
    <n v="0.184051363171118"/>
    <n v="0.97927199191102099"/>
    <n v="0.34494944388270998"/>
    <n v="0.35225090345895699"/>
    <n v="2.1178203455907099"/>
    <n v="3.1178203455907099"/>
  </r>
  <r>
    <s v="CMP185"/>
    <s v="Seasonal Steals"/>
    <x v="2"/>
    <x v="142"/>
    <d v="2024-02-17T00:00:00"/>
    <n v="63171.199999999997"/>
    <n v="7950.4"/>
    <n v="4380.8"/>
    <n v="4349.8239999999996"/>
    <n v="5523.9520000000002"/>
    <x v="4"/>
    <x v="2"/>
    <x v="0"/>
    <n v="0.12585481991793701"/>
    <n v="0.55101630106661303"/>
    <n v="0.54712014489837002"/>
    <n v="0.99292914536157795"/>
    <n v="0.26992540387841002"/>
    <n v="1.26992540387841"/>
  </r>
  <r>
    <s v="CMP186"/>
    <s v="Wishlist Wonders"/>
    <x v="2"/>
    <x v="143"/>
    <d v="2024-08-04T00:00:00"/>
    <n v="67462.399999999994"/>
    <n v="18476.8"/>
    <n v="8264"/>
    <n v="3146.56"/>
    <n v="8293.5519999999997"/>
    <x v="4"/>
    <x v="1"/>
    <x v="0"/>
    <n v="0.27388293330803498"/>
    <n v="0.44726359542777999"/>
    <n v="0.170297887080014"/>
    <n v="0.38075508228460803"/>
    <n v="1.63575205939184"/>
    <n v="2.63575205939184"/>
  </r>
  <r>
    <s v="CMP187"/>
    <s v="Shop &amp; Share"/>
    <x v="1"/>
    <x v="61"/>
    <d v="2024-03-05T00:00:00"/>
    <n v="62035.199999999997"/>
    <n v="3040"/>
    <n v="1800"/>
    <n v="2453.7600000000002"/>
    <n v="4385.4719999999998"/>
    <x v="1"/>
    <x v="1"/>
    <x v="0"/>
    <n v="4.9004436191065703E-2"/>
    <n v="0.59210526315789502"/>
    <n v="0.80715789473684196"/>
    <n v="1.3632"/>
    <n v="0.78724569640062603"/>
    <n v="1.78724569640063"/>
  </r>
  <r>
    <s v="CMP188"/>
    <s v="Deal of the Day"/>
    <x v="1"/>
    <x v="29"/>
    <d v="2024-10-23T00:00:00"/>
    <n v="63652.800000000003"/>
    <n v="54875.199999999997"/>
    <n v="32816"/>
    <n v="2796.096"/>
    <n v="6675.2479999999996"/>
    <x v="1"/>
    <x v="1"/>
    <x v="0"/>
    <n v="0.86210190282281396"/>
    <n v="0.59801148788523795"/>
    <n v="5.0953727731288499E-2"/>
    <n v="8.5205265724037096E-2"/>
    <n v="1.3873457849802"/>
    <n v="2.3873457849801998"/>
  </r>
  <r>
    <s v="CMP189"/>
    <s v="Shop &amp; Share"/>
    <x v="3"/>
    <x v="144"/>
    <d v="2024-04-01T00:00:00"/>
    <n v="49457.599999999999"/>
    <n v="48116.800000000003"/>
    <n v="32286.400000000001"/>
    <n v="6547.52"/>
    <n v="14392.896000000001"/>
    <x v="0"/>
    <x v="1"/>
    <x v="0"/>
    <n v="0.97288990974086897"/>
    <n v="0.67100056529112495"/>
    <n v="0.13607554949622599"/>
    <n v="0.202794984885277"/>
    <n v="1.1982210058159399"/>
    <n v="2.1982210058159399"/>
  </r>
  <r>
    <s v="CMP190"/>
    <s v="Flash Sale Frenzy"/>
    <x v="3"/>
    <x v="77"/>
    <d v="2024-03-15T00:00:00"/>
    <n v="25766.400000000001"/>
    <n v="22536"/>
    <n v="2254.4"/>
    <n v="987.24800000000005"/>
    <n v="2163.5839999999998"/>
    <x v="3"/>
    <x v="1"/>
    <x v="1"/>
    <n v="0.874627421758569"/>
    <n v="0.100035498757543"/>
    <n v="4.3807596734114301E-2"/>
    <n v="0.43792051100071"/>
    <n v="1.19153039560475"/>
    <n v="2.19153039560475"/>
  </r>
  <r>
    <s v="CMP191"/>
    <s v="Deal of the Day"/>
    <x v="0"/>
    <x v="145"/>
    <d v="2024-08-21T00:00:00"/>
    <n v="48137.599999999999"/>
    <n v="34542.400000000001"/>
    <n v="9369.6"/>
    <n v="4861.68"/>
    <n v="11360.896000000001"/>
    <x v="3"/>
    <x v="0"/>
    <x v="0"/>
    <n v="0.71757628132686302"/>
    <n v="0.271249247301867"/>
    <n v="0.140745286951688"/>
    <n v="0.518878073770492"/>
    <n v="1.3368251304076"/>
    <n v="2.3368251304076"/>
  </r>
  <r>
    <s v="CMP192"/>
    <s v="Flash Sale Frenzy"/>
    <x v="0"/>
    <x v="146"/>
    <d v="2024-03-23T00:00:00"/>
    <n v="60728"/>
    <n v="39129.599999999999"/>
    <n v="14582.4"/>
    <n v="7446.16"/>
    <n v="18320.335999999999"/>
    <x v="4"/>
    <x v="4"/>
    <x v="0"/>
    <n v="0.64434198392833597"/>
    <n v="0.37266928361138402"/>
    <n v="0.19029481517827901"/>
    <n v="0.51062650866798298"/>
    <n v="1.4603736691126701"/>
    <n v="2.4603736691126699"/>
  </r>
  <r>
    <s v="CMP193"/>
    <s v="Cart to Couch"/>
    <x v="0"/>
    <x v="59"/>
    <d v="2024-05-09T00:00:00"/>
    <n v="64576"/>
    <n v="48915.199999999997"/>
    <n v="758.4"/>
    <n v="7242.7359999999999"/>
    <n v="24602.335999999999"/>
    <x v="0"/>
    <x v="3"/>
    <x v="0"/>
    <n v="0.75748265609514398"/>
    <n v="1.5504383095643099E-2"/>
    <n v="0.14806718566008101"/>
    <n v="9.5500210970464092"/>
    <n v="2.3968290436100399"/>
    <n v="3.3968290436100399"/>
  </r>
  <r>
    <s v="CMP194"/>
    <s v="Shop &amp; Share"/>
    <x v="2"/>
    <x v="147"/>
    <d v="2024-07-21T00:00:00"/>
    <n v="18080"/>
    <n v="6820.8"/>
    <n v="4211.2"/>
    <n v="361.072"/>
    <n v="485.85599999999999"/>
    <x v="4"/>
    <x v="2"/>
    <x v="0"/>
    <n v="0.37725663716814201"/>
    <n v="0.61740558292282399"/>
    <n v="5.2936898897490002E-2"/>
    <n v="8.5740881458966606E-2"/>
    <n v="0.345593122701289"/>
    <n v="1.3455931227012901"/>
  </r>
  <r>
    <s v="CMP195"/>
    <s v="Seasonal Steals"/>
    <x v="3"/>
    <x v="148"/>
    <d v="2024-02-01T00:00:00"/>
    <n v="55454.400000000001"/>
    <n v="40867.199999999997"/>
    <n v="25670.400000000001"/>
    <n v="4894.3040000000001"/>
    <n v="8759.0879999999997"/>
    <x v="4"/>
    <x v="4"/>
    <x v="1"/>
    <n v="0.73695144118410805"/>
    <n v="0.62814188395583703"/>
    <n v="0.119761177668154"/>
    <n v="0.190659436549489"/>
    <n v="0.78964935565914995"/>
    <n v="1.78964935565915"/>
  </r>
  <r>
    <s v="CMP196"/>
    <s v="Flash Sale Frenzy"/>
    <x v="3"/>
    <x v="127"/>
    <d v="2024-10-02T00:00:00"/>
    <n v="9680"/>
    <n v="2337.6"/>
    <n v="529.6"/>
    <n v="366.91199999999998"/>
    <n v="929.28"/>
    <x v="2"/>
    <x v="0"/>
    <x v="0"/>
    <n v="0.241487603305785"/>
    <n v="0.226557152635181"/>
    <n v="0.15696098562628299"/>
    <n v="0.69280966767371599"/>
    <n v="1.5327053898482501"/>
    <n v="2.5327053898482501"/>
  </r>
  <r>
    <s v="CMP197"/>
    <s v="Flash Sale Frenzy"/>
    <x v="1"/>
    <x v="76"/>
    <d v="2024-10-12T00:00:00"/>
    <n v="42372.800000000003"/>
    <n v="38022.400000000001"/>
    <n v="16251.2"/>
    <n v="5910.0479999999998"/>
    <n v="16192.384"/>
    <x v="4"/>
    <x v="2"/>
    <x v="1"/>
    <n v="0.89733036287429702"/>
    <n v="0.427411210233967"/>
    <n v="0.15543595354317499"/>
    <n v="0.36366840602540101"/>
    <n v="1.73980583575633"/>
    <n v="2.73980583575633"/>
  </r>
  <r>
    <s v="CMP198"/>
    <s v="Wishlist Wonders"/>
    <x v="1"/>
    <x v="149"/>
    <d v="2024-04-20T00:00:00"/>
    <n v="74296"/>
    <n v="60428.800000000003"/>
    <n v="17724.8"/>
    <n v="2994.1120000000001"/>
    <n v="3814.1120000000001"/>
    <x v="0"/>
    <x v="0"/>
    <x v="1"/>
    <n v="0.81335199741574205"/>
    <n v="0.29331709383605198"/>
    <n v="4.9547765303961003E-2"/>
    <n v="0.168922188120599"/>
    <n v="0.273870850522626"/>
    <n v="1.2738708505226299"/>
  </r>
  <r>
    <s v="CMP199"/>
    <s v="Cart to Couch"/>
    <x v="1"/>
    <x v="83"/>
    <d v="2024-07-08T00:00:00"/>
    <n v="30980.799999999999"/>
    <n v="25577.599999999999"/>
    <n v="7819.2"/>
    <n v="7048.0640000000003"/>
    <n v="15367.232"/>
    <x v="4"/>
    <x v="0"/>
    <x v="0"/>
    <n v="0.82559520735423197"/>
    <n v="0.30570499186788402"/>
    <n v="0.27555611159764798"/>
    <n v="0.90137916922447303"/>
    <n v="1.18034796505821"/>
    <n v="2.18034796505821"/>
  </r>
  <r>
    <s v="CMP200"/>
    <s v="Wishlist Wonders"/>
    <x v="0"/>
    <x v="150"/>
    <d v="2024-09-10T00:00:00"/>
    <n v="3440"/>
    <n v="1321.6"/>
    <n v="28.8"/>
    <n v="748.17600000000004"/>
    <n v="1611.376"/>
    <x v="2"/>
    <x v="3"/>
    <x v="0"/>
    <n v="0.38418604651162802"/>
    <n v="2.17917675544794E-2"/>
    <n v="0.566113801452785"/>
    <n v="25.9783333333333"/>
    <n v="1.1537392271337199"/>
    <n v="2.1537392271337201"/>
  </r>
  <r>
    <s v="CMP201"/>
    <s v="Cart to Couch"/>
    <x v="2"/>
    <x v="18"/>
    <d v="2024-08-09T00:00:00"/>
    <n v="40790.400000000001"/>
    <n v="35742.400000000001"/>
    <n v="6083.2"/>
    <n v="6801.808"/>
    <n v="8898.7199999999993"/>
    <x v="3"/>
    <x v="3"/>
    <x v="1"/>
    <n v="0.87624539107240895"/>
    <n v="0.17019562200635699"/>
    <n v="0.19030081919513001"/>
    <n v="1.11812993161494"/>
    <n v="0.30828744357382598"/>
    <n v="1.3082874435738301"/>
  </r>
  <r>
    <s v="CMP202"/>
    <s v="Wishlist Wonders"/>
    <x v="2"/>
    <x v="86"/>
    <d v="2024-09-07T00:00:00"/>
    <n v="70616"/>
    <n v="45107.199999999997"/>
    <n v="36233.599999999999"/>
    <n v="4156.576"/>
    <n v="16135.951999999999"/>
    <x v="2"/>
    <x v="4"/>
    <x v="1"/>
    <n v="0.63876741814886095"/>
    <n v="0.80327752553915999"/>
    <n v="9.2148836549375696E-2"/>
    <n v="0.114716064647178"/>
    <n v="2.8820298245478999"/>
    <n v="3.8820298245478999"/>
  </r>
  <r>
    <s v="CMP203"/>
    <s v="Flash Sale Frenzy"/>
    <x v="0"/>
    <x v="23"/>
    <d v="2024-10-25T00:00:00"/>
    <n v="79342.399999999994"/>
    <n v="7969.6"/>
    <n v="3241.6"/>
    <n v="3044.0479999999998"/>
    <n v="7382.64"/>
    <x v="1"/>
    <x v="1"/>
    <x v="0"/>
    <n v="0.10044566335276001"/>
    <n v="0.40674563340694603"/>
    <n v="0.38195743826540901"/>
    <n v="0.93905725567620901"/>
    <n v="1.4252705607795899"/>
    <n v="2.4252705607795901"/>
  </r>
  <r>
    <s v="CMP204"/>
    <s v="Shop &amp; Share"/>
    <x v="3"/>
    <x v="88"/>
    <d v="2024-10-19T00:00:00"/>
    <n v="47792"/>
    <n v="13360"/>
    <n v="12187.2"/>
    <n v="502.8"/>
    <n v="1766.624"/>
    <x v="4"/>
    <x v="2"/>
    <x v="0"/>
    <n v="0.279544693672581"/>
    <n v="0.91221556886227595"/>
    <n v="3.7634730538922197E-2"/>
    <n v="4.1256400157542297E-2"/>
    <n v="2.5135719968178201"/>
    <n v="3.5135719968178201"/>
  </r>
  <r>
    <s v="CMP205"/>
    <s v="Flash Sale Frenzy"/>
    <x v="3"/>
    <x v="151"/>
    <d v="2024-09-12T00:00:00"/>
    <n v="61137.599999999999"/>
    <n v="55267.199999999997"/>
    <n v="30552"/>
    <n v="752.32"/>
    <n v="1415.6"/>
    <x v="4"/>
    <x v="2"/>
    <x v="0"/>
    <n v="0.90398052916699401"/>
    <n v="0.552805280528053"/>
    <n v="1.36124138729662E-2"/>
    <n v="2.4624247185126999E-2"/>
    <n v="0.88164610803913201"/>
    <n v="1.88164610803913"/>
  </r>
  <r>
    <s v="CMP206"/>
    <s v="Seasonal Steals"/>
    <x v="3"/>
    <x v="115"/>
    <d v="2024-07-01T00:00:00"/>
    <n v="15236.8"/>
    <n v="1140.8"/>
    <n v="259.2"/>
    <n v="3767.2959999999998"/>
    <n v="10759.103999999999"/>
    <x v="0"/>
    <x v="0"/>
    <x v="0"/>
    <n v="7.4871364065945606E-2"/>
    <n v="0.22720897615708299"/>
    <n v="3.3023281907433399"/>
    <n v="14.534320987654301"/>
    <n v="1.8559221255775999"/>
    <n v="2.8559221255775999"/>
  </r>
  <r>
    <s v="CMP207"/>
    <s v="Flash Sale Frenzy"/>
    <x v="3"/>
    <x v="29"/>
    <d v="2024-10-28T00:00:00"/>
    <n v="21936"/>
    <n v="18984"/>
    <n v="18816"/>
    <n v="3830.56"/>
    <n v="12354.928"/>
    <x v="2"/>
    <x v="3"/>
    <x v="1"/>
    <n v="0.86542669584245102"/>
    <n v="0.99115044247787598"/>
    <n v="0.201778339654446"/>
    <n v="0.20357993197278901"/>
    <n v="2.22535817217326"/>
    <n v="3.22535817217326"/>
  </r>
  <r>
    <s v="CMP208"/>
    <s v="Shop &amp; Share"/>
    <x v="2"/>
    <x v="152"/>
    <d v="2024-08-09T00:00:00"/>
    <n v="63700.800000000003"/>
    <n v="18608"/>
    <n v="4051.2"/>
    <n v="3611.9839999999999"/>
    <n v="14254.288"/>
    <x v="2"/>
    <x v="2"/>
    <x v="1"/>
    <n v="0.29211564061989798"/>
    <n v="0.217712811693895"/>
    <n v="0.194109200343938"/>
    <n v="0.891583728278041"/>
    <n v="2.9463873594124399"/>
    <n v="3.9463873594124501"/>
  </r>
  <r>
    <s v="CMP209"/>
    <s v="Cart to Couch"/>
    <x v="3"/>
    <x v="153"/>
    <d v="2024-05-16T00:00:00"/>
    <n v="67715.199999999997"/>
    <n v="14027.2"/>
    <n v="2880"/>
    <n v="4442.8320000000003"/>
    <n v="12770.672"/>
    <x v="3"/>
    <x v="3"/>
    <x v="0"/>
    <n v="0.20714994565474201"/>
    <n v="0.20531538724763301"/>
    <n v="0.31672978213756098"/>
    <n v="1.5426500000000001"/>
    <n v="1.8744440483007201"/>
    <n v="2.8744440483007199"/>
  </r>
  <r>
    <s v="CMP210"/>
    <s v="Flash Sale Frenzy"/>
    <x v="2"/>
    <x v="135"/>
    <d v="2024-09-22T00:00:00"/>
    <n v="47508.800000000003"/>
    <n v="32628.799999999999"/>
    <n v="24128"/>
    <n v="6420.72"/>
    <n v="25156.416000000001"/>
    <x v="4"/>
    <x v="2"/>
    <x v="0"/>
    <n v="0.68679486747718299"/>
    <n v="0.73946942578335695"/>
    <n v="0.196780758103271"/>
    <n v="0.26611074270557"/>
    <n v="2.9180054573318901"/>
    <n v="3.9180054573318901"/>
  </r>
  <r>
    <s v="CMP211"/>
    <s v="Deal of the Day"/>
    <x v="0"/>
    <x v="154"/>
    <d v="2024-02-27T00:00:00"/>
    <n v="4457.6000000000004"/>
    <n v="3635.2"/>
    <n v="833.6"/>
    <n v="906.8"/>
    <n v="1690.144"/>
    <x v="0"/>
    <x v="1"/>
    <x v="1"/>
    <n v="0.81550610193826301"/>
    <n v="0.22931338028168999"/>
    <n v="0.249449823943662"/>
    <n v="1.08781190019194"/>
    <n v="0.86385531539479499"/>
    <n v="1.8638553153947901"/>
  </r>
  <r>
    <s v="CMP212"/>
    <s v="Wishlist Wonders"/>
    <x v="3"/>
    <x v="89"/>
    <d v="2024-03-03T00:00:00"/>
    <n v="23776"/>
    <n v="23764.799999999999"/>
    <n v="3908.8"/>
    <n v="2463.0720000000001"/>
    <n v="9420.3680000000004"/>
    <x v="1"/>
    <x v="3"/>
    <x v="0"/>
    <n v="0.99952893674293397"/>
    <n v="0.164478556520568"/>
    <n v="0.10364370834174901"/>
    <n v="0.63013507981989403"/>
    <n v="2.8246417481908801"/>
    <n v="3.8246417481908801"/>
  </r>
  <r>
    <s v="CMP213"/>
    <s v="Seasonal Steals"/>
    <x v="3"/>
    <x v="23"/>
    <d v="2024-10-31T00:00:00"/>
    <n v="45985.599999999999"/>
    <n v="18195.2"/>
    <n v="6672"/>
    <n v="7114.0959999999995"/>
    <n v="18946.975999999999"/>
    <x v="2"/>
    <x v="3"/>
    <x v="0"/>
    <n v="0.39567168852858298"/>
    <n v="0.36669011607456897"/>
    <n v="0.39098751319029201"/>
    <n v="1.06626139088729"/>
    <n v="1.66330057958172"/>
    <n v="2.66330057958172"/>
  </r>
  <r>
    <s v="CMP214"/>
    <s v="Wishlist Wonders"/>
    <x v="3"/>
    <x v="153"/>
    <d v="2024-04-26T00:00:00"/>
    <n v="50355.199999999997"/>
    <n v="1480"/>
    <n v="569.6"/>
    <n v="2126.9760000000001"/>
    <n v="4976.4960000000001"/>
    <x v="0"/>
    <x v="2"/>
    <x v="0"/>
    <n v="2.9391204880528699E-2"/>
    <n v="0.38486486486486499"/>
    <n v="1.4371459459459499"/>
    <n v="3.73415730337079"/>
    <n v="1.33970482036469"/>
    <n v="2.3397048203646902"/>
  </r>
  <r>
    <s v="CMP215"/>
    <s v="Deal of the Day"/>
    <x v="1"/>
    <x v="155"/>
    <d v="2024-05-08T00:00:00"/>
    <n v="62651.199999999997"/>
    <n v="10817.6"/>
    <n v="1123.2"/>
    <n v="3718.0320000000002"/>
    <n v="7976.0640000000003"/>
    <x v="1"/>
    <x v="1"/>
    <x v="0"/>
    <n v="0.17266389151365"/>
    <n v="0.10383079426120401"/>
    <n v="0.34370211507173498"/>
    <n v="3.3102136752136802"/>
    <n v="1.14523812597632"/>
    <n v="2.14523812597632"/>
  </r>
  <r>
    <s v="CMP216"/>
    <s v="Shop &amp; Share"/>
    <x v="0"/>
    <x v="82"/>
    <d v="2024-08-29T00:00:00"/>
    <n v="49881.599999999999"/>
    <n v="5158.3999999999996"/>
    <n v="704"/>
    <n v="7735.44"/>
    <n v="15807.888000000001"/>
    <x v="4"/>
    <x v="0"/>
    <x v="0"/>
    <n v="0.103412881703875"/>
    <n v="0.13647642679900701"/>
    <n v="1.49958126550868"/>
    <n v="10.987840909090901"/>
    <n v="1.04356675250535"/>
    <n v="2.0435667525053498"/>
  </r>
  <r>
    <s v="CMP217"/>
    <s v="Shop &amp; Share"/>
    <x v="2"/>
    <x v="38"/>
    <d v="2024-09-17T00:00:00"/>
    <n v="49776"/>
    <n v="22211.200000000001"/>
    <n v="21777.599999999999"/>
    <n v="5251.7280000000001"/>
    <n v="18571.936000000002"/>
    <x v="1"/>
    <x v="0"/>
    <x v="1"/>
    <n v="0.446223079395693"/>
    <n v="0.98047831724535395"/>
    <n v="0.23644503673822201"/>
    <n v="0.24115274410403401"/>
    <n v="2.5363476554764501"/>
    <n v="3.5363476554764501"/>
  </r>
  <r>
    <s v="CMP218"/>
    <s v="Seasonal Steals"/>
    <x v="2"/>
    <x v="32"/>
    <d v="2024-01-21T00:00:00"/>
    <n v="29148.799999999999"/>
    <n v="28937.599999999999"/>
    <n v="21944"/>
    <n v="7948.2240000000002"/>
    <n v="29508.896000000001"/>
    <x v="1"/>
    <x v="0"/>
    <x v="0"/>
    <n v="0.99275441870677394"/>
    <n v="0.75832135353312002"/>
    <n v="0.274667698772531"/>
    <n v="0.36220488516223098"/>
    <n v="2.7126402074224401"/>
    <n v="3.7126402074224401"/>
  </r>
  <r>
    <s v="CMP219"/>
    <s v="Wishlist Wonders"/>
    <x v="3"/>
    <x v="122"/>
    <d v="2024-01-31T00:00:00"/>
    <n v="57516.800000000003"/>
    <n v="35022.400000000001"/>
    <n v="440"/>
    <n v="4908.4480000000003"/>
    <n v="18161.84"/>
    <x v="2"/>
    <x v="4"/>
    <x v="1"/>
    <n v="0.60890731055969705"/>
    <n v="1.25633880031066E-2"/>
    <n v="0.140151674356983"/>
    <n v="11.155563636363601"/>
    <n v="2.7001186525761298"/>
    <n v="3.7001186525761298"/>
  </r>
  <r>
    <s v="CMP220"/>
    <s v="Shop &amp; Share"/>
    <x v="2"/>
    <x v="156"/>
    <d v="2024-11-03T00:00:00"/>
    <n v="9076.7999999999993"/>
    <n v="904"/>
    <n v="19.2"/>
    <n v="1545.5519999999999"/>
    <n v="4124.2879999999996"/>
    <x v="2"/>
    <x v="0"/>
    <x v="0"/>
    <n v="9.9594570773840999E-2"/>
    <n v="2.12389380530973E-2"/>
    <n v="1.7096814159292"/>
    <n v="80.497500000000002"/>
    <n v="1.66848866942038"/>
    <n v="2.6684886694203702"/>
  </r>
  <r>
    <s v="CMP221"/>
    <s v="Wishlist Wonders"/>
    <x v="3"/>
    <x v="157"/>
    <d v="2024-09-20T00:00:00"/>
    <n v="19243.2"/>
    <n v="8739.2000000000007"/>
    <n v="5908.8"/>
    <n v="7142.9920000000002"/>
    <n v="24675.903999999999"/>
    <x v="2"/>
    <x v="3"/>
    <x v="0"/>
    <n v="0.45414484077492301"/>
    <n v="0.67612596118637902"/>
    <n v="0.81735078725741495"/>
    <n v="1.20887354454373"/>
    <n v="2.4545613378819402"/>
    <n v="3.4545613378819402"/>
  </r>
  <r>
    <s v="CMP222"/>
    <s v="Flash Sale Frenzy"/>
    <x v="3"/>
    <x v="149"/>
    <d v="2024-05-02T00:00:00"/>
    <n v="55075.199999999997"/>
    <n v="7649.6"/>
    <n v="3918.4"/>
    <n v="1840.0319999999999"/>
    <n v="4907.0559999999996"/>
    <x v="3"/>
    <x v="4"/>
    <x v="0"/>
    <n v="0.13889373075358799"/>
    <n v="0.51223593390504096"/>
    <n v="0.24053963605940201"/>
    <n v="0.46958758677010998"/>
    <n v="1.6668318811846701"/>
    <n v="2.6668318811846699"/>
  </r>
  <r>
    <s v="CMP223"/>
    <s v="Wishlist Wonders"/>
    <x v="0"/>
    <x v="158"/>
    <d v="2024-09-21T00:00:00"/>
    <n v="28056"/>
    <n v="6680"/>
    <n v="3097.6"/>
    <n v="1483.136"/>
    <n v="3906.3679999999999"/>
    <x v="4"/>
    <x v="0"/>
    <x v="0"/>
    <n v="0.238095238095238"/>
    <n v="0.46371257485029899"/>
    <n v="0.222026347305389"/>
    <n v="0.47880165289256199"/>
    <n v="1.6338569086044701"/>
    <n v="2.6338569086044701"/>
  </r>
  <r>
    <s v="CMP224"/>
    <s v="Cart to Couch"/>
    <x v="2"/>
    <x v="54"/>
    <d v="2024-05-25T00:00:00"/>
    <n v="15635.2"/>
    <n v="3737.6"/>
    <n v="1313.6"/>
    <n v="2740.1759999999999"/>
    <n v="10839.696"/>
    <x v="3"/>
    <x v="3"/>
    <x v="0"/>
    <n v="0.239050347932869"/>
    <n v="0.35145547945205502"/>
    <n v="0.73313784246575298"/>
    <n v="2.08600487210719"/>
    <n v="2.95583933294796"/>
    <n v="3.95583933294796"/>
  </r>
  <r>
    <s v="CMP225"/>
    <s v="Shop &amp; Share"/>
    <x v="3"/>
    <x v="151"/>
    <d v="2024-09-02T00:00:00"/>
    <n v="11368"/>
    <n v="4406.3999999999996"/>
    <n v="3371.2"/>
    <n v="3156.7840000000001"/>
    <n v="10240.48"/>
    <x v="2"/>
    <x v="0"/>
    <x v="0"/>
    <n v="0.38761435608726202"/>
    <n v="0.76506899055918698"/>
    <n v="0.71640885984023295"/>
    <n v="0.93639772187945003"/>
    <n v="2.2439596754164999"/>
    <n v="3.2439596754164999"/>
  </r>
  <r>
    <s v="CMP226"/>
    <s v="Seasonal Steals"/>
    <x v="0"/>
    <x v="159"/>
    <d v="2024-07-29T00:00:00"/>
    <n v="4619.2"/>
    <n v="4460.8"/>
    <n v="2435.1999999999998"/>
    <n v="7547.3119999999999"/>
    <n v="13963.248"/>
    <x v="2"/>
    <x v="1"/>
    <x v="0"/>
    <n v="0.96570834776584702"/>
    <n v="0.54591104734576801"/>
    <n v="1.6919189383070301"/>
    <n v="3.0992575558475699"/>
    <n v="0.85009550420070101"/>
    <n v="1.8500955042006999"/>
  </r>
  <r>
    <s v="CMP227"/>
    <s v="Flash Sale Frenzy"/>
    <x v="1"/>
    <x v="152"/>
    <d v="2024-08-12T00:00:00"/>
    <n v="53073.599999999999"/>
    <n v="26928"/>
    <n v="2598.4"/>
    <n v="7682.2719999999999"/>
    <n v="10639.263999999999"/>
    <x v="4"/>
    <x v="3"/>
    <x v="0"/>
    <n v="0.50737089626481002"/>
    <n v="9.6494355317884695E-2"/>
    <n v="0.28528936423054102"/>
    <n v="2.9565394088669898"/>
    <n v="0.38491113045724001"/>
    <n v="1.3849111304572399"/>
  </r>
  <r>
    <s v="CMP228"/>
    <s v="Shop &amp; Share"/>
    <x v="0"/>
    <x v="160"/>
    <d v="2024-08-09T00:00:00"/>
    <n v="67334.399999999994"/>
    <n v="12390.4"/>
    <n v="7017.6"/>
    <n v="4499.7759999999998"/>
    <n v="14963.04"/>
    <x v="2"/>
    <x v="0"/>
    <x v="0"/>
    <n v="0.184012926527897"/>
    <n v="0.56637396694214903"/>
    <n v="0.36316632231404999"/>
    <n v="0.64121295029639802"/>
    <n v="2.3252855253239302"/>
    <n v="3.3252855253239302"/>
  </r>
  <r>
    <s v="CMP229"/>
    <s v="Shop &amp; Share"/>
    <x v="2"/>
    <x v="52"/>
    <d v="2024-02-11T00:00:00"/>
    <n v="68646.399999999994"/>
    <n v="1564.8"/>
    <n v="947.2"/>
    <n v="1140.7840000000001"/>
    <n v="3006.72"/>
    <x v="1"/>
    <x v="2"/>
    <x v="0"/>
    <n v="2.2795077382062299E-2"/>
    <n v="0.60531697341513302"/>
    <n v="0.72902862985685102"/>
    <n v="1.204375"/>
    <n v="1.6356610892158401"/>
    <n v="2.6356610892158399"/>
  </r>
  <r>
    <s v="CMP230"/>
    <s v="Seasonal Steals"/>
    <x v="0"/>
    <x v="78"/>
    <d v="2024-08-28T00:00:00"/>
    <n v="63360"/>
    <n v="11356.8"/>
    <n v="5512"/>
    <n v="6855.232"/>
    <n v="25890.576000000001"/>
    <x v="1"/>
    <x v="1"/>
    <x v="0"/>
    <n v="0.17924242424242401"/>
    <n v="0.48534798534798501"/>
    <n v="0.60362355593124795"/>
    <n v="1.2436923076923101"/>
    <n v="2.7767614575261601"/>
    <n v="3.7767614575261601"/>
  </r>
  <r>
    <s v="CMP231"/>
    <s v="Seasonal Steals"/>
    <x v="3"/>
    <x v="161"/>
    <d v="2024-09-12T00:00:00"/>
    <n v="31233.599999999999"/>
    <n v="4224"/>
    <n v="3262.4"/>
    <n v="6061.2640000000001"/>
    <n v="21595.103999999999"/>
    <x v="2"/>
    <x v="0"/>
    <x v="0"/>
    <n v="0.135238973413247"/>
    <n v="0.77234848484848495"/>
    <n v="1.43495833333333"/>
    <n v="1.85791564492398"/>
    <n v="2.5628053818477499"/>
    <n v="3.5628053818477499"/>
  </r>
  <r>
    <s v="CMP232"/>
    <s v="Deal of the Day"/>
    <x v="1"/>
    <x v="68"/>
    <d v="2024-04-17T00:00:00"/>
    <n v="48721.599999999999"/>
    <n v="33841.599999999999"/>
    <n v="1307.2"/>
    <n v="2643.0880000000002"/>
    <n v="8050.1279999999997"/>
    <x v="0"/>
    <x v="3"/>
    <x v="0"/>
    <n v="0.69459131063019297"/>
    <n v="3.86270152711456E-2"/>
    <n v="7.8101744598364206E-2"/>
    <n v="2.02194614443084"/>
    <n v="2.0457283298929099"/>
    <n v="3.0457283298929099"/>
  </r>
  <r>
    <s v="CMP233"/>
    <s v="Flash Sale Frenzy"/>
    <x v="1"/>
    <x v="162"/>
    <d v="2024-10-22T00:00:00"/>
    <n v="24126.400000000001"/>
    <n v="16318.4"/>
    <n v="8756.7999999999993"/>
    <n v="5628.9120000000003"/>
    <n v="9627.44"/>
    <x v="1"/>
    <x v="2"/>
    <x v="1"/>
    <n v="0.67637111214271495"/>
    <n v="0.53662123737621303"/>
    <n v="0.34494264143543502"/>
    <n v="0.64280467750776504"/>
    <n v="0.71035539372440004"/>
    <n v="1.7103553937244"/>
  </r>
  <r>
    <s v="CMP234"/>
    <s v="Shop &amp; Share"/>
    <x v="3"/>
    <x v="74"/>
    <d v="2024-07-14T00:00:00"/>
    <n v="23342.400000000001"/>
    <n v="8011.2"/>
    <n v="5204.8"/>
    <n v="7621.4080000000004"/>
    <n v="12773.328"/>
    <x v="1"/>
    <x v="1"/>
    <x v="0"/>
    <n v="0.34320378367262999"/>
    <n v="0.64969043339324895"/>
    <n v="0.95134411823447196"/>
    <n v="1.4643037196434101"/>
    <n v="0.67598008137079102"/>
    <n v="1.6759800813707899"/>
  </r>
  <r>
    <s v="CMP235"/>
    <s v="Seasonal Steals"/>
    <x v="1"/>
    <x v="120"/>
    <d v="2024-03-06T00:00:00"/>
    <n v="29027.200000000001"/>
    <n v="1025.5999999999999"/>
    <n v="307.2"/>
    <n v="4614.72"/>
    <n v="14170.832"/>
    <x v="2"/>
    <x v="3"/>
    <x v="0"/>
    <n v="3.5332377907617701E-2"/>
    <n v="0.29953198127925101"/>
    <n v="4.49953198127925"/>
    <n v="15.021875"/>
    <n v="2.07078912696762"/>
    <n v="3.07078912696762"/>
  </r>
  <r>
    <s v="CMP236"/>
    <s v="Shop &amp; Share"/>
    <x v="1"/>
    <x v="163"/>
    <d v="2024-02-13T00:00:00"/>
    <n v="54387.199999999997"/>
    <n v="27587.200000000001"/>
    <n v="12096"/>
    <n v="2446.56"/>
    <n v="8975.6319999999996"/>
    <x v="0"/>
    <x v="4"/>
    <x v="1"/>
    <n v="0.50723699694045699"/>
    <n v="0.43846421528825003"/>
    <n v="8.8684607354135206E-2"/>
    <n v="0.202261904761905"/>
    <n v="2.6686743836243498"/>
    <n v="3.6686743836243498"/>
  </r>
  <r>
    <s v="CMP237"/>
    <s v="Shop &amp; Share"/>
    <x v="0"/>
    <x v="164"/>
    <d v="2024-03-11T00:00:00"/>
    <n v="40612.800000000003"/>
    <n v="5100.8"/>
    <n v="1726.4"/>
    <n v="3830.864"/>
    <n v="14404.608"/>
    <x v="2"/>
    <x v="3"/>
    <x v="0"/>
    <n v="0.125595871252413"/>
    <n v="0.33845671267252198"/>
    <n v="0.75103199498117901"/>
    <n v="2.2189898053753501"/>
    <n v="2.7601460140584502"/>
    <n v="3.7601460140584502"/>
  </r>
  <r>
    <s v="CMP238"/>
    <s v="Flash Sale Frenzy"/>
    <x v="0"/>
    <x v="9"/>
    <d v="2024-05-26T00:00:00"/>
    <n v="35384"/>
    <n v="8704"/>
    <n v="1720"/>
    <n v="2652.192"/>
    <n v="5350.9759999999997"/>
    <x v="2"/>
    <x v="3"/>
    <x v="0"/>
    <n v="0.245986886728465"/>
    <n v="0.197610294117647"/>
    <n v="0.30470955882352901"/>
    <n v="1.5419720930232601"/>
    <n v="1.0175673556062299"/>
    <n v="2.0175673556062299"/>
  </r>
  <r>
    <s v="CMP239"/>
    <s v="Shop &amp; Share"/>
    <x v="3"/>
    <x v="165"/>
    <d v="2024-05-31T00:00:00"/>
    <n v="16689.599999999999"/>
    <n v="9211.2000000000007"/>
    <n v="6480"/>
    <n v="7422.5919999999996"/>
    <n v="22216.752"/>
    <x v="4"/>
    <x v="0"/>
    <x v="1"/>
    <n v="0.55191256830601099"/>
    <n v="0.70349140177175595"/>
    <n v="0.80582247698454001"/>
    <n v="1.1454617283950601"/>
    <n v="1.99312585145459"/>
    <n v="2.99312585145459"/>
  </r>
  <r>
    <s v="CMP240"/>
    <s v="Flash Sale Frenzy"/>
    <x v="3"/>
    <x v="158"/>
    <d v="2024-09-18T00:00:00"/>
    <n v="53984"/>
    <n v="53972.800000000003"/>
    <n v="29348.799999999999"/>
    <n v="7087.8879999999999"/>
    <n v="9309.5040000000008"/>
    <x v="3"/>
    <x v="0"/>
    <x v="0"/>
    <n v="0.99979253112033195"/>
    <n v="0.54377019535766202"/>
    <n v="0.131323333234518"/>
    <n v="0.24150520634574499"/>
    <n v="0.313438361328509"/>
    <n v="1.3134383613285101"/>
  </r>
  <r>
    <s v="CMP241"/>
    <s v="Wishlist Wonders"/>
    <x v="2"/>
    <x v="30"/>
    <d v="2024-08-27T00:00:00"/>
    <n v="49547.199999999997"/>
    <n v="42747.199999999997"/>
    <n v="39625.599999999999"/>
    <n v="1590.56"/>
    <n v="2845.3119999999999"/>
    <x v="1"/>
    <x v="2"/>
    <x v="1"/>
    <n v="0.86275712855620501"/>
    <n v="0.92697533405696797"/>
    <n v="3.7208518920537503E-2"/>
    <n v="4.0139707663732503E-2"/>
    <n v="0.78887435871642697"/>
    <n v="1.78887435871643"/>
  </r>
  <r>
    <s v="CMP242"/>
    <s v="Shop &amp; Share"/>
    <x v="1"/>
    <x v="48"/>
    <d v="2024-08-12T00:00:00"/>
    <n v="71230.399999999994"/>
    <n v="26193.599999999999"/>
    <n v="20982.400000000001"/>
    <n v="1989.84"/>
    <n v="7874"/>
    <x v="0"/>
    <x v="4"/>
    <x v="0"/>
    <n v="0.36773063186504601"/>
    <n v="0.80105063832386503"/>
    <n v="7.5966648341579596E-2"/>
    <n v="9.4833765441512896E-2"/>
    <n v="2.95710207855908"/>
    <n v="3.95710207855908"/>
  </r>
  <r>
    <s v="CMP243"/>
    <s v="Cart to Couch"/>
    <x v="1"/>
    <x v="94"/>
    <d v="2024-05-18T00:00:00"/>
    <n v="43025.599999999999"/>
    <n v="39075.199999999997"/>
    <n v="752"/>
    <n v="5749.232"/>
    <n v="10060.224"/>
    <x v="1"/>
    <x v="1"/>
    <x v="0"/>
    <n v="0.908184894574393"/>
    <n v="1.9244943084104502E-2"/>
    <n v="0.147132503480468"/>
    <n v="7.6452553191489399"/>
    <n v="0.749837891391407"/>
    <n v="1.7498378913914101"/>
  </r>
  <r>
    <s v="CMP244"/>
    <s v="Shop &amp; Share"/>
    <x v="2"/>
    <x v="25"/>
    <d v="2024-11-14T00:00:00"/>
    <n v="46212.800000000003"/>
    <n v="42828.800000000003"/>
    <n v="35329.599999999999"/>
    <n v="7856.64"/>
    <n v="22232.944"/>
    <x v="2"/>
    <x v="1"/>
    <x v="1"/>
    <n v="0.92677353460513101"/>
    <n v="0.82490286909743005"/>
    <n v="0.18344291691572001"/>
    <n v="0.22238123273402499"/>
    <n v="1.8298285272075601"/>
    <n v="2.8298285272075598"/>
  </r>
  <r>
    <s v="CMP245"/>
    <s v="Cart to Couch"/>
    <x v="0"/>
    <x v="118"/>
    <d v="2024-08-20T00:00:00"/>
    <n v="25550.400000000001"/>
    <n v="22099.200000000001"/>
    <n v="1142.4000000000001"/>
    <n v="3915.76"/>
    <n v="9771.3119999999999"/>
    <x v="1"/>
    <x v="2"/>
    <x v="1"/>
    <n v="0.86492579372534295"/>
    <n v="5.1694178974804501E-2"/>
    <n v="0.177190124529395"/>
    <n v="3.4276610644257701"/>
    <n v="1.4953807179193801"/>
    <n v="2.4953807179193799"/>
  </r>
  <r>
    <s v="CMP246"/>
    <s v="Shop &amp; Share"/>
    <x v="2"/>
    <x v="69"/>
    <d v="2024-10-28T00:00:00"/>
    <n v="37808"/>
    <n v="37145.599999999999"/>
    <n v="34857.599999999999"/>
    <n v="3980.6880000000001"/>
    <n v="10650.495999999999"/>
    <x v="1"/>
    <x v="4"/>
    <x v="1"/>
    <n v="0.98247989843419403"/>
    <n v="0.93840454858718103"/>
    <n v="0.107164455547898"/>
    <n v="0.11419856788763399"/>
    <n v="1.6755415144316801"/>
    <n v="2.6755415144316799"/>
  </r>
  <r>
    <s v="CMP247"/>
    <s v="Wishlist Wonders"/>
    <x v="1"/>
    <x v="14"/>
    <d v="2024-08-23T00:00:00"/>
    <n v="1960"/>
    <n v="857.6"/>
    <n v="403.2"/>
    <n v="559.44000000000005"/>
    <n v="1591.4559999999999"/>
    <x v="0"/>
    <x v="2"/>
    <x v="0"/>
    <n v="0.43755102040816302"/>
    <n v="0.47014925373134298"/>
    <n v="0.65233208955223898"/>
    <n v="1.3875"/>
    <n v="1.84473044473044"/>
    <n v="2.8447304447304398"/>
  </r>
  <r>
    <s v="CMP248"/>
    <s v="Deal of the Day"/>
    <x v="3"/>
    <x v="166"/>
    <d v="2024-05-08T00:00:00"/>
    <n v="50884.800000000003"/>
    <n v="28569.599999999999"/>
    <n v="7769.6"/>
    <n v="254.352"/>
    <n v="340.4"/>
    <x v="3"/>
    <x v="0"/>
    <x v="0"/>
    <n v="0.56145646637109703"/>
    <n v="0.27195340501792098"/>
    <n v="8.9028897849462406E-3"/>
    <n v="3.2736820428336103E-2"/>
    <n v="0.33830282443228299"/>
    <n v="1.3383028244322801"/>
  </r>
  <r>
    <s v="CMP249"/>
    <s v="Seasonal Steals"/>
    <x v="3"/>
    <x v="167"/>
    <d v="2024-02-03T00:00:00"/>
    <n v="7963.2"/>
    <n v="5566.4"/>
    <n v="3302.4"/>
    <n v="530.79999999999995"/>
    <n v="1471.296"/>
    <x v="0"/>
    <x v="4"/>
    <x v="0"/>
    <n v="0.69901547116736995"/>
    <n v="0.59327392929002598"/>
    <n v="9.5357861454440904E-2"/>
    <n v="0.160731589147287"/>
    <n v="1.7718462697814601"/>
    <n v="2.7718462697814599"/>
  </r>
  <r>
    <s v="CMP250"/>
    <s v="Seasonal Steals"/>
    <x v="3"/>
    <x v="0"/>
    <d v="2024-03-25T00:00:00"/>
    <n v="36457.599999999999"/>
    <n v="32203.200000000001"/>
    <n v="4203.2"/>
    <n v="6676.9279999999999"/>
    <n v="16808.047999999999"/>
    <x v="1"/>
    <x v="0"/>
    <x v="1"/>
    <n v="0.88330553848854598"/>
    <n v="0.13052119044070201"/>
    <n v="0.20733740746261201"/>
    <n v="1.5885344499428999"/>
    <n v="1.51733252178247"/>
    <n v="2.5173325217824698"/>
  </r>
  <r>
    <s v="CMP251"/>
    <s v="Deal of the Day"/>
    <x v="3"/>
    <x v="60"/>
    <d v="2024-09-22T00:00:00"/>
    <n v="70545.600000000006"/>
    <n v="9758.4"/>
    <n v="1294.4000000000001"/>
    <n v="680.73599999999999"/>
    <n v="2239.1039999999998"/>
    <x v="4"/>
    <x v="0"/>
    <x v="0"/>
    <n v="0.13832754984010301"/>
    <n v="0.13264469585177899"/>
    <n v="6.9758976881456006E-2"/>
    <n v="0.52590852904820795"/>
    <n v="2.2892398815399799"/>
    <n v="3.2892398815399799"/>
  </r>
  <r>
    <s v="CMP252"/>
    <s v="Cart to Couch"/>
    <x v="0"/>
    <x v="168"/>
    <d v="2024-06-17T00:00:00"/>
    <n v="48275.199999999997"/>
    <n v="31988.799999999999"/>
    <n v="11100.8"/>
    <n v="1236.24"/>
    <n v="4330.5439999999999"/>
    <x v="3"/>
    <x v="0"/>
    <x v="1"/>
    <n v="0.66263423041230296"/>
    <n v="0.34702145751012903"/>
    <n v="3.8646026109138198E-2"/>
    <n v="0.11136494667051"/>
    <n v="2.5029961819711399"/>
    <n v="3.5029961819711399"/>
  </r>
  <r>
    <s v="CMP253"/>
    <s v="Flash Sale Frenzy"/>
    <x v="1"/>
    <x v="145"/>
    <d v="2024-08-19T00:00:00"/>
    <n v="53374.400000000001"/>
    <n v="7758.4"/>
    <n v="521.6"/>
    <n v="1851.6320000000001"/>
    <n v="2838.3359999999998"/>
    <x v="0"/>
    <x v="4"/>
    <x v="0"/>
    <n v="0.14535807428280201"/>
    <n v="6.7230356774592701E-2"/>
    <n v="0.23866157970715601"/>
    <n v="3.5499079754601199"/>
    <n v="0.53288342392008803"/>
    <n v="1.5328834239200899"/>
  </r>
  <r>
    <s v="CMP254"/>
    <s v="Shop &amp; Share"/>
    <x v="3"/>
    <x v="37"/>
    <d v="2024-11-01T00:00:00"/>
    <n v="38824"/>
    <n v="37166.400000000001"/>
    <n v="30347.200000000001"/>
    <n v="3944.4960000000001"/>
    <n v="11781.12"/>
    <x v="4"/>
    <x v="0"/>
    <x v="0"/>
    <n v="0.95730475994230402"/>
    <n v="0.81652245038529403"/>
    <n v="0.10613069869559601"/>
    <n v="0.12997891073970599"/>
    <n v="1.98672377915962"/>
    <n v="2.98672377915962"/>
  </r>
  <r>
    <s v="CMP255"/>
    <s v="Seasonal Steals"/>
    <x v="2"/>
    <x v="58"/>
    <d v="2024-11-01T00:00:00"/>
    <n v="68486.399999999994"/>
    <n v="43852.800000000003"/>
    <n v="15862.4"/>
    <n v="5515.152"/>
    <n v="16430.96"/>
    <x v="3"/>
    <x v="0"/>
    <x v="0"/>
    <n v="0.64031398934678996"/>
    <n v="0.36171920607121999"/>
    <n v="0.125765105078809"/>
    <n v="0.34768710913859202"/>
    <n v="1.97923973808881"/>
    <n v="2.9792397380888098"/>
  </r>
  <r>
    <s v="CMP256"/>
    <s v="Shop &amp; Share"/>
    <x v="1"/>
    <x v="16"/>
    <d v="2024-06-18T00:00:00"/>
    <n v="35745.599999999999"/>
    <n v="21790.400000000001"/>
    <n v="16907.2"/>
    <n v="4228.9920000000002"/>
    <n v="14133.103999999999"/>
    <x v="3"/>
    <x v="2"/>
    <x v="1"/>
    <n v="0.60959670560852297"/>
    <n v="0.77590131434026"/>
    <n v="0.19407592334238899"/>
    <n v="0.25012964890697498"/>
    <n v="2.3419557189987601"/>
    <n v="3.3419557189987601"/>
  </r>
  <r>
    <s v="CMP257"/>
    <s v="Cart to Couch"/>
    <x v="1"/>
    <x v="169"/>
    <d v="2024-02-15T00:00:00"/>
    <n v="47337.599999999999"/>
    <n v="30104"/>
    <n v="18195.2"/>
    <n v="3471.0079999999998"/>
    <n v="9466.0319999999992"/>
    <x v="3"/>
    <x v="2"/>
    <x v="0"/>
    <n v="0.63594267558980599"/>
    <n v="0.60441137390379995"/>
    <n v="0.115300558065373"/>
    <n v="0.19076503693281699"/>
    <n v="1.7271708967539099"/>
    <n v="2.7271708967539099"/>
  </r>
  <r>
    <s v="CMP258"/>
    <s v="Shop &amp; Share"/>
    <x v="1"/>
    <x v="170"/>
    <d v="2024-04-28T00:00:00"/>
    <n v="13804.8"/>
    <n v="4275.2"/>
    <n v="1665.6"/>
    <n v="6684.4960000000001"/>
    <n v="12245.808000000001"/>
    <x v="4"/>
    <x v="0"/>
    <x v="0"/>
    <n v="0.309689383402874"/>
    <n v="0.38959580838323399"/>
    <n v="1.56355164670659"/>
    <n v="4.0132660902977904"/>
    <n v="0.83197177468577999"/>
    <n v="1.83197177468578"/>
  </r>
  <r>
    <s v="CMP259"/>
    <s v="Shop &amp; Share"/>
    <x v="2"/>
    <x v="163"/>
    <d v="2024-02-18T00:00:00"/>
    <n v="75803.199999999997"/>
    <n v="72264"/>
    <n v="25977.599999999999"/>
    <n v="2981.2"/>
    <n v="11496.4"/>
    <x v="3"/>
    <x v="3"/>
    <x v="0"/>
    <n v="0.95331067817717496"/>
    <n v="0.35948189970109601"/>
    <n v="4.1254289826192801E-2"/>
    <n v="0.114760408967726"/>
    <n v="2.8562994767207801"/>
    <n v="3.8562994767207801"/>
  </r>
  <r>
    <s v="CMP260"/>
    <s v="Seasonal Steals"/>
    <x v="0"/>
    <x v="28"/>
    <d v="2024-02-19T00:00:00"/>
    <n v="58328"/>
    <n v="44494.400000000001"/>
    <n v="7686.4"/>
    <n v="2029.0239999999999"/>
    <n v="6335.424"/>
    <x v="4"/>
    <x v="4"/>
    <x v="0"/>
    <n v="0.76283088739541904"/>
    <n v="0.172749829191988"/>
    <n v="4.56017835952389E-2"/>
    <n v="0.26397585345545399"/>
    <n v="2.1223997350450299"/>
    <n v="3.1223997350450299"/>
  </r>
  <r>
    <s v="CMP261"/>
    <s v="Wishlist Wonders"/>
    <x v="3"/>
    <x v="171"/>
    <d v="2024-05-01T00:00:00"/>
    <n v="63577.599999999999"/>
    <n v="7190.4"/>
    <n v="5603.2"/>
    <n v="4877.92"/>
    <n v="6768.56"/>
    <x v="1"/>
    <x v="4"/>
    <x v="0"/>
    <n v="0.113096436480773"/>
    <n v="0.77926123720516205"/>
    <n v="0.67839341344014203"/>
    <n v="0.87055968018275298"/>
    <n v="0.38759143241381599"/>
    <n v="1.3875914324138201"/>
  </r>
  <r>
    <s v="CMP262"/>
    <s v="Shop &amp; Share"/>
    <x v="1"/>
    <x v="172"/>
    <d v="2024-02-13T00:00:00"/>
    <n v="61100.800000000003"/>
    <n v="3308.8"/>
    <n v="465.6"/>
    <n v="2888.6239999999998"/>
    <n v="10165.424000000001"/>
    <x v="0"/>
    <x v="2"/>
    <x v="0"/>
    <n v="5.4153137111134397E-2"/>
    <n v="0.140715667311412"/>
    <n v="0.87301257253384901"/>
    <n v="6.2040893470790399"/>
    <n v="2.5191232919203101"/>
    <n v="3.5191232919203101"/>
  </r>
  <r>
    <s v="CMP263"/>
    <s v="Flash Sale Frenzy"/>
    <x v="2"/>
    <x v="173"/>
    <d v="2024-07-24T00:00:00"/>
    <n v="12929.6"/>
    <n v="9244.7999999999993"/>
    <n v="1009.6"/>
    <n v="4965.5519999999997"/>
    <n v="7712.6559999999999"/>
    <x v="3"/>
    <x v="2"/>
    <x v="0"/>
    <n v="0.71501051850018604"/>
    <n v="0.10920733817930101"/>
    <n v="0.53711838006230495"/>
    <n v="4.9183359746434201"/>
    <n v="0.55323234959577505"/>
    <n v="1.55323234959578"/>
  </r>
  <r>
    <s v="CMP264"/>
    <s v="Shop &amp; Share"/>
    <x v="2"/>
    <x v="129"/>
    <d v="2024-10-29T00:00:00"/>
    <n v="24347.200000000001"/>
    <n v="734.4"/>
    <n v="526.4"/>
    <n v="290.976"/>
    <n v="618.43200000000002"/>
    <x v="3"/>
    <x v="0"/>
    <x v="1"/>
    <n v="3.0163632779128601E-2"/>
    <n v="0.71677559912854005"/>
    <n v="0.39620915032679699"/>
    <n v="0.55276595744680901"/>
    <n v="1.12537116463213"/>
    <n v="2.12537116463213"/>
  </r>
  <r>
    <s v="CMP265"/>
    <s v="Deal of the Day"/>
    <x v="0"/>
    <x v="27"/>
    <d v="2024-03-22T00:00:00"/>
    <n v="55875.199999999997"/>
    <n v="13592"/>
    <n v="1139.2"/>
    <n v="3342.9760000000001"/>
    <n v="13092.816000000001"/>
    <x v="3"/>
    <x v="0"/>
    <x v="1"/>
    <n v="0.243256399977092"/>
    <n v="8.3814008240141305E-2"/>
    <n v="0.24595173631548001"/>
    <n v="2.93449438202247"/>
    <n v="2.9165151051039602"/>
    <n v="3.9165151051039602"/>
  </r>
  <r>
    <s v="CMP266"/>
    <s v="Cart to Couch"/>
    <x v="2"/>
    <x v="115"/>
    <d v="2024-07-06T00:00:00"/>
    <n v="45150.400000000001"/>
    <n v="3851.2"/>
    <n v="1857.6"/>
    <n v="6104.8320000000003"/>
    <n v="7878.6719999999996"/>
    <x v="2"/>
    <x v="0"/>
    <x v="0"/>
    <n v="8.5297140224671303E-2"/>
    <n v="0.48234316576651398"/>
    <n v="1.58517656834234"/>
    <n v="3.2864082687338501"/>
    <n v="0.29056327839979901"/>
    <n v="1.2905632783998"/>
  </r>
  <r>
    <s v="CMP267"/>
    <s v="Seasonal Steals"/>
    <x v="1"/>
    <x v="8"/>
    <d v="2024-10-07T00:00:00"/>
    <n v="67326.399999999994"/>
    <n v="13553.6"/>
    <n v="915.2"/>
    <n v="6705.9040000000005"/>
    <n v="12213.647999999999"/>
    <x v="0"/>
    <x v="1"/>
    <x v="1"/>
    <n v="0.201311818246631"/>
    <n v="6.7524495337032198E-2"/>
    <n v="0.49476921260772"/>
    <n v="7.3272552447552401"/>
    <n v="0.82132759431092295"/>
    <n v="1.82132759431092"/>
  </r>
  <r>
    <s v="CMP268"/>
    <s v="Seasonal Steals"/>
    <x v="0"/>
    <x v="141"/>
    <d v="2024-06-06T00:00:00"/>
    <n v="76478.399999999994"/>
    <n v="18636.8"/>
    <n v="2990.4"/>
    <n v="7415.4560000000001"/>
    <n v="18313.072"/>
    <x v="3"/>
    <x v="2"/>
    <x v="0"/>
    <n v="0.243687106424821"/>
    <n v="0.160456730769231"/>
    <n v="0.39789320054945099"/>
    <n v="2.4797538790797198"/>
    <n v="1.4695813716648001"/>
    <n v="2.4695813716648001"/>
  </r>
  <r>
    <s v="CMP269"/>
    <s v="Deal of the Day"/>
    <x v="2"/>
    <x v="174"/>
    <d v="2024-05-06T00:00:00"/>
    <n v="75144"/>
    <n v="39713.599999999999"/>
    <n v="19572.8"/>
    <n v="3616.192"/>
    <n v="4367.3119999999999"/>
    <x v="1"/>
    <x v="3"/>
    <x v="1"/>
    <n v="0.52849994676887002"/>
    <n v="0.49284879738930698"/>
    <n v="9.1056766447766002E-2"/>
    <n v="0.18475598790157799"/>
    <n v="0.207710210077341"/>
    <n v="1.20771021007734"/>
  </r>
  <r>
    <s v="CMP270"/>
    <s v="Shop &amp; Share"/>
    <x v="2"/>
    <x v="102"/>
    <d v="2024-02-05T00:00:00"/>
    <n v="25379.200000000001"/>
    <n v="8910.4"/>
    <n v="6793.6"/>
    <n v="2321.152"/>
    <n v="9241.9840000000004"/>
    <x v="2"/>
    <x v="3"/>
    <x v="0"/>
    <n v="0.35109065691590002"/>
    <n v="0.76243490752379295"/>
    <n v="0.260499191955468"/>
    <n v="0.34166745171926499"/>
    <n v="2.98163670453292"/>
    <n v="3.98163670453292"/>
  </r>
  <r>
    <s v="CMP271"/>
    <s v="Shop &amp; Share"/>
    <x v="2"/>
    <x v="175"/>
    <d v="2024-04-26T00:00:00"/>
    <n v="52198.400000000001"/>
    <n v="30601.599999999999"/>
    <n v="22480"/>
    <n v="1429.4079999999999"/>
    <n v="2861.12"/>
    <x v="0"/>
    <x v="3"/>
    <x v="0"/>
    <n v="0.58625551741049498"/>
    <n v="0.73460211230785299"/>
    <n v="4.6710237373209201E-2"/>
    <n v="6.3585765124555202E-2"/>
    <n v="1.0016118560970699"/>
    <n v="2.0016118560970702"/>
  </r>
  <r>
    <s v="CMP272"/>
    <s v="Deal of the Day"/>
    <x v="2"/>
    <x v="176"/>
    <d v="2024-08-07T00:00:00"/>
    <n v="30848"/>
    <n v="9926.4"/>
    <n v="9532.7999999999993"/>
    <n v="7535.152"/>
    <n v="16054.208000000001"/>
    <x v="4"/>
    <x v="1"/>
    <x v="1"/>
    <n v="0.32178423236514497"/>
    <n v="0.960348162475822"/>
    <n v="0.75910219213410701"/>
    <n v="0.79044478012756003"/>
    <n v="1.1305752027298199"/>
    <n v="2.1305752027298199"/>
  </r>
  <r>
    <s v="CMP273"/>
    <s v="Wishlist Wonders"/>
    <x v="2"/>
    <x v="93"/>
    <d v="2024-04-25T00:00:00"/>
    <n v="33452.800000000003"/>
    <n v="16945.599999999999"/>
    <n v="9993.6"/>
    <n v="558.76800000000003"/>
    <n v="2073.1840000000002"/>
    <x v="1"/>
    <x v="2"/>
    <x v="1"/>
    <n v="0.50655251578343197"/>
    <n v="0.58974601076385602"/>
    <n v="3.2974223397224098E-2"/>
    <n v="5.5912584053794401E-2"/>
    <n v="2.7102768948830298"/>
    <n v="3.7102768948830298"/>
  </r>
  <r>
    <s v="CMP274"/>
    <s v="Wishlist Wonders"/>
    <x v="0"/>
    <x v="2"/>
    <d v="2024-03-31T00:00:00"/>
    <n v="15556.8"/>
    <n v="2782.4"/>
    <n v="262.39999999999998"/>
    <n v="664.28800000000001"/>
    <n v="1030.752"/>
    <x v="0"/>
    <x v="0"/>
    <x v="0"/>
    <n v="0.178854263087524"/>
    <n v="9.4307073030477306E-2"/>
    <n v="0.23874640598044899"/>
    <n v="2.53158536585366"/>
    <n v="0.55166433835926598"/>
    <n v="1.5516643383592701"/>
  </r>
  <r>
    <s v="CMP275"/>
    <s v="Wishlist Wonders"/>
    <x v="0"/>
    <x v="162"/>
    <d v="2024-11-12T00:00:00"/>
    <n v="22180.799999999999"/>
    <n v="5868.8"/>
    <n v="2809.6"/>
    <n v="3384.6239999999998"/>
    <n v="10515.008"/>
    <x v="1"/>
    <x v="4"/>
    <x v="1"/>
    <n v="0.26458919425809702"/>
    <n v="0.47873500545256298"/>
    <n v="0.57671483097055598"/>
    <n v="1.2046640091116201"/>
    <n v="2.1066990011298201"/>
    <n v="3.1066990011298201"/>
  </r>
  <r>
    <s v="CMP276"/>
    <s v="Cart to Couch"/>
    <x v="3"/>
    <x v="177"/>
    <d v="2024-06-13T00:00:00"/>
    <n v="19563.2"/>
    <n v="2504"/>
    <n v="836.8"/>
    <n v="2788.4639999999999"/>
    <n v="4448.4960000000001"/>
    <x v="0"/>
    <x v="2"/>
    <x v="1"/>
    <n v="0.12799541997219299"/>
    <n v="0.33418530351437697"/>
    <n v="1.1136038338658101"/>
    <n v="3.3322944550669198"/>
    <n v="0.59532129516465004"/>
    <n v="1.59532129516465"/>
  </r>
  <r>
    <s v="CMP277"/>
    <s v="Seasonal Steals"/>
    <x v="1"/>
    <x v="158"/>
    <d v="2024-09-09T00:00:00"/>
    <n v="65126.400000000001"/>
    <n v="18915.2"/>
    <n v="15489.6"/>
    <n v="4990.3360000000002"/>
    <n v="11657.183999999999"/>
    <x v="1"/>
    <x v="4"/>
    <x v="1"/>
    <n v="0.29043828616352202"/>
    <n v="0.81889697174758902"/>
    <n v="0.26382676366097102"/>
    <n v="0.32217332920152902"/>
    <n v="1.3359517274989099"/>
    <n v="2.3359517274989101"/>
  </r>
  <r>
    <s v="CMP278"/>
    <s v="Seasonal Steals"/>
    <x v="2"/>
    <x v="178"/>
    <d v="2024-03-17T00:00:00"/>
    <n v="76796.800000000003"/>
    <n v="50803.199999999997"/>
    <n v="25750.400000000001"/>
    <n v="5317.5839999999998"/>
    <n v="12066.832"/>
    <x v="3"/>
    <x v="4"/>
    <x v="0"/>
    <n v="0.66152756364848497"/>
    <n v="0.50686570924666197"/>
    <n v="0.104670256991686"/>
    <n v="0.206504908661613"/>
    <n v="1.26923204222068"/>
    <n v="2.26923204222068"/>
  </r>
  <r>
    <s v="CMP279"/>
    <s v="Seasonal Steals"/>
    <x v="2"/>
    <x v="179"/>
    <d v="2024-04-02T00:00:00"/>
    <n v="56288"/>
    <n v="50241.599999999999"/>
    <n v="31360"/>
    <n v="6192.8959999999997"/>
    <n v="24197.504000000001"/>
    <x v="4"/>
    <x v="3"/>
    <x v="0"/>
    <n v="0.89258101193860095"/>
    <n v="0.62418394318652304"/>
    <n v="0.123262316486736"/>
    <n v="0.19747755102040801"/>
    <n v="2.9073002356248199"/>
    <n v="3.9073002356248199"/>
  </r>
  <r>
    <s v="CMP280"/>
    <s v="Flash Sale Frenzy"/>
    <x v="0"/>
    <x v="48"/>
    <d v="2024-08-28T00:00:00"/>
    <n v="74820.800000000003"/>
    <n v="58449.599999999999"/>
    <n v="22364.799999999999"/>
    <n v="6601.808"/>
    <n v="22731.168000000001"/>
    <x v="3"/>
    <x v="4"/>
    <x v="0"/>
    <n v="0.78119453414023898"/>
    <n v="0.38263392734937501"/>
    <n v="0.112948728477184"/>
    <n v="0.295187437401631"/>
    <n v="2.44317314287238"/>
    <n v="3.44317314287238"/>
  </r>
  <r>
    <s v="CMP281"/>
    <s v="Seasonal Steals"/>
    <x v="1"/>
    <x v="155"/>
    <d v="2024-05-25T00:00:00"/>
    <n v="37283.199999999997"/>
    <n v="3785.6"/>
    <n v="1308.8"/>
    <n v="1812.7840000000001"/>
    <n v="3478.5920000000001"/>
    <x v="3"/>
    <x v="0"/>
    <x v="0"/>
    <n v="0.101536348811261"/>
    <n v="0.34573119188503798"/>
    <n v="0.47886306001690598"/>
    <n v="1.3850733496332499"/>
    <n v="0.91892249710941798"/>
    <n v="1.9189224971094201"/>
  </r>
  <r>
    <s v="CMP282"/>
    <s v="Wishlist Wonders"/>
    <x v="3"/>
    <x v="28"/>
    <d v="2024-02-25T00:00:00"/>
    <n v="9793.6"/>
    <n v="4572.8"/>
    <n v="2076.8000000000002"/>
    <n v="3102.2080000000001"/>
    <n v="8420.768"/>
    <x v="1"/>
    <x v="4"/>
    <x v="0"/>
    <n v="0.46691717039699399"/>
    <n v="0.45416375087473798"/>
    <n v="0.67840447865640296"/>
    <n v="1.49374422187981"/>
    <n v="1.71444338999835"/>
    <n v="2.7144433899983502"/>
  </r>
  <r>
    <s v="CMP283"/>
    <s v="Seasonal Steals"/>
    <x v="1"/>
    <x v="180"/>
    <d v="2024-10-12T00:00:00"/>
    <n v="2184"/>
    <n v="1342.4"/>
    <n v="419.2"/>
    <n v="7497.9359999999997"/>
    <n v="12831.456"/>
    <x v="4"/>
    <x v="2"/>
    <x v="0"/>
    <n v="0.61465201465201502"/>
    <n v="0.31227651966626901"/>
    <n v="5.5854707985697196"/>
    <n v="17.886297709923699"/>
    <n v="0.71133175849993902"/>
    <n v="1.7113317584999399"/>
  </r>
  <r>
    <s v="CMP284"/>
    <s v="Seasonal Steals"/>
    <x v="0"/>
    <x v="121"/>
    <d v="2024-02-10T00:00:00"/>
    <n v="14028.8"/>
    <n v="2460.8000000000002"/>
    <n v="27.2"/>
    <n v="6252.56"/>
    <n v="9387.7279999999992"/>
    <x v="3"/>
    <x v="1"/>
    <x v="0"/>
    <n v="0.175410583941606"/>
    <n v="1.1053315994798399E-2"/>
    <n v="2.54086475942783"/>
    <n v="229.87352941176499"/>
    <n v="0.50142149775451905"/>
    <n v="1.5014214977545199"/>
  </r>
  <r>
    <s v="CMP285"/>
    <s v="Wishlist Wonders"/>
    <x v="2"/>
    <x v="181"/>
    <d v="2024-09-01T00:00:00"/>
    <n v="58817.599999999999"/>
    <n v="55632"/>
    <n v="10089.6"/>
    <n v="551.88800000000003"/>
    <n v="1315.52"/>
    <x v="1"/>
    <x v="1"/>
    <x v="0"/>
    <n v="0.94583934060553299"/>
    <n v="0.18136324417601399"/>
    <n v="9.9203336209375895E-3"/>
    <n v="5.46986996511259E-2"/>
    <n v="1.3836720494013299"/>
    <n v="2.3836720494013299"/>
  </r>
  <r>
    <s v="CMP286"/>
    <s v="Cart to Couch"/>
    <x v="0"/>
    <x v="31"/>
    <d v="2024-11-08T00:00:00"/>
    <n v="58329.599999999999"/>
    <n v="45942.400000000001"/>
    <n v="24779.200000000001"/>
    <n v="5921.9040000000005"/>
    <n v="15933.664000000001"/>
    <x v="3"/>
    <x v="4"/>
    <x v="0"/>
    <n v="0.78763440860215095"/>
    <n v="0.53935362540920795"/>
    <n v="0.12889844675071399"/>
    <n v="0.23898689223219499"/>
    <n v="1.6906319318921801"/>
    <n v="2.6906319318921801"/>
  </r>
  <r>
    <s v="CMP287"/>
    <s v="Seasonal Steals"/>
    <x v="1"/>
    <x v="41"/>
    <d v="2024-10-20T00:00:00"/>
    <n v="40913.599999999999"/>
    <n v="3707.2"/>
    <n v="142.4"/>
    <n v="7555.4719999999998"/>
    <n v="17378.608"/>
    <x v="0"/>
    <x v="1"/>
    <x v="0"/>
    <n v="9.0610457158499899E-2"/>
    <n v="3.8411739318083699E-2"/>
    <n v="2.0380535174794998"/>
    <n v="53.058089887640399"/>
    <n v="1.3001353191435301"/>
    <n v="2.3001353191435299"/>
  </r>
  <r>
    <s v="CMP288"/>
    <s v="Shop &amp; Share"/>
    <x v="2"/>
    <x v="180"/>
    <d v="2024-10-01T00:00:00"/>
    <n v="69246.399999999994"/>
    <n v="40502.400000000001"/>
    <n v="38945.599999999999"/>
    <n v="6935.5680000000002"/>
    <n v="15831.36"/>
    <x v="4"/>
    <x v="0"/>
    <x v="0"/>
    <n v="0.58490260865546795"/>
    <n v="0.96156277158884396"/>
    <n v="0.17123844512917799"/>
    <n v="0.178083480547225"/>
    <n v="1.2826335204268799"/>
    <n v="2.2826335204268799"/>
  </r>
  <r>
    <s v="CMP289"/>
    <s v="Flash Sale Frenzy"/>
    <x v="1"/>
    <x v="182"/>
    <d v="2024-07-31T00:00:00"/>
    <n v="50486.400000000001"/>
    <n v="30041.599999999999"/>
    <n v="27483.200000000001"/>
    <n v="1255.9680000000001"/>
    <n v="4758.2879999999996"/>
    <x v="1"/>
    <x v="2"/>
    <x v="0"/>
    <n v="0.59504341763326396"/>
    <n v="0.91483809118022996"/>
    <n v="4.1807626757562902E-2"/>
    <n v="4.5699481865284997E-2"/>
    <n v="2.7885423832454301"/>
    <n v="3.7885423832454301"/>
  </r>
  <r>
    <s v="CMP290"/>
    <s v="Cart to Couch"/>
    <x v="3"/>
    <x v="183"/>
    <d v="2024-07-17T00:00:00"/>
    <n v="39580.800000000003"/>
    <n v="36902.400000000001"/>
    <n v="18187.2"/>
    <n v="5525.616"/>
    <n v="17865.28"/>
    <x v="2"/>
    <x v="4"/>
    <x v="0"/>
    <n v="0.93233082706766901"/>
    <n v="0.49284599375650401"/>
    <n v="0.14973595213319499"/>
    <n v="0.30381894959092098"/>
    <n v="2.2331743646319202"/>
    <n v="3.2331743646319202"/>
  </r>
  <r>
    <s v="CMP291"/>
    <s v="Deal of the Day"/>
    <x v="1"/>
    <x v="184"/>
    <d v="2024-08-17T00:00:00"/>
    <n v="59059.199999999997"/>
    <n v="41291.199999999997"/>
    <n v="12252.8"/>
    <n v="4067.9839999999999"/>
    <n v="14338.128000000001"/>
    <x v="4"/>
    <x v="1"/>
    <x v="0"/>
    <n v="0.699149328131773"/>
    <n v="0.29674119424962198"/>
    <n v="9.8519393962878302E-2"/>
    <n v="0.33200443980151501"/>
    <n v="2.5246274321629598"/>
    <n v="3.5246274321629598"/>
  </r>
  <r>
    <s v="CMP292"/>
    <s v="Seasonal Steals"/>
    <x v="1"/>
    <x v="26"/>
    <d v="2024-09-06T00:00:00"/>
    <n v="36451.199999999997"/>
    <n v="26614.400000000001"/>
    <n v="6896"/>
    <n v="736.30399999999997"/>
    <n v="1185.1679999999999"/>
    <x v="3"/>
    <x v="4"/>
    <x v="0"/>
    <n v="0.73013782810991101"/>
    <n v="0.259107851388722"/>
    <n v="2.7665624624263599E-2"/>
    <n v="0.10677262180974501"/>
    <n v="0.60961776657467603"/>
    <n v="1.60961776657468"/>
  </r>
  <r>
    <s v="CMP293"/>
    <s v="Seasonal Steals"/>
    <x v="0"/>
    <x v="185"/>
    <d v="2024-10-20T00:00:00"/>
    <n v="34480"/>
    <n v="33025.599999999999"/>
    <n v="28241.599999999999"/>
    <n v="4596.3040000000001"/>
    <n v="9381.8880000000008"/>
    <x v="0"/>
    <x v="2"/>
    <x v="1"/>
    <n v="0.95781902552204201"/>
    <n v="0.855142677195872"/>
    <n v="0.13917397412915999"/>
    <n v="0.162749419296357"/>
    <n v="1.0411809140561601"/>
    <n v="2.0411809140561599"/>
  </r>
  <r>
    <s v="CMP294"/>
    <s v="Cart to Couch"/>
    <x v="1"/>
    <x v="174"/>
    <d v="2024-05-06T00:00:00"/>
    <n v="40604.800000000003"/>
    <n v="2057.6"/>
    <n v="1411.2"/>
    <n v="4927.6480000000001"/>
    <n v="18419.808000000001"/>
    <x v="2"/>
    <x v="2"/>
    <x v="0"/>
    <n v="5.0673811963117703E-2"/>
    <n v="0.68584758942457202"/>
    <n v="2.3948522550544298"/>
    <n v="3.49181405895692"/>
    <n v="2.7380527180512901"/>
    <n v="3.7380527180512901"/>
  </r>
  <r>
    <s v="CMP295"/>
    <s v="Shop &amp; Share"/>
    <x v="3"/>
    <x v="186"/>
    <d v="2024-05-21T00:00:00"/>
    <n v="25484.799999999999"/>
    <n v="1758.4"/>
    <n v="408"/>
    <n v="2778.08"/>
    <n v="11038.784"/>
    <x v="4"/>
    <x v="3"/>
    <x v="1"/>
    <n v="6.8997990959316899E-2"/>
    <n v="0.23202911737943599"/>
    <n v="1.57989080982712"/>
    <n v="6.8090196078431404"/>
    <n v="2.9735299199447098"/>
    <n v="3.9735299199447098"/>
  </r>
  <r>
    <s v="CMP296"/>
    <s v="Seasonal Steals"/>
    <x v="2"/>
    <x v="97"/>
    <d v="2024-10-17T00:00:00"/>
    <n v="7788.8"/>
    <n v="5396.8"/>
    <n v="4976"/>
    <n v="3509.8719999999998"/>
    <n v="7840.0159999999996"/>
    <x v="3"/>
    <x v="4"/>
    <x v="0"/>
    <n v="0.69289235825801199"/>
    <n v="0.92202786836643902"/>
    <n v="0.65036169581974501"/>
    <n v="0.70536012861736297"/>
    <n v="1.2337042490438399"/>
    <n v="2.2337042490438401"/>
  </r>
  <r>
    <s v="CMP297"/>
    <s v="Cart to Couch"/>
    <x v="2"/>
    <x v="187"/>
    <d v="2024-08-04T00:00:00"/>
    <n v="52683.199999999997"/>
    <n v="48313.599999999999"/>
    <n v="15830.4"/>
    <n v="2161.424"/>
    <n v="5687.2479999999996"/>
    <x v="3"/>
    <x v="4"/>
    <x v="0"/>
    <n v="0.91705894858323"/>
    <n v="0.32765929262153898"/>
    <n v="4.4737382434759602E-2"/>
    <n v="0.13653628461694001"/>
    <n v="1.6312505089237499"/>
    <n v="2.6312505089237499"/>
  </r>
  <r>
    <s v="CMP298"/>
    <s v="Flash Sale Frenzy"/>
    <x v="3"/>
    <x v="188"/>
    <d v="2024-01-14T00:00:00"/>
    <n v="16558.400000000001"/>
    <n v="4825.6000000000004"/>
    <n v="3238.4"/>
    <n v="2965.7759999999998"/>
    <n v="4686.24"/>
    <x v="0"/>
    <x v="2"/>
    <x v="0"/>
    <n v="0.29142912358681999"/>
    <n v="0.67108753315649905"/>
    <n v="0.61459217506631303"/>
    <n v="0.915815217391304"/>
    <n v="0.58010584750837602"/>
    <n v="1.58010584750838"/>
  </r>
  <r>
    <s v="CMP299"/>
    <s v="Cart to Couch"/>
    <x v="3"/>
    <x v="15"/>
    <d v="2024-03-08T00:00:00"/>
    <n v="18451.2"/>
    <n v="13486.4"/>
    <n v="4672"/>
    <n v="7776.0320000000002"/>
    <n v="17724.624"/>
    <x v="3"/>
    <x v="0"/>
    <x v="0"/>
    <n v="0.73092265001734302"/>
    <n v="0.34642306323407301"/>
    <n v="0.576583224581801"/>
    <n v="1.6643904109589001"/>
    <n v="1.27939185435451"/>
    <n v="2.2793918543545102"/>
  </r>
  <r>
    <s v="CMP300"/>
    <s v="Cart to Couch"/>
    <x v="3"/>
    <x v="130"/>
    <d v="2024-04-03T00:00:00"/>
    <n v="50328"/>
    <n v="8555.2000000000007"/>
    <n v="3712"/>
    <n v="4122.1760000000004"/>
    <n v="10071.472"/>
    <x v="2"/>
    <x v="4"/>
    <x v="1"/>
    <n v="0.16998887299316501"/>
    <n v="0.43388816158593602"/>
    <n v="0.48183280344118201"/>
    <n v="1.1105"/>
    <n v="1.4432416277228299"/>
    <n v="2.4432416277228302"/>
  </r>
  <r>
    <s v="CMP301"/>
    <s v="Cart to Couch"/>
    <x v="2"/>
    <x v="75"/>
    <d v="2024-10-30T00:00:00"/>
    <n v="37216"/>
    <n v="28211.200000000001"/>
    <n v="11248"/>
    <n v="4686.5439999999999"/>
    <n v="15478.224"/>
    <x v="3"/>
    <x v="2"/>
    <x v="1"/>
    <n v="0.75803955288048197"/>
    <n v="0.39870689655172398"/>
    <n v="0.16612352540834799"/>
    <n v="0.416655761024182"/>
    <n v="2.3026946935737702"/>
    <n v="3.3026946935737702"/>
  </r>
  <r>
    <s v="CMP302"/>
    <s v="Flash Sale Frenzy"/>
    <x v="2"/>
    <x v="189"/>
    <d v="2024-09-25T00:00:00"/>
    <n v="2425.6"/>
    <n v="1155.2"/>
    <n v="1132.8"/>
    <n v="4156.24"/>
    <n v="16273.951999999999"/>
    <x v="0"/>
    <x v="1"/>
    <x v="0"/>
    <n v="0.47625329815303402"/>
    <n v="0.980609418282548"/>
    <n v="3.5978531855955702"/>
    <n v="3.6689971751412398"/>
    <n v="2.9155467441726199"/>
    <n v="3.9155467441726199"/>
  </r>
  <r>
    <s v="CMP303"/>
    <s v="Seasonal Steals"/>
    <x v="2"/>
    <x v="190"/>
    <d v="2024-05-07T00:00:00"/>
    <n v="71236.800000000003"/>
    <n v="50433.599999999999"/>
    <n v="12792"/>
    <n v="1899.92"/>
    <n v="6365.5680000000002"/>
    <x v="1"/>
    <x v="1"/>
    <x v="0"/>
    <n v="0.70797116097297996"/>
    <n v="0.25364043018939803"/>
    <n v="3.76717109228768E-2"/>
    <n v="0.148524077548468"/>
    <n v="2.3504400185271002"/>
    <n v="3.3504400185271002"/>
  </r>
  <r>
    <s v="CMP304"/>
    <s v="Wishlist Wonders"/>
    <x v="0"/>
    <x v="191"/>
    <d v="2024-06-23T00:00:00"/>
    <n v="6659.2"/>
    <n v="2881.6"/>
    <n v="1292.8"/>
    <n v="5448.6559999999999"/>
    <n v="12384.175999999999"/>
    <x v="1"/>
    <x v="2"/>
    <x v="1"/>
    <n v="0.432724651609803"/>
    <n v="0.44863964464186601"/>
    <n v="1.89084397556913"/>
    <n v="4.21461633663366"/>
    <n v="1.2728863778517101"/>
    <n v="2.2728863778517101"/>
  </r>
  <r>
    <s v="CMP305"/>
    <s v="Wishlist Wonders"/>
    <x v="1"/>
    <x v="35"/>
    <d v="2024-10-17T00:00:00"/>
    <n v="39134.400000000001"/>
    <n v="1328"/>
    <n v="910.4"/>
    <n v="7409.0240000000003"/>
    <n v="24013.759999999998"/>
    <x v="3"/>
    <x v="3"/>
    <x v="0"/>
    <n v="3.3934339098082501E-2"/>
    <n v="0.68554216867469897"/>
    <n v="5.5790843373493999"/>
    <n v="8.1382073813708296"/>
    <n v="2.2411502513691399"/>
    <n v="3.2411502513691399"/>
  </r>
  <r>
    <s v="CMP306"/>
    <s v="Wishlist Wonders"/>
    <x v="3"/>
    <x v="44"/>
    <d v="2024-09-04T00:00:00"/>
    <n v="36771.199999999997"/>
    <n v="26979.200000000001"/>
    <n v="7769.6"/>
    <n v="6487.7280000000001"/>
    <n v="18359.632000000001"/>
    <x v="4"/>
    <x v="0"/>
    <x v="1"/>
    <n v="0.73370463841267097"/>
    <n v="0.28798481793381597"/>
    <n v="0.240471474320958"/>
    <n v="0.83501441515650698"/>
    <n v="1.82990162349593"/>
    <n v="2.82990162349593"/>
  </r>
  <r>
    <s v="CMP307"/>
    <s v="Cart to Couch"/>
    <x v="0"/>
    <x v="192"/>
    <d v="2024-01-16T00:00:00"/>
    <n v="37596.800000000003"/>
    <n v="27433.599999999999"/>
    <n v="10560"/>
    <n v="5337.2960000000003"/>
    <n v="6766.1760000000004"/>
    <x v="4"/>
    <x v="3"/>
    <x v="0"/>
    <n v="0.72967912162737203"/>
    <n v="0.38492942960457199"/>
    <n v="0.19455324857109499"/>
    <n v="0.50542575757575803"/>
    <n v="0.26771608694739801"/>
    <n v="1.2677160869474"/>
  </r>
  <r>
    <s v="CMP308"/>
    <s v="Deal of the Day"/>
    <x v="0"/>
    <x v="92"/>
    <d v="2024-07-04T00:00:00"/>
    <n v="28846.400000000001"/>
    <n v="707.2"/>
    <n v="457.6"/>
    <n v="2178.2399999999998"/>
    <n v="3142.32"/>
    <x v="3"/>
    <x v="3"/>
    <x v="0"/>
    <n v="2.45160574629763E-2"/>
    <n v="0.64705882352941202"/>
    <n v="3.0800904977375598"/>
    <n v="4.7601398601398603"/>
    <n v="0.44259585720581801"/>
    <n v="1.44259585720582"/>
  </r>
  <r>
    <s v="CMP309"/>
    <s v="Wishlist Wonders"/>
    <x v="3"/>
    <x v="28"/>
    <d v="2024-03-01T00:00:00"/>
    <n v="13804.8"/>
    <n v="12545.6"/>
    <n v="10731.2"/>
    <n v="3218.9760000000001"/>
    <n v="9330.2240000000002"/>
    <x v="3"/>
    <x v="1"/>
    <x v="0"/>
    <n v="0.90878535002317995"/>
    <n v="0.85537558984823403"/>
    <n v="0.25658206861369698"/>
    <n v="0.29996421649023403"/>
    <n v="1.8985068543536801"/>
    <n v="2.8985068543536801"/>
  </r>
  <r>
    <s v="CMP310"/>
    <s v="Wishlist Wonders"/>
    <x v="1"/>
    <x v="193"/>
    <d v="2024-05-20T00:00:00"/>
    <n v="4779.2"/>
    <n v="1520"/>
    <n v="868.8"/>
    <n v="3484.6239999999998"/>
    <n v="11236.752"/>
    <x v="0"/>
    <x v="4"/>
    <x v="0"/>
    <n v="0.31804486106461299"/>
    <n v="0.57157894736842096"/>
    <n v="2.2925157894736801"/>
    <n v="4.0108471454880297"/>
    <n v="2.2246669942008102"/>
    <n v="3.2246669942008102"/>
  </r>
  <r>
    <s v="CMP311"/>
    <s v="Cart to Couch"/>
    <x v="0"/>
    <x v="192"/>
    <d v="2024-01-22T00:00:00"/>
    <n v="45102.400000000001"/>
    <n v="9737.6"/>
    <n v="5782.4"/>
    <n v="952.22400000000005"/>
    <n v="1647.7439999999999"/>
    <x v="1"/>
    <x v="0"/>
    <x v="1"/>
    <n v="0.215899819078364"/>
    <n v="0.59382188629641797"/>
    <n v="9.7788366743345401E-2"/>
    <n v="0.164676258992806"/>
    <n v="0.73041637261820702"/>
    <n v="1.73041637261821"/>
  </r>
  <r>
    <s v="CMP312"/>
    <s v="Wishlist Wonders"/>
    <x v="1"/>
    <x v="83"/>
    <d v="2024-07-05T00:00:00"/>
    <n v="26393.599999999999"/>
    <n v="3860.8"/>
    <n v="2312"/>
    <n v="7806.2079999999996"/>
    <n v="22404"/>
    <x v="2"/>
    <x v="3"/>
    <x v="0"/>
    <n v="0.14627788554801199"/>
    <n v="0.59883961873186897"/>
    <n v="2.0219146290924201"/>
    <n v="3.3763875432525898"/>
    <n v="1.87002344800446"/>
    <n v="2.87002344800446"/>
  </r>
  <r>
    <s v="CMP313"/>
    <s v="Cart to Couch"/>
    <x v="2"/>
    <x v="135"/>
    <d v="2024-10-12T00:00:00"/>
    <n v="71987.199999999997"/>
    <n v="49307.199999999997"/>
    <n v="49115.199999999997"/>
    <n v="5835.2479999999996"/>
    <n v="9089.7919999999995"/>
    <x v="2"/>
    <x v="2"/>
    <x v="0"/>
    <n v="0.68494399004267403"/>
    <n v="0.99610604536457104"/>
    <n v="0.118344744783723"/>
    <n v="0.118807375313549"/>
    <n v="0.55773876277409296"/>
    <n v="1.55773876277409"/>
  </r>
  <r>
    <s v="CMP314"/>
    <s v="Flash Sale Frenzy"/>
    <x v="0"/>
    <x v="91"/>
    <d v="2024-06-24T00:00:00"/>
    <n v="74920"/>
    <n v="22952"/>
    <n v="11804.8"/>
    <n v="2528.864"/>
    <n v="6751.2960000000003"/>
    <x v="2"/>
    <x v="2"/>
    <x v="1"/>
    <n v="0.30635344367325101"/>
    <n v="0.51432554897176697"/>
    <n v="0.110180550714535"/>
    <n v="0.21422336676606099"/>
    <n v="1.66969516747441"/>
    <n v="2.6696951674744098"/>
  </r>
  <r>
    <s v="CMP315"/>
    <s v="Flash Sale Frenzy"/>
    <x v="1"/>
    <x v="194"/>
    <d v="2024-02-15T00:00:00"/>
    <n v="3630.4"/>
    <n v="787.2"/>
    <n v="132.80000000000001"/>
    <n v="2264.9279999999999"/>
    <n v="6862.8"/>
    <x v="2"/>
    <x v="1"/>
    <x v="0"/>
    <n v="0.216835610401058"/>
    <n v="0.16869918699187"/>
    <n v="2.8771951219512202"/>
    <n v="17.055180722891599"/>
    <n v="2.0300300936718498"/>
    <n v="3.0300300936718498"/>
  </r>
  <r>
    <s v="CMP316"/>
    <s v="Seasonal Steals"/>
    <x v="2"/>
    <x v="163"/>
    <d v="2024-02-08T00:00:00"/>
    <n v="48633.599999999999"/>
    <n v="43342.400000000001"/>
    <n v="23022.400000000001"/>
    <n v="4003.3119999999999"/>
    <n v="4915.4399999999996"/>
    <x v="4"/>
    <x v="1"/>
    <x v="1"/>
    <n v="0.89120278984076895"/>
    <n v="0.53117501568902503"/>
    <n v="9.2364797519288305E-2"/>
    <n v="0.17388769198693399"/>
    <n v="0.22784334570975201"/>
    <n v="1.22784334570975"/>
  </r>
  <r>
    <s v="CMP317"/>
    <s v="Deal of the Day"/>
    <x v="0"/>
    <x v="193"/>
    <d v="2024-05-25T00:00:00"/>
    <n v="23630.400000000001"/>
    <n v="13504"/>
    <n v="11819.2"/>
    <n v="6641.4880000000003"/>
    <n v="12050.255999999999"/>
    <x v="3"/>
    <x v="2"/>
    <x v="0"/>
    <n v="0.57146726250931001"/>
    <n v="0.87523696682464502"/>
    <n v="0.49181635071090102"/>
    <n v="0.56192364965479902"/>
    <n v="0.81439099189820097"/>
    <n v="1.8143909918982"/>
  </r>
  <r>
    <s v="CMP318"/>
    <s v="Deal of the Day"/>
    <x v="3"/>
    <x v="195"/>
    <d v="2024-03-22T00:00:00"/>
    <n v="69390.399999999994"/>
    <n v="40108.800000000003"/>
    <n v="29136"/>
    <n v="5157.808"/>
    <n v="14405.168"/>
    <x v="2"/>
    <x v="0"/>
    <x v="1"/>
    <n v="0.57801655560423304"/>
    <n v="0.72642412637625697"/>
    <n v="0.12859542045635899"/>
    <n v="0.17702526084568901"/>
    <n v="1.79288565995477"/>
    <n v="2.79288565995477"/>
  </r>
  <r>
    <s v="CMP319"/>
    <s v="Shop &amp; Share"/>
    <x v="2"/>
    <x v="178"/>
    <d v="2024-03-09T00:00:00"/>
    <n v="47006.400000000001"/>
    <n v="37366.400000000001"/>
    <n v="33825.599999999999"/>
    <n v="6243.2479999999996"/>
    <n v="17523.743999999999"/>
    <x v="1"/>
    <x v="1"/>
    <x v="0"/>
    <n v="0.79492154259845504"/>
    <n v="0.90524107219320005"/>
    <n v="0.16708187034340999"/>
    <n v="0.18457168535074001"/>
    <n v="1.80683131600731"/>
    <n v="2.80683131600731"/>
  </r>
  <r>
    <s v="CMP320"/>
    <s v="Seasonal Steals"/>
    <x v="2"/>
    <x v="196"/>
    <d v="2024-10-19T00:00:00"/>
    <n v="18521.599999999999"/>
    <n v="12203.2"/>
    <n v="11350.4"/>
    <n v="7297.1360000000004"/>
    <n v="20410.96"/>
    <x v="4"/>
    <x v="2"/>
    <x v="1"/>
    <n v="0.65886316516931598"/>
    <n v="0.93011669070407799"/>
    <n v="0.597969057296447"/>
    <n v="0.64289681420919098"/>
    <n v="1.79711930817789"/>
    <n v="2.7971193081778898"/>
  </r>
  <r>
    <s v="CMP321"/>
    <s v="Shop &amp; Share"/>
    <x v="3"/>
    <x v="146"/>
    <d v="2024-03-10T00:00:00"/>
    <n v="76480"/>
    <n v="19424"/>
    <n v="6273.6"/>
    <n v="3454.2240000000002"/>
    <n v="6336.0959999999995"/>
    <x v="1"/>
    <x v="3"/>
    <x v="1"/>
    <n v="0.25397489539749002"/>
    <n v="0.322981878088962"/>
    <n v="0.17783278418451401"/>
    <n v="0.55059678653404698"/>
    <n v="0.83430373942164704"/>
    <n v="1.8343037394216499"/>
  </r>
  <r>
    <s v="CMP322"/>
    <s v="Flash Sale Frenzy"/>
    <x v="0"/>
    <x v="169"/>
    <d v="2024-02-10T00:00:00"/>
    <n v="14011.2"/>
    <n v="5849.6"/>
    <n v="2561.6"/>
    <n v="5936.0479999999998"/>
    <n v="22758.799999999999"/>
    <x v="3"/>
    <x v="3"/>
    <x v="0"/>
    <n v="0.41749457576795701"/>
    <n v="0.43791028446389502"/>
    <n v="1.0147784463895"/>
    <n v="2.31732042473454"/>
    <n v="2.8339986469112102"/>
    <n v="3.8339986469112102"/>
  </r>
  <r>
    <s v="CMP323"/>
    <s v="Flash Sale Frenzy"/>
    <x v="0"/>
    <x v="197"/>
    <d v="2024-08-09T00:00:00"/>
    <n v="11800"/>
    <n v="236.8"/>
    <n v="224"/>
    <n v="4652.7039999999997"/>
    <n v="18339.2"/>
    <x v="4"/>
    <x v="3"/>
    <x v="1"/>
    <n v="2.0067796610169501E-2"/>
    <n v="0.94594594594594605"/>
    <n v="19.648243243243201"/>
    <n v="20.771000000000001"/>
    <n v="2.94162190416584"/>
    <n v="3.94162190416584"/>
  </r>
  <r>
    <s v="CMP324"/>
    <s v="Flash Sale Frenzy"/>
    <x v="2"/>
    <x v="198"/>
    <d v="2024-04-02T00:00:00"/>
    <n v="67843.199999999997"/>
    <n v="46115.199999999997"/>
    <n v="1300.8"/>
    <n v="2151.056"/>
    <n v="7210.2240000000002"/>
    <x v="4"/>
    <x v="4"/>
    <x v="0"/>
    <n v="0.67973208810905095"/>
    <n v="2.8207619179793201E-2"/>
    <n v="4.66452709735619E-2"/>
    <n v="1.6536408364083599"/>
    <n v="2.3519462068862902"/>
    <n v="3.3519462068862902"/>
  </r>
  <r>
    <s v="CMP325"/>
    <s v="Seasonal Steals"/>
    <x v="3"/>
    <x v="193"/>
    <d v="2024-05-09T00:00:00"/>
    <n v="5305.6"/>
    <n v="1608"/>
    <n v="1024"/>
    <n v="3225.84"/>
    <n v="12437.536"/>
    <x v="4"/>
    <x v="1"/>
    <x v="1"/>
    <n v="0.30307599517491002"/>
    <n v="0.63681592039801005"/>
    <n v="2.0061194029850702"/>
    <n v="3.1502343750000001"/>
    <n v="2.8555960618009602"/>
    <n v="3.8555960618009602"/>
  </r>
  <r>
    <s v="CMP326"/>
    <s v="Seasonal Steals"/>
    <x v="2"/>
    <x v="199"/>
    <d v="2024-07-09T00:00:00"/>
    <n v="26123.200000000001"/>
    <n v="23713.599999999999"/>
    <n v="3918.4"/>
    <n v="3630.3359999999998"/>
    <n v="10895.984"/>
    <x v="3"/>
    <x v="2"/>
    <x v="1"/>
    <n v="0.90776015189563297"/>
    <n v="0.16523851292085601"/>
    <n v="0.153090884555698"/>
    <n v="0.92648427929767196"/>
    <n v="2.0013706720259501"/>
    <n v="3.0013706720259501"/>
  </r>
  <r>
    <s v="CMP327"/>
    <s v="Deal of the Day"/>
    <x v="1"/>
    <x v="35"/>
    <d v="2024-11-09T00:00:00"/>
    <n v="10142.4"/>
    <n v="2024"/>
    <n v="142.4"/>
    <n v="4393.0240000000003"/>
    <n v="13354.88"/>
    <x v="4"/>
    <x v="1"/>
    <x v="1"/>
    <n v="0.19955828995109601"/>
    <n v="7.0355731225296397E-2"/>
    <n v="2.17046640316206"/>
    <n v="30.849887640449399"/>
    <n v="2.0400198132311602"/>
    <n v="3.0400198132311602"/>
  </r>
  <r>
    <s v="CMP328"/>
    <s v="Deal of the Day"/>
    <x v="0"/>
    <x v="93"/>
    <d v="2024-04-11T00:00:00"/>
    <n v="30758.400000000001"/>
    <n v="23832"/>
    <n v="10264"/>
    <n v="6127.4719999999998"/>
    <n v="16675.696"/>
    <x v="4"/>
    <x v="0"/>
    <x v="1"/>
    <n v="0.77481273408239704"/>
    <n v="0.43068143672373299"/>
    <n v="0.25711111111111101"/>
    <n v="0.59698674980514399"/>
    <n v="1.7214642514890299"/>
    <n v="2.7214642514890302"/>
  </r>
  <r>
    <s v="CMP329"/>
    <s v="Wishlist Wonders"/>
    <x v="0"/>
    <x v="21"/>
    <d v="2024-07-18T00:00:00"/>
    <n v="34844.800000000003"/>
    <n v="9996.7999999999993"/>
    <n v="3977.6"/>
    <n v="549.82399999999996"/>
    <n v="2019.4880000000001"/>
    <x v="4"/>
    <x v="2"/>
    <x v="0"/>
    <n v="0.28689503168335001"/>
    <n v="0.397887323943662"/>
    <n v="5.5E-2"/>
    <n v="0.138230088495575"/>
    <n v="2.6729717145850298"/>
    <n v="3.6729717145850298"/>
  </r>
  <r>
    <s v="CMP330"/>
    <s v="Deal of the Day"/>
    <x v="3"/>
    <x v="167"/>
    <d v="2024-01-28T00:00:00"/>
    <n v="38948.800000000003"/>
    <n v="16649.599999999999"/>
    <n v="4969.6000000000004"/>
    <n v="4825.3599999999997"/>
    <n v="7673.68"/>
    <x v="0"/>
    <x v="3"/>
    <x v="0"/>
    <n v="0.42747401717126099"/>
    <n v="0.29848164520469"/>
    <n v="0.289818374014991"/>
    <n v="0.97097553122987801"/>
    <n v="0.59028134688396305"/>
    <n v="1.5902813468839601"/>
  </r>
  <r>
    <s v="CMP331"/>
    <s v="Cart to Couch"/>
    <x v="0"/>
    <x v="200"/>
    <d v="2024-07-07T00:00:00"/>
    <n v="39422.400000000001"/>
    <n v="22268.799999999999"/>
    <n v="16184"/>
    <n v="3117.056"/>
    <n v="8399.3760000000002"/>
    <x v="0"/>
    <x v="2"/>
    <x v="1"/>
    <n v="0.56487682129956596"/>
    <n v="0.72675671791924101"/>
    <n v="0.13997413421468599"/>
    <n v="0.19260108749382099"/>
    <n v="1.6946503367279899"/>
    <n v="2.6946503367279901"/>
  </r>
  <r>
    <s v="CMP332"/>
    <s v="Flash Sale Frenzy"/>
    <x v="2"/>
    <x v="28"/>
    <d v="2024-02-27T00:00:00"/>
    <n v="78904"/>
    <n v="52968"/>
    <n v="16483.2"/>
    <n v="3830.4319999999998"/>
    <n v="7220.1760000000004"/>
    <x v="2"/>
    <x v="4"/>
    <x v="0"/>
    <n v="0.671296765689952"/>
    <n v="0.31119166289080202"/>
    <n v="7.2315964355837495E-2"/>
    <n v="0.232384003106193"/>
    <n v="0.88495083583261602"/>
    <n v="1.8849508358326199"/>
  </r>
  <r>
    <s v="CMP333"/>
    <s v="Seasonal Steals"/>
    <x v="3"/>
    <x v="201"/>
    <d v="2024-03-11T00:00:00"/>
    <n v="73144"/>
    <n v="20592"/>
    <n v="13067.2"/>
    <n v="3922.3359999999998"/>
    <n v="11802.976000000001"/>
    <x v="2"/>
    <x v="1"/>
    <x v="0"/>
    <n v="0.28152685114295101"/>
    <n v="0.63457653457653496"/>
    <n v="0.190478632478632"/>
    <n v="0.30016652381535402"/>
    <n v="2.00917004560548"/>
    <n v="3.00917004560548"/>
  </r>
  <r>
    <s v="CMP334"/>
    <s v="Wishlist Wonders"/>
    <x v="0"/>
    <x v="137"/>
    <d v="2024-05-26T00:00:00"/>
    <n v="33123.199999999997"/>
    <n v="17376"/>
    <n v="8611.2000000000007"/>
    <n v="3131.52"/>
    <n v="5386.6080000000002"/>
    <x v="4"/>
    <x v="4"/>
    <x v="0"/>
    <n v="0.52458699642546602"/>
    <n v="0.49558011049723799"/>
    <n v="0.18022099447513801"/>
    <n v="0.36365663322185099"/>
    <n v="0.72012568976088298"/>
    <n v="1.7201256897608801"/>
  </r>
  <r>
    <s v="CMP335"/>
    <s v="Cart to Couch"/>
    <x v="0"/>
    <x v="202"/>
    <d v="2024-05-29T00:00:00"/>
    <n v="10036.799999999999"/>
    <n v="9784"/>
    <n v="5704"/>
    <n v="2368.0639999999999"/>
    <n v="8802.7039999999997"/>
    <x v="1"/>
    <x v="2"/>
    <x v="1"/>
    <n v="0.97481268930336396"/>
    <n v="0.58299264104660697"/>
    <n v="0.24203434178250199"/>
    <n v="0.41515848527349197"/>
    <n v="2.71725764168536"/>
    <n v="3.71725764168536"/>
  </r>
  <r>
    <s v="CMP336"/>
    <s v="Shop &amp; Share"/>
    <x v="3"/>
    <x v="18"/>
    <d v="2024-07-22T00:00:00"/>
    <n v="25032"/>
    <n v="1083.2"/>
    <n v="52.8"/>
    <n v="1112.6559999999999"/>
    <n v="2430.944"/>
    <x v="1"/>
    <x v="2"/>
    <x v="0"/>
    <n v="4.3272611057846001E-2"/>
    <n v="4.8744460856720802E-2"/>
    <n v="1.02719350073855"/>
    <n v="21.073030303030301"/>
    <n v="1.18481183762097"/>
    <n v="2.1848118376209702"/>
  </r>
  <r>
    <s v="CMP337"/>
    <s v="Deal of the Day"/>
    <x v="2"/>
    <x v="203"/>
    <d v="2024-06-23T00:00:00"/>
    <n v="50851.199999999997"/>
    <n v="13233.6"/>
    <n v="3785.6"/>
    <n v="1606.16"/>
    <n v="2146.1439999999998"/>
    <x v="1"/>
    <x v="3"/>
    <x v="1"/>
    <n v="0.26024164621483897"/>
    <n v="0.286059726756136"/>
    <n v="0.121369846451457"/>
    <n v="0.42428148774302599"/>
    <n v="0.33619564675997399"/>
    <n v="1.33619564675997"/>
  </r>
  <r>
    <s v="CMP338"/>
    <s v="Cart to Couch"/>
    <x v="2"/>
    <x v="204"/>
    <d v="2024-11-19T00:00:00"/>
    <n v="79657.600000000006"/>
    <n v="46822.400000000001"/>
    <n v="12369.6"/>
    <n v="3612.32"/>
    <n v="12427.44"/>
    <x v="3"/>
    <x v="0"/>
    <x v="0"/>
    <n v="0.58779576587795801"/>
    <n v="0.26418124658283199"/>
    <n v="7.7149398578458206E-2"/>
    <n v="0.29203207864441899"/>
    <n v="2.4402932187624602"/>
    <n v="3.4402932187624602"/>
  </r>
  <r>
    <s v="CMP339"/>
    <s v="Deal of the Day"/>
    <x v="1"/>
    <x v="126"/>
    <d v="2024-04-14T00:00:00"/>
    <n v="3736"/>
    <n v="1296"/>
    <n v="1244.8"/>
    <n v="1746.816"/>
    <n v="6476.6559999999999"/>
    <x v="3"/>
    <x v="1"/>
    <x v="0"/>
    <n v="0.34689507494646699"/>
    <n v="0.96049382716049403"/>
    <n v="1.3478518518518501"/>
    <n v="1.40329048843188"/>
    <n v="2.7076921667765799"/>
    <n v="3.7076921667765799"/>
  </r>
  <r>
    <s v="CMP340"/>
    <s v="Wishlist Wonders"/>
    <x v="1"/>
    <x v="81"/>
    <d v="2024-01-17T00:00:00"/>
    <n v="39680"/>
    <n v="14705.6"/>
    <n v="8780.7999999999993"/>
    <n v="6171.616"/>
    <n v="10052.992"/>
    <x v="0"/>
    <x v="0"/>
    <x v="1"/>
    <n v="0.37060483870967698"/>
    <n v="0.59710586443259706"/>
    <n v="0.41967794581655998"/>
    <n v="0.70285349854227397"/>
    <n v="0.62890756651094304"/>
    <n v="1.62890756651094"/>
  </r>
  <r>
    <s v="CMP341"/>
    <s v="Deal of the Day"/>
    <x v="1"/>
    <x v="112"/>
    <d v="2024-10-05T00:00:00"/>
    <n v="25496"/>
    <n v="18920"/>
    <n v="12704"/>
    <n v="1359.9680000000001"/>
    <n v="3956.2240000000002"/>
    <x v="4"/>
    <x v="4"/>
    <x v="1"/>
    <n v="0.74207718857860105"/>
    <n v="0.67145877378435503"/>
    <n v="7.1879915433403802E-2"/>
    <n v="0.107050377833753"/>
    <n v="1.90905668368668"/>
    <n v="2.90905668368667"/>
  </r>
  <r>
    <s v="CMP342"/>
    <s v="Deal of the Day"/>
    <x v="1"/>
    <x v="32"/>
    <d v="2024-01-29T00:00:00"/>
    <n v="35721.599999999999"/>
    <n v="26836.799999999999"/>
    <n v="5137.6000000000004"/>
    <n v="7676.32"/>
    <n v="29795.376"/>
    <x v="2"/>
    <x v="2"/>
    <x v="0"/>
    <n v="0.75127653856490195"/>
    <n v="0.191438621594229"/>
    <n v="0.28603708340785799"/>
    <n v="1.49414512612893"/>
    <n v="2.88146611918211"/>
    <n v="3.88146611918211"/>
  </r>
  <r>
    <s v="CMP343"/>
    <s v="Shop &amp; Share"/>
    <x v="1"/>
    <x v="79"/>
    <d v="2024-06-22T00:00:00"/>
    <n v="73075.199999999997"/>
    <n v="12820.8"/>
    <n v="9168"/>
    <n v="7463.1840000000002"/>
    <n v="21368.288"/>
    <x v="4"/>
    <x v="4"/>
    <x v="1"/>
    <n v="0.175446663163426"/>
    <n v="0.71508798202920298"/>
    <n v="0.582115312616997"/>
    <n v="0.81404712041884797"/>
    <n v="1.8631597452240201"/>
    <n v="2.8631597452240198"/>
  </r>
  <r>
    <s v="CMP344"/>
    <s v="Wishlist Wonders"/>
    <x v="2"/>
    <x v="78"/>
    <d v="2024-09-10T00:00:00"/>
    <n v="52355.199999999997"/>
    <n v="38360"/>
    <n v="9920"/>
    <n v="6417.9520000000002"/>
    <n v="21003.952000000001"/>
    <x v="4"/>
    <x v="1"/>
    <x v="1"/>
    <n v="0.73268748853982002"/>
    <n v="0.25860271115745598"/>
    <n v="0.167308446298227"/>
    <n v="0.64697096774193597"/>
    <n v="2.2726876112504399"/>
    <n v="3.2726876112504399"/>
  </r>
  <r>
    <s v="CMP345"/>
    <s v="Flash Sale Frenzy"/>
    <x v="2"/>
    <x v="43"/>
    <d v="2024-03-09T00:00:00"/>
    <n v="26649.599999999999"/>
    <n v="25968"/>
    <n v="11768"/>
    <n v="1974.08"/>
    <n v="6797.3919999999998"/>
    <x v="4"/>
    <x v="1"/>
    <x v="0"/>
    <n v="0.97442363112391905"/>
    <n v="0.45317313616759097"/>
    <n v="7.6019716574245194E-2"/>
    <n v="0.16774983004758701"/>
    <n v="2.44332144593937"/>
    <n v="3.44332144593937"/>
  </r>
  <r>
    <s v="CMP346"/>
    <s v="Cart to Couch"/>
    <x v="3"/>
    <x v="62"/>
    <d v="2024-04-26T00:00:00"/>
    <n v="16678.400000000001"/>
    <n v="10441.6"/>
    <n v="8161.6"/>
    <n v="5709.2640000000001"/>
    <n v="14054.56"/>
    <x v="0"/>
    <x v="1"/>
    <x v="0"/>
    <n v="0.626055257099002"/>
    <n v="0.78164266012871597"/>
    <n v="0.54678057002758196"/>
    <n v="0.69952754361889802"/>
    <n v="1.46171135193608"/>
    <n v="2.46171135193608"/>
  </r>
  <r>
    <s v="CMP347"/>
    <s v="Deal of the Day"/>
    <x v="1"/>
    <x v="167"/>
    <d v="2024-01-18T00:00:00"/>
    <n v="4980.8"/>
    <n v="1929.6"/>
    <n v="214.4"/>
    <n v="1108.576"/>
    <n v="3089.4079999999999"/>
    <x v="1"/>
    <x v="2"/>
    <x v="0"/>
    <n v="0.38740764535817501"/>
    <n v="0.11111111111111099"/>
    <n v="0.57451077943615303"/>
    <n v="5.1705970149253702"/>
    <n v="1.7868256213376399"/>
    <n v="2.7868256213376399"/>
  </r>
  <r>
    <s v="CMP348"/>
    <s v="Wishlist Wonders"/>
    <x v="3"/>
    <x v="185"/>
    <d v="2024-10-24T00:00:00"/>
    <n v="2201.6"/>
    <n v="534.4"/>
    <n v="41.6"/>
    <n v="6972.6719999999996"/>
    <n v="20561.263999999999"/>
    <x v="1"/>
    <x v="2"/>
    <x v="0"/>
    <n v="0.24273255813953501"/>
    <n v="7.7844311377245498E-2"/>
    <n v="13.047664670658699"/>
    <n v="167.61230769230801"/>
    <n v="1.9488356830781699"/>
    <n v="2.9488356830781699"/>
  </r>
  <r>
    <s v="CMP349"/>
    <s v="Shop &amp; Share"/>
    <x v="1"/>
    <x v="205"/>
    <d v="2024-07-05T00:00:00"/>
    <n v="13214.4"/>
    <n v="9464"/>
    <n v="7691.2"/>
    <n v="5501.92"/>
    <n v="10236.288"/>
    <x v="1"/>
    <x v="2"/>
    <x v="0"/>
    <n v="0.71618840053275201"/>
    <n v="0.81267962806424299"/>
    <n v="0.58135249366018604"/>
    <n v="0.71535261077595202"/>
    <n v="0.86049379125832404"/>
    <n v="1.8604937912583199"/>
  </r>
  <r>
    <s v="CMP350"/>
    <s v="Wishlist Wonders"/>
    <x v="3"/>
    <x v="196"/>
    <d v="2024-10-17T00:00:00"/>
    <n v="14667.2"/>
    <n v="10886.4"/>
    <n v="4710.3999999999996"/>
    <n v="3368.3359999999998"/>
    <n v="5847.5360000000001"/>
    <x v="3"/>
    <x v="0"/>
    <x v="1"/>
    <n v="0.74222755536162299"/>
    <n v="0.43268665490887698"/>
    <n v="0.30940770135214601"/>
    <n v="0.71508491847826094"/>
    <n v="0.73603108478489099"/>
    <n v="1.7360310847848901"/>
  </r>
  <r>
    <s v="CMP351"/>
    <s v="Wishlist Wonders"/>
    <x v="1"/>
    <x v="87"/>
    <d v="2024-02-28T00:00:00"/>
    <n v="19368"/>
    <n v="8427.2000000000007"/>
    <n v="6376"/>
    <n v="3453.904"/>
    <n v="4936.4960000000001"/>
    <x v="1"/>
    <x v="4"/>
    <x v="0"/>
    <n v="0.43510945890128"/>
    <n v="0.75659768369090596"/>
    <n v="0.409851908107082"/>
    <n v="0.54170388958594695"/>
    <n v="0.42925107356776598"/>
    <n v="1.4292510735677699"/>
  </r>
  <r>
    <s v="CMP352"/>
    <s v="Wishlist Wonders"/>
    <x v="2"/>
    <x v="206"/>
    <d v="2024-03-08T00:00:00"/>
    <n v="39252.800000000003"/>
    <n v="6763.2"/>
    <n v="6441.6"/>
    <n v="5738.0640000000003"/>
    <n v="17847.328000000001"/>
    <x v="2"/>
    <x v="0"/>
    <x v="0"/>
    <n v="0.1722985366649"/>
    <n v="0.95244854506742405"/>
    <n v="0.84842441447835304"/>
    <n v="0.890782414307004"/>
    <n v="2.11033965462916"/>
    <n v="3.11033965462916"/>
  </r>
  <r>
    <s v="CMP353"/>
    <s v="Cart to Couch"/>
    <x v="2"/>
    <x v="207"/>
    <d v="2024-06-01T00:00:00"/>
    <n v="24936"/>
    <n v="4606.3999999999996"/>
    <n v="2912"/>
    <n v="4811.616"/>
    <n v="7770"/>
    <x v="1"/>
    <x v="1"/>
    <x v="1"/>
    <n v="0.18472890599935801"/>
    <n v="0.63216394581451896"/>
    <n v="1.0445501910385599"/>
    <n v="1.65234065934066"/>
    <n v="0.61484208216116998"/>
    <n v="1.61484208216117"/>
  </r>
  <r>
    <s v="CMP354"/>
    <s v="Wishlist Wonders"/>
    <x v="0"/>
    <x v="208"/>
    <d v="2024-05-17T00:00:00"/>
    <n v="20502.400000000001"/>
    <n v="4683.2"/>
    <n v="956.8"/>
    <n v="7049.76"/>
    <n v="26903.119999999999"/>
    <x v="2"/>
    <x v="3"/>
    <x v="0"/>
    <n v="0.22842203839550501"/>
    <n v="0.204304748889648"/>
    <n v="1.50532968910147"/>
    <n v="7.3680602006689"/>
    <n v="2.81617530242164"/>
    <n v="3.81617530242164"/>
  </r>
  <r>
    <s v="CMP355"/>
    <s v="Seasonal Steals"/>
    <x v="1"/>
    <x v="164"/>
    <d v="2024-03-13T00:00:00"/>
    <n v="77835.199999999997"/>
    <n v="10998.4"/>
    <n v="5718.4"/>
    <n v="4064.3040000000001"/>
    <n v="7520.96"/>
    <x v="4"/>
    <x v="4"/>
    <x v="0"/>
    <n v="0.141303677513516"/>
    <n v="0.51993017166133304"/>
    <n v="0.36953593249927302"/>
    <n v="0.71074146614437606"/>
    <n v="0.85049149866742202"/>
    <n v="1.8504914986674199"/>
  </r>
  <r>
    <s v="CMP356"/>
    <s v="Seasonal Steals"/>
    <x v="0"/>
    <x v="209"/>
    <d v="2024-04-17T00:00:00"/>
    <n v="45886.400000000001"/>
    <n v="36252.800000000003"/>
    <n v="3281.6"/>
    <n v="7688.6559999999999"/>
    <n v="12864.128000000001"/>
    <x v="2"/>
    <x v="0"/>
    <x v="0"/>
    <n v="0.79005544126364202"/>
    <n v="9.0519904669432397E-2"/>
    <n v="0.212084473475152"/>
    <n v="2.34295953193564"/>
    <n v="0.67313090870498005"/>
    <n v="1.6731309087049799"/>
  </r>
  <r>
    <s v="CMP357"/>
    <s v="Seasonal Steals"/>
    <x v="3"/>
    <x v="59"/>
    <d v="2024-04-23T00:00:00"/>
    <n v="5364.8"/>
    <n v="3425.6"/>
    <n v="2452.8000000000002"/>
    <n v="5543.1679999999997"/>
    <n v="14969.567999999999"/>
    <x v="3"/>
    <x v="1"/>
    <x v="0"/>
    <n v="0.63853265732180098"/>
    <n v="0.71602055114432495"/>
    <n v="1.61815973843998"/>
    <n v="2.2599347684279198"/>
    <n v="1.7005438045536401"/>
    <n v="2.7005438045536398"/>
  </r>
  <r>
    <s v="CMP358"/>
    <s v="Flash Sale Frenzy"/>
    <x v="3"/>
    <x v="207"/>
    <d v="2024-06-16T00:00:00"/>
    <n v="18107.2"/>
    <n v="5635.2"/>
    <n v="3974.4"/>
    <n v="3335.7759999999998"/>
    <n v="4780.848"/>
    <x v="3"/>
    <x v="3"/>
    <x v="0"/>
    <n v="0.31121321905098498"/>
    <n v="0.70528109028960795"/>
    <n v="0.59195343554798396"/>
    <n v="0.83931561996779402"/>
    <n v="0.43320414800034501"/>
    <n v="1.4332041480003499"/>
  </r>
  <r>
    <s v="CMP359"/>
    <s v="Wishlist Wonders"/>
    <x v="1"/>
    <x v="210"/>
    <d v="2024-03-20T00:00:00"/>
    <n v="69315.199999999997"/>
    <n v="68747.199999999997"/>
    <n v="33995.199999999997"/>
    <n v="617.21600000000001"/>
    <n v="1145.3920000000001"/>
    <x v="1"/>
    <x v="1"/>
    <x v="0"/>
    <n v="0.99180554914362196"/>
    <n v="0.494495775827961"/>
    <n v="8.9780529243372806E-3"/>
    <n v="1.8155974961170999E-2"/>
    <n v="0.85573931978432205"/>
    <n v="1.8557393197843199"/>
  </r>
  <r>
    <s v="CMP360"/>
    <s v="Shop &amp; Share"/>
    <x v="2"/>
    <x v="51"/>
    <d v="2024-08-24T00:00:00"/>
    <n v="51347.199999999997"/>
    <n v="50790.400000000001"/>
    <n v="7056"/>
    <n v="6271.92"/>
    <n v="10665.871999999999"/>
    <x v="3"/>
    <x v="4"/>
    <x v="1"/>
    <n v="0.98915617599401695"/>
    <n v="0.138923891129032"/>
    <n v="0.123486328125"/>
    <n v="0.888877551020408"/>
    <n v="0.70057526243957202"/>
    <n v="1.70057526243957"/>
  </r>
  <r>
    <s v="CMP361"/>
    <s v="Seasonal Steals"/>
    <x v="0"/>
    <x v="211"/>
    <d v="2024-10-27T00:00:00"/>
    <n v="27980.799999999999"/>
    <n v="6044.8"/>
    <n v="3673.6"/>
    <n v="976.64"/>
    <n v="3126.96"/>
    <x v="1"/>
    <x v="3"/>
    <x v="0"/>
    <n v="0.21603385178408099"/>
    <n v="0.60772895712016906"/>
    <n v="0.16156696664902101"/>
    <n v="0.26585365853658499"/>
    <n v="2.2017529488859799"/>
    <n v="3.2017529488859799"/>
  </r>
  <r>
    <s v="CMP362"/>
    <s v="Shop &amp; Share"/>
    <x v="0"/>
    <x v="135"/>
    <d v="2024-09-29T00:00:00"/>
    <n v="76992"/>
    <n v="43849.599999999999"/>
    <n v="33814.400000000001"/>
    <n v="2858.6080000000002"/>
    <n v="8790.2720000000008"/>
    <x v="0"/>
    <x v="0"/>
    <x v="0"/>
    <n v="0.56953449709060699"/>
    <n v="0.77114500474348702"/>
    <n v="6.5191199007516604E-2"/>
    <n v="8.4538184915302406E-2"/>
    <n v="2.07501833060007"/>
    <n v="3.07501833060007"/>
  </r>
  <r>
    <s v="CMP363"/>
    <s v="Seasonal Steals"/>
    <x v="1"/>
    <x v="166"/>
    <d v="2024-04-18T00:00:00"/>
    <n v="15744"/>
    <n v="12332.8"/>
    <n v="12120"/>
    <n v="5805.36"/>
    <n v="22399.776000000002"/>
    <x v="0"/>
    <x v="4"/>
    <x v="0"/>
    <n v="0.78333333333333299"/>
    <n v="0.98274519979242303"/>
    <n v="0.47072522055007798"/>
    <n v="0.47899009900990103"/>
    <n v="2.8584645913431701"/>
    <n v="3.8584645913431701"/>
  </r>
  <r>
    <s v="CMP364"/>
    <s v="Shop &amp; Share"/>
    <x v="0"/>
    <x v="212"/>
    <d v="2024-09-21T00:00:00"/>
    <n v="10609.6"/>
    <n v="1540.8"/>
    <n v="960"/>
    <n v="918.25599999999997"/>
    <n v="1530.8"/>
    <x v="1"/>
    <x v="1"/>
    <x v="0"/>
    <n v="0.14522696425878401"/>
    <n v="0.62305295950155803"/>
    <n v="0.59596053997923204"/>
    <n v="0.95651666666666701"/>
    <n v="0.66707323447927402"/>
    <n v="1.66707323447927"/>
  </r>
  <r>
    <s v="CMP365"/>
    <s v="Deal of the Day"/>
    <x v="0"/>
    <x v="213"/>
    <d v="2024-06-07T00:00:00"/>
    <n v="66619.199999999997"/>
    <n v="33595.199999999997"/>
    <n v="26640"/>
    <n v="6814.4480000000003"/>
    <n v="12383.456"/>
    <x v="4"/>
    <x v="4"/>
    <x v="0"/>
    <n v="0.50428705238129501"/>
    <n v="0.79297042434633502"/>
    <n v="0.20283992951374"/>
    <n v="0.25579759759759801"/>
    <n v="0.81723537988696904"/>
    <n v="1.81723537988697"/>
  </r>
  <r>
    <s v="CMP366"/>
    <s v="Deal of the Day"/>
    <x v="2"/>
    <x v="73"/>
    <d v="2024-10-30T00:00:00"/>
    <n v="44902.400000000001"/>
    <n v="35224"/>
    <n v="33369.599999999999"/>
    <n v="5171.5200000000004"/>
    <n v="14222.784"/>
    <x v="4"/>
    <x v="0"/>
    <x v="1"/>
    <n v="0.78445695553021699"/>
    <n v="0.94735407676584105"/>
    <n v="0.14681807858278401"/>
    <n v="0.15497698504027599"/>
    <n v="1.75021347688881"/>
    <n v="2.7502134768888098"/>
  </r>
  <r>
    <s v="CMP367"/>
    <s v="Cart to Couch"/>
    <x v="2"/>
    <x v="214"/>
    <d v="2024-06-21T00:00:00"/>
    <n v="9857.6"/>
    <n v="6065.6"/>
    <n v="2750.4"/>
    <n v="1085.5999999999999"/>
    <n v="1799.5039999999999"/>
    <x v="2"/>
    <x v="3"/>
    <x v="1"/>
    <n v="0.61532218795650095"/>
    <n v="0.45344236349248201"/>
    <n v="0.17897652334476399"/>
    <n v="0.39470622454915599"/>
    <n v="0.65761238025055302"/>
    <n v="1.65761238025055"/>
  </r>
  <r>
    <s v="CMP368"/>
    <s v="Shop &amp; Share"/>
    <x v="3"/>
    <x v="203"/>
    <d v="2024-07-08T00:00:00"/>
    <n v="27795.200000000001"/>
    <n v="11857.6"/>
    <n v="1270.4000000000001"/>
    <n v="6002.5280000000002"/>
    <n v="8206.0159999999996"/>
    <x v="3"/>
    <x v="1"/>
    <x v="0"/>
    <n v="0.42660603269629299"/>
    <n v="0.107138038051545"/>
    <n v="0.50621778437457798"/>
    <n v="4.7249118387909297"/>
    <n v="0.36709333134306099"/>
    <n v="1.36709333134306"/>
  </r>
  <r>
    <s v="CMP369"/>
    <s v="Deal of the Day"/>
    <x v="1"/>
    <x v="215"/>
    <d v="2024-03-16T00:00:00"/>
    <n v="24984"/>
    <n v="21886.400000000001"/>
    <n v="21473.599999999999"/>
    <n v="786.68799999999999"/>
    <n v="1104.4960000000001"/>
    <x v="2"/>
    <x v="3"/>
    <x v="1"/>
    <n v="0.87601665065641998"/>
    <n v="0.98113897214708701"/>
    <n v="3.5944147964032502E-2"/>
    <n v="3.6635124059309999E-2"/>
    <n v="0.40398226488773198"/>
    <n v="1.40398226488773"/>
  </r>
  <r>
    <s v="CMP370"/>
    <s v="Seasonal Steals"/>
    <x v="1"/>
    <x v="216"/>
    <d v="2024-02-18T00:00:00"/>
    <n v="21331.200000000001"/>
    <n v="7622.4"/>
    <n v="3937.6"/>
    <n v="1643.04"/>
    <n v="4612.08"/>
    <x v="2"/>
    <x v="0"/>
    <x v="0"/>
    <n v="0.35733573357335702"/>
    <n v="0.51658270361041103"/>
    <n v="0.21555415617128501"/>
    <n v="0.41726940268183699"/>
    <n v="1.8070406076540999"/>
    <n v="2.8070406076541001"/>
  </r>
  <r>
    <s v="CMP371"/>
    <s v="Deal of the Day"/>
    <x v="3"/>
    <x v="217"/>
    <d v="2024-07-10T00:00:00"/>
    <n v="79051.199999999997"/>
    <n v="11817.6"/>
    <n v="8209.6"/>
    <n v="7761.2"/>
    <n v="30676"/>
    <x v="3"/>
    <x v="1"/>
    <x v="0"/>
    <n v="0.149492986823729"/>
    <n v="0.69469266179258105"/>
    <n v="0.65674925534795603"/>
    <n v="0.94538101734554703"/>
    <n v="2.9524815750141702"/>
    <n v="3.9524815750141702"/>
  </r>
  <r>
    <s v="CMP372"/>
    <s v="Flash Sale Frenzy"/>
    <x v="2"/>
    <x v="78"/>
    <d v="2024-09-25T00:00:00"/>
    <n v="56440"/>
    <n v="13907.2"/>
    <n v="1628.8"/>
    <n v="5894.1279999999997"/>
    <n v="17031.168000000001"/>
    <x v="4"/>
    <x v="1"/>
    <x v="0"/>
    <n v="0.24640680368532999"/>
    <n v="0.117119190059825"/>
    <n v="0.42381845375057497"/>
    <n v="3.6186935166994099"/>
    <n v="1.8895144455634501"/>
    <n v="2.8895144455634498"/>
  </r>
  <r>
    <s v="CMP373"/>
    <s v="Cart to Couch"/>
    <x v="0"/>
    <x v="85"/>
    <d v="2024-08-13T00:00:00"/>
    <n v="57076.800000000003"/>
    <n v="17854.400000000001"/>
    <n v="16328"/>
    <n v="6988.5439999999999"/>
    <n v="20413.312000000002"/>
    <x v="2"/>
    <x v="2"/>
    <x v="0"/>
    <n v="0.31281361253609202"/>
    <n v="0.91450846850076195"/>
    <n v="0.391418585894793"/>
    <n v="0.42800979911807902"/>
    <n v="1.92096780101835"/>
    <n v="2.92096780101835"/>
  </r>
  <r>
    <s v="CMP374"/>
    <s v="Wishlist Wonders"/>
    <x v="1"/>
    <x v="218"/>
    <d v="2024-02-14T00:00:00"/>
    <n v="13084.8"/>
    <n v="2329.6"/>
    <n v="1059.2"/>
    <n v="466.928"/>
    <n v="1861.28"/>
    <x v="0"/>
    <x v="2"/>
    <x v="0"/>
    <n v="0.17803864025434099"/>
    <n v="0.45467032967033"/>
    <n v="0.20043269230769201"/>
    <n v="0.44083081570997001"/>
    <n v="2.9862248569372598"/>
    <n v="3.9862248569372598"/>
  </r>
  <r>
    <s v="CMP375"/>
    <s v="Seasonal Steals"/>
    <x v="3"/>
    <x v="178"/>
    <d v="2024-03-26T00:00:00"/>
    <n v="33556.800000000003"/>
    <n v="32724.799999999999"/>
    <n v="30491.200000000001"/>
    <n v="6334.2560000000003"/>
    <n v="19060.031999999999"/>
    <x v="1"/>
    <x v="4"/>
    <x v="0"/>
    <n v="0.97520621751776104"/>
    <n v="0.93174595413875705"/>
    <n v="0.19356133574536699"/>
    <n v="0.20774046282205999"/>
    <n v="2.00904036717177"/>
    <n v="3.00904036717177"/>
  </r>
  <r>
    <s v="CMP376"/>
    <s v="Seasonal Steals"/>
    <x v="1"/>
    <x v="209"/>
    <d v="2024-04-14T00:00:00"/>
    <n v="18694.400000000001"/>
    <n v="13067.2"/>
    <n v="12476.8"/>
    <n v="4082.88"/>
    <n v="14781.44"/>
    <x v="3"/>
    <x v="2"/>
    <x v="0"/>
    <n v="0.69899007189318696"/>
    <n v="0.95481817068691099"/>
    <n v="0.31245255295702201"/>
    <n v="0.32723775327006899"/>
    <n v="2.6203464221333999"/>
    <n v="3.6203464221333999"/>
  </r>
  <r>
    <s v="CMP377"/>
    <s v="Wishlist Wonders"/>
    <x v="1"/>
    <x v="6"/>
    <d v="2024-04-05T00:00:00"/>
    <n v="51920"/>
    <n v="33595.199999999997"/>
    <n v="16376"/>
    <n v="2586.48"/>
    <n v="5378.7839999999997"/>
    <x v="1"/>
    <x v="3"/>
    <x v="1"/>
    <n v="0.647057010785824"/>
    <n v="0.48745058817926401"/>
    <n v="7.6989569938562694E-2"/>
    <n v="0.15794333170493399"/>
    <n v="1.0795768766818199"/>
    <n v="2.0795768766818199"/>
  </r>
  <r>
    <s v="CMP378"/>
    <s v="Wishlist Wonders"/>
    <x v="2"/>
    <x v="219"/>
    <d v="2024-02-05T00:00:00"/>
    <n v="11385.6"/>
    <n v="1265.5999999999999"/>
    <n v="414.4"/>
    <n v="6841.3440000000001"/>
    <n v="17317.12"/>
    <x v="0"/>
    <x v="2"/>
    <x v="0"/>
    <n v="0.11115795390668901"/>
    <n v="0.32743362831858402"/>
    <n v="5.4056131479140301"/>
    <n v="16.5090347490348"/>
    <n v="1.5312453225564999"/>
    <n v="2.5312453225564999"/>
  </r>
  <r>
    <s v="CMP379"/>
    <s v="Seasonal Steals"/>
    <x v="1"/>
    <x v="183"/>
    <d v="2024-07-25T00:00:00"/>
    <n v="2873.6"/>
    <n v="1689.6"/>
    <n v="32"/>
    <n v="7047.7439999999997"/>
    <n v="18586.576000000001"/>
    <x v="3"/>
    <x v="0"/>
    <x v="0"/>
    <n v="0.58797327394209398"/>
    <n v="1.8939393939393898E-2"/>
    <n v="4.1712499999999997"/>
    <n v="220.24199999999999"/>
    <n v="1.6372376749212201"/>
    <n v="2.6372376749212201"/>
  </r>
  <r>
    <s v="CMP380"/>
    <s v="Cart to Couch"/>
    <x v="0"/>
    <x v="220"/>
    <d v="2024-03-30T00:00:00"/>
    <n v="24329.599999999999"/>
    <n v="22099.200000000001"/>
    <n v="2089.6"/>
    <n v="2485.136"/>
    <n v="7878.3040000000001"/>
    <x v="0"/>
    <x v="2"/>
    <x v="1"/>
    <n v="0.90832566092332001"/>
    <n v="9.4555459021141E-2"/>
    <n v="0.112453663481031"/>
    <n v="1.18928790199081"/>
    <n v="2.1701701637254498"/>
    <n v="3.1701701637254498"/>
  </r>
  <r>
    <s v="CMP381"/>
    <s v="Wishlist Wonders"/>
    <x v="2"/>
    <x v="116"/>
    <d v="2024-08-14T00:00:00"/>
    <n v="59596.800000000003"/>
    <n v="59105.599999999999"/>
    <n v="47084.800000000003"/>
    <n v="4477.5519999999997"/>
    <n v="14424.432000000001"/>
    <x v="2"/>
    <x v="3"/>
    <x v="0"/>
    <n v="0.99175794673539497"/>
    <n v="0.79662163991229296"/>
    <n v="7.5755123034027205E-2"/>
    <n v="9.5095487291015302E-2"/>
    <n v="2.2214996051413798"/>
    <n v="3.2214996051413798"/>
  </r>
  <r>
    <s v="CMP382"/>
    <s v="Seasonal Steals"/>
    <x v="3"/>
    <x v="100"/>
    <d v="2024-01-26T00:00:00"/>
    <n v="8537.6"/>
    <n v="985.6"/>
    <n v="611.20000000000005"/>
    <n v="4649.68"/>
    <n v="12554.512000000001"/>
    <x v="2"/>
    <x v="4"/>
    <x v="1"/>
    <n v="0.11544227886057"/>
    <n v="0.62012987012986998"/>
    <n v="4.7176136363636401"/>
    <n v="7.6074607329842898"/>
    <n v="1.7000808657800099"/>
    <n v="2.7000808657800102"/>
  </r>
  <r>
    <s v="CMP383"/>
    <s v="Cart to Couch"/>
    <x v="0"/>
    <x v="196"/>
    <d v="2024-11-13T00:00:00"/>
    <n v="7164.8"/>
    <n v="3638.4"/>
    <n v="489.6"/>
    <n v="1457.3440000000001"/>
    <n v="2032.2719999999999"/>
    <x v="0"/>
    <x v="0"/>
    <x v="0"/>
    <n v="0.50781598928092897"/>
    <n v="0.134564643799472"/>
    <n v="0.40054529463500399"/>
    <n v="2.9766013071895401"/>
    <n v="0.394503974353344"/>
    <n v="1.3945039743533401"/>
  </r>
  <r>
    <s v="CMP384"/>
    <s v="Seasonal Steals"/>
    <x v="0"/>
    <x v="221"/>
    <d v="2024-03-12T00:00:00"/>
    <n v="10457.6"/>
    <n v="4947.2"/>
    <n v="4174.3999999999996"/>
    <n v="1744.0160000000001"/>
    <n v="2196.768"/>
    <x v="0"/>
    <x v="3"/>
    <x v="0"/>
    <n v="0.47307221542227701"/>
    <n v="0.84379042690814998"/>
    <n v="0.35252587322121598"/>
    <n v="0.41778842468378702"/>
    <n v="0.259603122907129"/>
    <n v="1.2596031229071301"/>
  </r>
  <r>
    <s v="CMP385"/>
    <s v="Seasonal Steals"/>
    <x v="0"/>
    <x v="203"/>
    <d v="2024-07-05T00:00:00"/>
    <n v="62172.800000000003"/>
    <n v="54969.599999999999"/>
    <n v="160"/>
    <n v="5963.0079999999998"/>
    <n v="20504.736000000001"/>
    <x v="3"/>
    <x v="1"/>
    <x v="0"/>
    <n v="0.88414226156775899"/>
    <n v="2.9106997322156198E-3"/>
    <n v="0.108478286179998"/>
    <n v="37.268799999999999"/>
    <n v="2.43865646331516"/>
    <n v="3.43865646331516"/>
  </r>
  <r>
    <s v="CMP386"/>
    <s v="Deal of the Day"/>
    <x v="0"/>
    <x v="177"/>
    <d v="2024-06-18T00:00:00"/>
    <n v="5014.3999999999996"/>
    <n v="1908.8"/>
    <n v="864"/>
    <n v="5498.24"/>
    <n v="18124.351999999999"/>
    <x v="4"/>
    <x v="1"/>
    <x v="0"/>
    <n v="0.38066368857689897"/>
    <n v="0.45264040234702402"/>
    <n v="2.8804694048616901"/>
    <n v="6.3637037037036999"/>
    <n v="2.2963915725759501"/>
    <n v="3.2963915725759501"/>
  </r>
  <r>
    <s v="CMP387"/>
    <s v="Cart to Couch"/>
    <x v="2"/>
    <x v="12"/>
    <d v="2024-09-05T00:00:00"/>
    <n v="9436.7999999999993"/>
    <n v="2811.2"/>
    <n v="1544"/>
    <n v="6922.6239999999998"/>
    <n v="22059.856"/>
    <x v="1"/>
    <x v="2"/>
    <x v="0"/>
    <n v="0.29789759240420499"/>
    <n v="0.54923164484917497"/>
    <n v="2.4625156516789999"/>
    <n v="4.4835647668393799"/>
    <n v="2.1866321209991999"/>
    <n v="3.1866321209991999"/>
  </r>
  <r>
    <s v="CMP388"/>
    <s v="Flash Sale Frenzy"/>
    <x v="3"/>
    <x v="222"/>
    <d v="2024-02-21T00:00:00"/>
    <n v="10915.2"/>
    <n v="7532.8"/>
    <n v="5664"/>
    <n v="5446.8320000000003"/>
    <n v="8511.92"/>
    <x v="4"/>
    <x v="4"/>
    <x v="1"/>
    <n v="0.690120199355028"/>
    <n v="0.75191163976210695"/>
    <n v="0.72308198810535296"/>
    <n v="0.96165819209039505"/>
    <n v="0.56272857323302805"/>
    <n v="1.56272857323303"/>
  </r>
  <r>
    <s v="CMP389"/>
    <s v="Seasonal Steals"/>
    <x v="3"/>
    <x v="128"/>
    <d v="2024-10-09T00:00:00"/>
    <n v="25227.200000000001"/>
    <n v="12747.2"/>
    <n v="6924.8"/>
    <n v="4112.3519999999999"/>
    <n v="12414.191999999999"/>
    <x v="0"/>
    <x v="0"/>
    <x v="1"/>
    <n v="0.50529587112323204"/>
    <n v="0.54324086858290399"/>
    <n v="0.32260825906865798"/>
    <n v="0.59385859519408501"/>
    <n v="2.01875714919345"/>
    <n v="3.01875714919345"/>
  </r>
  <r>
    <s v="CMP390"/>
    <s v="Deal of the Day"/>
    <x v="2"/>
    <x v="78"/>
    <d v="2024-09-20T00:00:00"/>
    <n v="16401.599999999999"/>
    <n v="299.2"/>
    <n v="62.4"/>
    <n v="485.36"/>
    <n v="1399.7760000000001"/>
    <x v="1"/>
    <x v="3"/>
    <x v="1"/>
    <n v="1.8242122719734698E-2"/>
    <n v="0.20855614973261999"/>
    <n v="1.6221925133689801"/>
    <n v="7.7782051282051299"/>
    <n v="1.8839953848689599"/>
    <n v="2.8839953848689599"/>
  </r>
  <r>
    <s v="CMP391"/>
    <s v="Shop &amp; Share"/>
    <x v="2"/>
    <x v="223"/>
    <d v="2024-08-14T00:00:00"/>
    <n v="51985.599999999999"/>
    <n v="42452.800000000003"/>
    <n v="24651.200000000001"/>
    <n v="4627.5519999999997"/>
    <n v="17024.592000000001"/>
    <x v="4"/>
    <x v="1"/>
    <x v="0"/>
    <n v="0.81662614262411104"/>
    <n v="0.580673124034222"/>
    <n v="0.10900463573663"/>
    <n v="0.18772116570390099"/>
    <n v="2.6789628728105099"/>
    <n v="3.6789628728105099"/>
  </r>
  <r>
    <s v="CMP392"/>
    <s v="Shop &amp; Share"/>
    <x v="1"/>
    <x v="139"/>
    <d v="2024-05-23T00:00:00"/>
    <n v="3120"/>
    <n v="1089.5999999999999"/>
    <n v="620.79999999999995"/>
    <n v="700.36800000000005"/>
    <n v="1569.328"/>
    <x v="2"/>
    <x v="3"/>
    <x v="0"/>
    <n v="0.34923076923076901"/>
    <n v="0.56975036710719495"/>
    <n v="0.64277533039647605"/>
    <n v="1.12817010309278"/>
    <n v="1.24071916478194"/>
    <n v="2.24071916478194"/>
  </r>
  <r>
    <s v="CMP393"/>
    <s v="Deal of the Day"/>
    <x v="1"/>
    <x v="63"/>
    <d v="2024-06-25T00:00:00"/>
    <n v="5753.6"/>
    <n v="652.79999999999995"/>
    <n v="225.6"/>
    <n v="6874.16"/>
    <n v="18901.392"/>
    <x v="4"/>
    <x v="1"/>
    <x v="1"/>
    <n v="0.113459399332592"/>
    <n v="0.34558823529411797"/>
    <n v="10.530269607843101"/>
    <n v="30.4705673758865"/>
    <n v="1.7496293365298501"/>
    <n v="2.7496293365298401"/>
  </r>
  <r>
    <s v="CMP394"/>
    <s v="Wishlist Wonders"/>
    <x v="0"/>
    <x v="110"/>
    <d v="2024-06-13T00:00:00"/>
    <n v="57980.800000000003"/>
    <n v="51803.199999999997"/>
    <n v="9497.6"/>
    <n v="957.32799999999997"/>
    <n v="1587.136"/>
    <x v="1"/>
    <x v="0"/>
    <x v="0"/>
    <n v="0.89345438489982898"/>
    <n v="0.183340025326621"/>
    <n v="1.8480093893813498E-2"/>
    <n v="0.10079683288409701"/>
    <n v="0.65788110240168496"/>
    <n v="1.65788110240168"/>
  </r>
  <r>
    <s v="CMP395"/>
    <s v="Wishlist Wonders"/>
    <x v="2"/>
    <x v="224"/>
    <d v="2024-09-27T00:00:00"/>
    <n v="4363.2"/>
    <n v="553.6"/>
    <n v="113.6"/>
    <n v="2090.16"/>
    <n v="3180.1439999999998"/>
    <x v="4"/>
    <x v="3"/>
    <x v="1"/>
    <n v="0.12687935460212699"/>
    <n v="0.205202312138728"/>
    <n v="3.7755780346820802"/>
    <n v="18.3992957746479"/>
    <n v="0.52148352279251398"/>
    <n v="1.5214835227925101"/>
  </r>
  <r>
    <s v="CMP396"/>
    <s v="Seasonal Steals"/>
    <x v="1"/>
    <x v="221"/>
    <d v="2024-03-10T00:00:00"/>
    <n v="17537.599999999999"/>
    <n v="1019.2"/>
    <n v="809.6"/>
    <n v="4009.5520000000001"/>
    <n v="6160.56"/>
    <x v="2"/>
    <x v="2"/>
    <x v="0"/>
    <n v="5.8115135480339399E-2"/>
    <n v="0.79434850863422302"/>
    <n v="3.9340188383045498"/>
    <n v="4.9525098814229196"/>
    <n v="0.53647090747295501"/>
    <n v="1.5364709074729499"/>
  </r>
  <r>
    <s v="CMP397"/>
    <s v="Deal of the Day"/>
    <x v="3"/>
    <x v="225"/>
    <d v="2024-04-26T00:00:00"/>
    <n v="47134.400000000001"/>
    <n v="32310.400000000001"/>
    <n v="3528"/>
    <n v="5623.2160000000003"/>
    <n v="20669.968000000001"/>
    <x v="2"/>
    <x v="4"/>
    <x v="0"/>
    <n v="0.68549509487762605"/>
    <n v="0.10919084876696"/>
    <n v="0.17403733782311601"/>
    <n v="1.5938820861678"/>
    <n v="2.6758267866644299"/>
    <n v="3.6758267866644299"/>
  </r>
  <r>
    <s v="CMP398"/>
    <s v="Seasonal Steals"/>
    <x v="2"/>
    <x v="45"/>
    <d v="2024-06-30T00:00:00"/>
    <n v="76160"/>
    <n v="35200"/>
    <n v="1163.2"/>
    <n v="4865.84"/>
    <n v="10242.224"/>
    <x v="1"/>
    <x v="1"/>
    <x v="0"/>
    <n v="0.46218487394958002"/>
    <n v="3.3045454545454503E-2"/>
    <n v="0.138234090909091"/>
    <n v="4.18314993122421"/>
    <n v="1.1049241240977901"/>
    <n v="2.1049241240977898"/>
  </r>
  <r>
    <s v="CMP399"/>
    <s v="Deal of the Day"/>
    <x v="2"/>
    <x v="141"/>
    <d v="2024-06-15T00:00:00"/>
    <n v="19097.599999999999"/>
    <n v="12627.2"/>
    <n v="4827.2"/>
    <n v="2423.248"/>
    <n v="3440.096"/>
    <x v="4"/>
    <x v="2"/>
    <x v="1"/>
    <n v="0.66119302949061698"/>
    <n v="0.38228585909782098"/>
    <n v="0.191906994424734"/>
    <n v="0.50199867417964905"/>
    <n v="0.41962192891524103"/>
    <n v="1.4196219289152401"/>
  </r>
  <r>
    <s v="CMP400"/>
    <s v="Deal of the Day"/>
    <x v="1"/>
    <x v="184"/>
    <d v="2024-08-29T00:00:00"/>
    <n v="21500.799999999999"/>
    <n v="19454.400000000001"/>
    <n v="5902.4"/>
    <n v="4315.1360000000004"/>
    <n v="7089.44"/>
    <x v="4"/>
    <x v="2"/>
    <x v="0"/>
    <n v="0.90482214615270096"/>
    <n v="0.30339666090961398"/>
    <n v="0.221807714450202"/>
    <n v="0.73108159392789396"/>
    <n v="0.64292388467014705"/>
    <n v="1.6429238846701499"/>
  </r>
  <r>
    <s v="CMP401"/>
    <s v="Flash Sale Frenzy"/>
    <x v="3"/>
    <x v="186"/>
    <d v="2024-05-12T00:00:00"/>
    <n v="37659.199999999997"/>
    <n v="31254.400000000001"/>
    <n v="5862.4"/>
    <n v="1906.4159999999999"/>
    <n v="4644.1440000000002"/>
    <x v="2"/>
    <x v="0"/>
    <x v="0"/>
    <n v="0.82992734843013105"/>
    <n v="0.187570390089075"/>
    <n v="6.0996723661308497E-2"/>
    <n v="0.32519377729257598"/>
    <n v="1.4360601253871099"/>
    <n v="2.4360601253871099"/>
  </r>
  <r>
    <s v="CMP402"/>
    <s v="Seasonal Steals"/>
    <x v="0"/>
    <x v="143"/>
    <d v="2024-08-05T00:00:00"/>
    <n v="41094.400000000001"/>
    <n v="7273.6"/>
    <n v="3721.6"/>
    <n v="3732.48"/>
    <n v="8061.52"/>
    <x v="1"/>
    <x v="1"/>
    <x v="1"/>
    <n v="0.17699735243731499"/>
    <n v="0.51165860096788396"/>
    <n v="0.51315442146942403"/>
    <n v="1.0029234737747199"/>
    <n v="1.15982938957476"/>
    <n v="2.1598293895747598"/>
  </r>
  <r>
    <s v="CMP403"/>
    <s v="Flash Sale Frenzy"/>
    <x v="0"/>
    <x v="176"/>
    <d v="2024-08-29T00:00:00"/>
    <n v="61129.599999999999"/>
    <n v="46921.599999999999"/>
    <n v="14051.2"/>
    <n v="1999.7280000000001"/>
    <n v="7325.8239999999996"/>
    <x v="1"/>
    <x v="4"/>
    <x v="0"/>
    <n v="0.76757577343872696"/>
    <n v="0.2994612289436"/>
    <n v="4.2618495532974199E-2"/>
    <n v="0.14231723980870001"/>
    <n v="2.6634102237904398"/>
    <n v="3.6634102237904398"/>
  </r>
  <r>
    <s v="CMP404"/>
    <s v="Wishlist Wonders"/>
    <x v="3"/>
    <x v="29"/>
    <d v="2024-10-18T00:00:00"/>
    <n v="40734.400000000001"/>
    <n v="28763.200000000001"/>
    <n v="9782.4"/>
    <n v="2808.5120000000002"/>
    <n v="9714.5920000000006"/>
    <x v="2"/>
    <x v="1"/>
    <x v="0"/>
    <n v="0.70611571546407903"/>
    <n v="0.34010124047393903"/>
    <n v="9.7642543249708003E-2"/>
    <n v="0.28709846254497901"/>
    <n v="2.45898183806941"/>
    <n v="3.45898183806941"/>
  </r>
  <r>
    <s v="CMP405"/>
    <s v="Cart to Couch"/>
    <x v="1"/>
    <x v="118"/>
    <d v="2024-07-28T00:00:00"/>
    <n v="17496"/>
    <n v="16249.6"/>
    <n v="1577.6"/>
    <n v="4418.5439999999999"/>
    <n v="11298.592000000001"/>
    <x v="3"/>
    <x v="1"/>
    <x v="1"/>
    <n v="0.92876085962505694"/>
    <n v="9.7085466719180794E-2"/>
    <n v="0.27191709334383601"/>
    <n v="2.8008012170385399"/>
    <n v="1.5570848677754501"/>
    <n v="2.5570848677754499"/>
  </r>
  <r>
    <s v="CMP406"/>
    <s v="Deal of the Day"/>
    <x v="3"/>
    <x v="226"/>
    <d v="2024-01-21T00:00:00"/>
    <n v="48081.599999999999"/>
    <n v="43878.400000000001"/>
    <n v="32062.400000000001"/>
    <n v="2701.4560000000001"/>
    <n v="8213.8880000000008"/>
    <x v="2"/>
    <x v="3"/>
    <x v="0"/>
    <n v="0.91258194402848503"/>
    <n v="0.73071032672112002"/>
    <n v="6.1566875729288199E-2"/>
    <n v="8.4256200409202106E-2"/>
    <n v="2.04054110079898"/>
    <n v="3.04054110079898"/>
  </r>
  <r>
    <s v="CMP407"/>
    <s v="Deal of the Day"/>
    <x v="1"/>
    <x v="51"/>
    <d v="2024-09-03T00:00:00"/>
    <n v="39188.800000000003"/>
    <n v="18718.400000000001"/>
    <n v="10414.4"/>
    <n v="5108.2560000000003"/>
    <n v="18574.367999999999"/>
    <x v="1"/>
    <x v="0"/>
    <x v="0"/>
    <n v="0.47764667456007798"/>
    <n v="0.55637233951619802"/>
    <n v="0.27290024788443501"/>
    <n v="0.49049930864956198"/>
    <n v="2.6361466614046001"/>
    <n v="3.6361466614046001"/>
  </r>
  <r>
    <s v="CMP408"/>
    <s v="Shop &amp; Share"/>
    <x v="1"/>
    <x v="101"/>
    <d v="2024-05-29T00:00:00"/>
    <n v="55414.400000000001"/>
    <n v="44344"/>
    <n v="30593.599999999999"/>
    <n v="7157.8720000000003"/>
    <n v="19548.815999999999"/>
    <x v="1"/>
    <x v="0"/>
    <x v="0"/>
    <n v="0.80022521221920695"/>
    <n v="0.68991520837091802"/>
    <n v="0.16141692224427201"/>
    <n v="0.23396631975315099"/>
    <n v="1.7310932634727201"/>
    <n v="2.7310932634727201"/>
  </r>
  <r>
    <s v="CMP409"/>
    <s v="Shop &amp; Share"/>
    <x v="3"/>
    <x v="163"/>
    <d v="2024-02-16T00:00:00"/>
    <n v="65721.600000000006"/>
    <n v="48900.800000000003"/>
    <n v="8179.2"/>
    <n v="2585.44"/>
    <n v="6878.4"/>
    <x v="4"/>
    <x v="2"/>
    <x v="1"/>
    <n v="0.74405979160580404"/>
    <n v="0.16726106730360199"/>
    <n v="5.2871118672905101E-2"/>
    <n v="0.31609937402190902"/>
    <n v="1.6604369082245201"/>
    <n v="2.6604369082245198"/>
  </r>
  <r>
    <s v="CMP410"/>
    <s v="Seasonal Steals"/>
    <x v="0"/>
    <x v="23"/>
    <d v="2024-11-04T00:00:00"/>
    <n v="27608"/>
    <n v="4188.8"/>
    <n v="3028.8"/>
    <n v="207.76"/>
    <n v="319.31200000000001"/>
    <x v="3"/>
    <x v="4"/>
    <x v="0"/>
    <n v="0.15172413793103401"/>
    <n v="0.72307104660045796"/>
    <n v="4.9598930481283401E-2"/>
    <n v="6.8594823032224E-2"/>
    <n v="0.53692722371967705"/>
    <n v="1.53692722371968"/>
  </r>
  <r>
    <s v="CMP411"/>
    <s v="Wishlist Wonders"/>
    <x v="3"/>
    <x v="64"/>
    <d v="2024-02-18T00:00:00"/>
    <n v="9259.2000000000007"/>
    <n v="5360"/>
    <n v="3676.8"/>
    <n v="7204.8639999999996"/>
    <n v="23893.151999999998"/>
    <x v="3"/>
    <x v="1"/>
    <x v="1"/>
    <n v="0.57888370485571095"/>
    <n v="0.68597014925373101"/>
    <n v="1.3441910447761201"/>
    <n v="1.9595474325500399"/>
    <n v="2.3162530201819198"/>
    <n v="3.3162530201819198"/>
  </r>
  <r>
    <s v="CMP412"/>
    <s v="Seasonal Steals"/>
    <x v="0"/>
    <x v="172"/>
    <d v="2024-02-21T00:00:00"/>
    <n v="48291.199999999997"/>
    <n v="3556.8"/>
    <n v="2441.6"/>
    <n v="4705.76"/>
    <n v="18533.295999999998"/>
    <x v="2"/>
    <x v="2"/>
    <x v="1"/>
    <n v="7.3653170764031495E-2"/>
    <n v="0.68645973909131797"/>
    <n v="1.32303193882141"/>
    <n v="1.9273263433813901"/>
    <n v="2.9384277991227798"/>
    <n v="3.9384277991227798"/>
  </r>
  <r>
    <s v="CMP413"/>
    <s v="Wishlist Wonders"/>
    <x v="1"/>
    <x v="198"/>
    <d v="2024-04-18T00:00:00"/>
    <n v="70736"/>
    <n v="26304"/>
    <n v="10848"/>
    <n v="2905.3919999999998"/>
    <n v="7476.7839999999997"/>
    <x v="2"/>
    <x v="1"/>
    <x v="0"/>
    <n v="0.37186156978059298"/>
    <n v="0.41240875912408798"/>
    <n v="0.110454379562044"/>
    <n v="0.26782743362831901"/>
    <n v="1.5734165992058899"/>
    <n v="2.5734165992058902"/>
  </r>
  <r>
    <s v="CMP414"/>
    <s v="Deal of the Day"/>
    <x v="3"/>
    <x v="32"/>
    <d v="2024-01-19T00:00:00"/>
    <n v="39486.400000000001"/>
    <n v="2536"/>
    <n v="2129.6"/>
    <n v="7719.92"/>
    <n v="29951.216"/>
    <x v="3"/>
    <x v="4"/>
    <x v="0"/>
    <n v="6.4224644434539499E-2"/>
    <n v="0.83974763406940101"/>
    <n v="3.04413249211356"/>
    <n v="3.62505634861007"/>
    <n v="2.87973139618027"/>
    <n v="3.87973139618027"/>
  </r>
  <r>
    <s v="CMP415"/>
    <s v="Wishlist Wonders"/>
    <x v="3"/>
    <x v="227"/>
    <d v="2024-10-09T00:00:00"/>
    <n v="44072"/>
    <n v="15174.4"/>
    <n v="10508.8"/>
    <n v="4931.0240000000003"/>
    <n v="9243.5040000000008"/>
    <x v="1"/>
    <x v="3"/>
    <x v="0"/>
    <n v="0.34430931203485199"/>
    <n v="0.69253479544495999"/>
    <n v="0.32495676929565598"/>
    <n v="0.46922807551766099"/>
    <n v="0.87456074032493003"/>
    <n v="1.87456074032493"/>
  </r>
  <r>
    <s v="CMP416"/>
    <s v="Flash Sale Frenzy"/>
    <x v="2"/>
    <x v="173"/>
    <d v="2024-08-02T00:00:00"/>
    <n v="55947.199999999997"/>
    <n v="1870.4"/>
    <n v="952"/>
    <n v="5256"/>
    <n v="13935.2"/>
    <x v="4"/>
    <x v="1"/>
    <x v="0"/>
    <n v="3.34315211485115E-2"/>
    <n v="0.50898203592814395"/>
    <n v="2.8100940975192499"/>
    <n v="5.52100840336134"/>
    <n v="1.65129375951294"/>
    <n v="2.65129375951294"/>
  </r>
  <r>
    <s v="CMP417"/>
    <s v="Cart to Couch"/>
    <x v="2"/>
    <x v="121"/>
    <d v="2024-03-06T00:00:00"/>
    <n v="17014.400000000001"/>
    <n v="14854.4"/>
    <n v="4857.6000000000004"/>
    <n v="1396.4480000000001"/>
    <n v="1761.088"/>
    <x v="2"/>
    <x v="0"/>
    <x v="0"/>
    <n v="0.87304871167951803"/>
    <n v="0.327014218009479"/>
    <n v="9.4009047824213696E-2"/>
    <n v="0.28747694334650897"/>
    <n v="0.26111964068837501"/>
    <n v="1.26111964068837"/>
  </r>
  <r>
    <s v="CMP418"/>
    <s v="Deal of the Day"/>
    <x v="2"/>
    <x v="207"/>
    <d v="2024-06-19T00:00:00"/>
    <n v="58094.400000000001"/>
    <n v="50110.400000000001"/>
    <n v="1928"/>
    <n v="4486.4799999999996"/>
    <n v="16983.616000000002"/>
    <x v="4"/>
    <x v="2"/>
    <x v="0"/>
    <n v="0.86256850918505101"/>
    <n v="3.8475047096012002E-2"/>
    <n v="8.9531913534914895E-2"/>
    <n v="2.3270124481327801"/>
    <n v="2.7855102441112001"/>
    <n v="3.7855102441112001"/>
  </r>
  <r>
    <s v="CMP419"/>
    <s v="Wishlist Wonders"/>
    <x v="1"/>
    <x v="228"/>
    <d v="2024-06-11T00:00:00"/>
    <n v="30265.599999999999"/>
    <n v="8352"/>
    <n v="2392"/>
    <n v="4255.6319999999996"/>
    <n v="16745.423999999999"/>
    <x v="0"/>
    <x v="0"/>
    <x v="0"/>
    <n v="0.27595686191583801"/>
    <n v="0.28639846743295"/>
    <n v="0.50953448275862101"/>
    <n v="1.77911036789298"/>
    <n v="2.9348853472292702"/>
    <n v="3.9348853472292702"/>
  </r>
  <r>
    <s v="CMP420"/>
    <s v="Wishlist Wonders"/>
    <x v="1"/>
    <x v="50"/>
    <d v="2024-06-02T00:00:00"/>
    <n v="27974.400000000001"/>
    <n v="2555.1999999999998"/>
    <n v="1604.8"/>
    <n v="7840.8320000000003"/>
    <n v="21156.175999999999"/>
    <x v="2"/>
    <x v="0"/>
    <x v="0"/>
    <n v="9.1340654312514299E-2"/>
    <n v="0.62805259862241702"/>
    <n v="3.0685785848465899"/>
    <n v="4.8858624127617096"/>
    <n v="1.6982054965595501"/>
    <n v="2.6982054965595501"/>
  </r>
  <r>
    <s v="CMP421"/>
    <s v="Seasonal Steals"/>
    <x v="0"/>
    <x v="97"/>
    <d v="2024-10-20T00:00:00"/>
    <n v="11803.2"/>
    <n v="9753.6"/>
    <n v="507.2"/>
    <n v="1531.2"/>
    <n v="3463.616"/>
    <x v="1"/>
    <x v="1"/>
    <x v="0"/>
    <n v="0.82635217568117103"/>
    <n v="5.2001312335957998E-2"/>
    <n v="0.15698818897637801"/>
    <n v="3.0189274447949499"/>
    <n v="1.26202716823406"/>
    <n v="2.2620271682340598"/>
  </r>
  <r>
    <s v="CMP422"/>
    <s v="Flash Sale Frenzy"/>
    <x v="3"/>
    <x v="229"/>
    <d v="2024-05-04T00:00:00"/>
    <n v="31201.599999999999"/>
    <n v="21161.599999999999"/>
    <n v="4224"/>
    <n v="7828.88"/>
    <n v="24316.16"/>
    <x v="3"/>
    <x v="4"/>
    <x v="0"/>
    <n v="0.67822162966001698"/>
    <n v="0.199606835021927"/>
    <n v="0.36995690306971102"/>
    <n v="1.8534280303030299"/>
    <n v="2.10595640755766"/>
    <n v="3.10595640755766"/>
  </r>
  <r>
    <s v="CMP423"/>
    <s v="Flash Sale Frenzy"/>
    <x v="3"/>
    <x v="133"/>
    <d v="2024-09-11T00:00:00"/>
    <n v="69532.800000000003"/>
    <n v="14060.8"/>
    <n v="1635.2"/>
    <n v="3890.88"/>
    <n v="7059.2160000000003"/>
    <x v="2"/>
    <x v="0"/>
    <x v="0"/>
    <n v="0.202218233696903"/>
    <n v="0.116294947655894"/>
    <n v="0.27671825216203899"/>
    <n v="2.3794520547945202"/>
    <n v="0.81429805082654805"/>
    <n v="1.81429805082655"/>
  </r>
  <r>
    <s v="CMP424"/>
    <s v="Deal of the Day"/>
    <x v="0"/>
    <x v="12"/>
    <d v="2024-08-31T00:00:00"/>
    <n v="40896"/>
    <n v="29617.599999999999"/>
    <n v="763.2"/>
    <n v="6881.7920000000004"/>
    <n v="13252.64"/>
    <x v="0"/>
    <x v="3"/>
    <x v="0"/>
    <n v="0.72421752738654099"/>
    <n v="2.5768461995570199E-2"/>
    <n v="0.23235481605531799"/>
    <n v="9.0170230607966495"/>
    <n v="0.92575422215608905"/>
    <n v="1.9257542221560899"/>
  </r>
  <r>
    <s v="CMP425"/>
    <s v="Seasonal Steals"/>
    <x v="2"/>
    <x v="12"/>
    <d v="2024-09-13T00:00:00"/>
    <n v="17032"/>
    <n v="16753.599999999999"/>
    <n v="8107.2"/>
    <n v="6929.0079999999998"/>
    <n v="23752.511999999999"/>
    <x v="3"/>
    <x v="1"/>
    <x v="1"/>
    <n v="0.983654297792391"/>
    <n v="0.48390793620475597"/>
    <n v="0.41358322987298302"/>
    <n v="0.85467337675152999"/>
    <n v="2.4279816100659701"/>
    <n v="3.4279816100659701"/>
  </r>
  <r>
    <s v="CMP426"/>
    <s v="Wishlist Wonders"/>
    <x v="2"/>
    <x v="206"/>
    <d v="2024-02-23T00:00:00"/>
    <n v="55665.599999999999"/>
    <n v="33457.599999999999"/>
    <n v="24971.200000000001"/>
    <n v="1801.52"/>
    <n v="3548.6559999999999"/>
    <x v="3"/>
    <x v="1"/>
    <x v="1"/>
    <n v="0.60104624759276803"/>
    <n v="0.74635359380230504"/>
    <n v="5.38448663382909E-2"/>
    <n v="7.2143909784071203E-2"/>
    <n v="0.96981215862160797"/>
    <n v="1.96981215862161"/>
  </r>
  <r>
    <s v="CMP427"/>
    <s v="Flash Sale Frenzy"/>
    <x v="1"/>
    <x v="40"/>
    <d v="2024-02-04T00:00:00"/>
    <n v="44496"/>
    <n v="22563.200000000001"/>
    <n v="5534.4"/>
    <n v="6483.1040000000003"/>
    <n v="10731.328"/>
    <x v="3"/>
    <x v="1"/>
    <x v="0"/>
    <n v="0.507083782811938"/>
    <n v="0.24528435682881899"/>
    <n v="0.287330875053184"/>
    <n v="1.1714194854004001"/>
    <n v="0.65527623804893398"/>
    <n v="1.6552762380489301"/>
  </r>
  <r>
    <s v="CMP428"/>
    <s v="Deal of the Day"/>
    <x v="1"/>
    <x v="230"/>
    <d v="2024-07-18T00:00:00"/>
    <n v="12144"/>
    <n v="3508.8"/>
    <n v="2273.6"/>
    <n v="3763.68"/>
    <n v="9833.2479999999996"/>
    <x v="3"/>
    <x v="2"/>
    <x v="1"/>
    <n v="0.288932806324111"/>
    <n v="0.64797081623346997"/>
    <n v="1.07264021887825"/>
    <n v="1.6553835327234301"/>
    <n v="1.61266845215321"/>
    <n v="2.6126684521532102"/>
  </r>
  <r>
    <s v="CMP429"/>
    <s v="Flash Sale Frenzy"/>
    <x v="3"/>
    <x v="111"/>
    <d v="2024-08-29T00:00:00"/>
    <n v="18926.400000000001"/>
    <n v="16206.4"/>
    <n v="10406.4"/>
    <n v="1348.1759999999999"/>
    <n v="2639.4079999999999"/>
    <x v="0"/>
    <x v="2"/>
    <x v="1"/>
    <n v="0.85628540028742905"/>
    <n v="0.64211669463915499"/>
    <n v="8.3187876394510807E-2"/>
    <n v="0.12955258302583"/>
    <n v="0.95776219128659801"/>
    <n v="1.9577621912865999"/>
  </r>
  <r>
    <s v="CMP430"/>
    <s v="Flash Sale Frenzy"/>
    <x v="2"/>
    <x v="132"/>
    <d v="2024-04-04T00:00:00"/>
    <n v="73856"/>
    <n v="65544"/>
    <n v="9184"/>
    <n v="3168.4"/>
    <n v="11549.664000000001"/>
    <x v="2"/>
    <x v="1"/>
    <x v="1"/>
    <n v="0.88745667244367399"/>
    <n v="0.140119614304894"/>
    <n v="4.8340046381057003E-2"/>
    <n v="0.344991289198606"/>
    <n v="2.6452670117409398"/>
    <n v="3.6452670117409398"/>
  </r>
  <r>
    <s v="CMP431"/>
    <s v="Deal of the Day"/>
    <x v="2"/>
    <x v="105"/>
    <d v="2024-09-29T00:00:00"/>
    <n v="59720"/>
    <n v="47084.800000000003"/>
    <n v="36784"/>
    <n v="539.47199999999998"/>
    <n v="1571.712"/>
    <x v="1"/>
    <x v="4"/>
    <x v="0"/>
    <n v="0.78842598794373797"/>
    <n v="0.78122876172352895"/>
    <n v="1.14574554845725E-2"/>
    <n v="1.4665941713788599E-2"/>
    <n v="1.91342646142895"/>
    <n v="2.91342646142895"/>
  </r>
  <r>
    <s v="CMP432"/>
    <s v="Deal of the Day"/>
    <x v="3"/>
    <x v="170"/>
    <d v="2024-04-21T00:00:00"/>
    <n v="32305.599999999999"/>
    <n v="15804.8"/>
    <n v="6329.6"/>
    <n v="7985.0720000000001"/>
    <n v="31791.344000000001"/>
    <x v="1"/>
    <x v="4"/>
    <x v="0"/>
    <n v="0.48922787380516097"/>
    <n v="0.400485928325572"/>
    <n v="0.50523081595464703"/>
    <n v="1.2615444893832199"/>
    <n v="2.9813471938637499"/>
    <n v="3.9813471938637499"/>
  </r>
  <r>
    <s v="CMP433"/>
    <s v="Cart to Couch"/>
    <x v="3"/>
    <x v="149"/>
    <d v="2024-05-04T00:00:00"/>
    <n v="58070.400000000001"/>
    <n v="44691.199999999997"/>
    <n v="15396.8"/>
    <n v="2818.3679999999999"/>
    <n v="9291.76"/>
    <x v="4"/>
    <x v="3"/>
    <x v="0"/>
    <n v="0.76960379126026301"/>
    <n v="0.344515251324646"/>
    <n v="6.3063153372476005E-2"/>
    <n v="0.18304894523537399"/>
    <n v="2.2968583236823599"/>
    <n v="3.2968583236823599"/>
  </r>
  <r>
    <s v="CMP434"/>
    <s v="Seasonal Steals"/>
    <x v="0"/>
    <x v="36"/>
    <d v="2024-01-20T00:00:00"/>
    <n v="39952"/>
    <n v="20584"/>
    <n v="420.8"/>
    <n v="6647.1840000000002"/>
    <n v="10189.791999999999"/>
    <x v="1"/>
    <x v="3"/>
    <x v="0"/>
    <n v="0.51521826191429698"/>
    <n v="2.0443062572872098E-2"/>
    <n v="0.32292965410027202"/>
    <n v="15.7965399239544"/>
    <n v="0.53294868924946204"/>
    <n v="1.5329486892494599"/>
  </r>
  <r>
    <s v="CMP435"/>
    <s v="Flash Sale Frenzy"/>
    <x v="0"/>
    <x v="55"/>
    <d v="2024-08-24T00:00:00"/>
    <n v="42017.599999999999"/>
    <n v="34505.599999999999"/>
    <n v="10726.4"/>
    <n v="7712.2240000000002"/>
    <n v="10222.56"/>
    <x v="3"/>
    <x v="0"/>
    <x v="1"/>
    <n v="0.82121777540840002"/>
    <n v="0.310859686543633"/>
    <n v="0.22350644533061301"/>
    <n v="0.71899463007159903"/>
    <n v="0.32550091906044198"/>
    <n v="1.3255009190604401"/>
  </r>
  <r>
    <s v="CMP436"/>
    <s v="Wishlist Wonders"/>
    <x v="0"/>
    <x v="5"/>
    <d v="2024-09-08T00:00:00"/>
    <n v="6278.4"/>
    <n v="5934.4"/>
    <n v="3115.2"/>
    <n v="1589.6479999999999"/>
    <n v="6081.152"/>
    <x v="2"/>
    <x v="0"/>
    <x v="0"/>
    <n v="0.94520897043832797"/>
    <n v="0.52493933674844995"/>
    <n v="0.267870045834457"/>
    <n v="0.51028762198253697"/>
    <n v="2.8254707960504502"/>
    <n v="3.8254707960504502"/>
  </r>
  <r>
    <s v="CMP437"/>
    <s v="Wishlist Wonders"/>
    <x v="1"/>
    <x v="177"/>
    <d v="2024-06-04T00:00:00"/>
    <n v="75516.800000000003"/>
    <n v="64036.800000000003"/>
    <n v="8756.7999999999993"/>
    <n v="4654.848"/>
    <n v="16345.216"/>
    <x v="4"/>
    <x v="1"/>
    <x v="1"/>
    <n v="0.84798084664604401"/>
    <n v="0.13674637083676899"/>
    <n v="7.2690203133198406E-2"/>
    <n v="0.53156952311346595"/>
    <n v="2.5114392564483299"/>
    <n v="3.5114392564483299"/>
  </r>
  <r>
    <s v="CMP438"/>
    <s v="Seasonal Steals"/>
    <x v="2"/>
    <x v="136"/>
    <d v="2024-04-18T00:00:00"/>
    <n v="25475.200000000001"/>
    <n v="24980.799999999999"/>
    <n v="1545.6"/>
    <n v="6278.0959999999995"/>
    <n v="8041.3760000000002"/>
    <x v="0"/>
    <x v="1"/>
    <x v="1"/>
    <n v="0.98059289034040897"/>
    <n v="6.1871517325305797E-2"/>
    <n v="0.25131685134183102"/>
    <n v="4.0619151138716401"/>
    <n v="0.28086222319633197"/>
    <n v="1.28086222319633"/>
  </r>
  <r>
    <s v="CMP439"/>
    <s v="Wishlist Wonders"/>
    <x v="1"/>
    <x v="220"/>
    <d v="2024-03-29T00:00:00"/>
    <n v="19412.8"/>
    <n v="10516.8"/>
    <n v="3396.8"/>
    <n v="4985.5519999999997"/>
    <n v="16937.216"/>
    <x v="4"/>
    <x v="3"/>
    <x v="0"/>
    <n v="0.54174565235308703"/>
    <n v="0.32298798113494598"/>
    <n v="0.47405598661189702"/>
    <n v="1.46772020725389"/>
    <n v="2.3972599222714002"/>
    <n v="3.3972599222714002"/>
  </r>
  <r>
    <s v="CMP440"/>
    <s v="Wishlist Wonders"/>
    <x v="1"/>
    <x v="138"/>
    <d v="2024-01-27T00:00:00"/>
    <n v="33310.400000000001"/>
    <n v="5348.8"/>
    <n v="4764.8"/>
    <n v="6098.9759999999997"/>
    <n v="15768.544"/>
    <x v="0"/>
    <x v="2"/>
    <x v="1"/>
    <n v="0.16057447523896401"/>
    <n v="0.89081663176787296"/>
    <n v="1.14025127131319"/>
    <n v="1.2800067159167201"/>
    <n v="1.58544122816683"/>
    <n v="2.5854412281668302"/>
  </r>
  <r>
    <s v="CMP441"/>
    <s v="Wishlist Wonders"/>
    <x v="3"/>
    <x v="135"/>
    <d v="2024-10-12T00:00:00"/>
    <n v="55966.400000000001"/>
    <n v="54342.400000000001"/>
    <n v="42950.400000000001"/>
    <n v="914.88"/>
    <n v="2298.0160000000001"/>
    <x v="3"/>
    <x v="3"/>
    <x v="0"/>
    <n v="0.97098258955373196"/>
    <n v="0.79036627016841399"/>
    <n v="1.6835472853609701E-2"/>
    <n v="2.1300849351810501E-2"/>
    <n v="1.51182231549493"/>
    <n v="2.5118223154949302"/>
  </r>
  <r>
    <s v="CMP442"/>
    <s v="Seasonal Steals"/>
    <x v="0"/>
    <x v="57"/>
    <d v="2024-10-27T00:00:00"/>
    <n v="33276.800000000003"/>
    <n v="3936"/>
    <n v="900.8"/>
    <n v="7516.6719999999996"/>
    <n v="14038.8"/>
    <x v="1"/>
    <x v="3"/>
    <x v="1"/>
    <n v="0.118280603904222"/>
    <n v="0.228861788617886"/>
    <n v="1.9097235772357699"/>
    <n v="8.3444404973357003"/>
    <n v="0.86768825352496404"/>
    <n v="1.8676882535249599"/>
  </r>
  <r>
    <s v="CMP443"/>
    <s v="Wishlist Wonders"/>
    <x v="1"/>
    <x v="228"/>
    <d v="2024-07-06T00:00:00"/>
    <n v="35606.400000000001"/>
    <n v="23387.200000000001"/>
    <n v="6875.2"/>
    <n v="6899.6"/>
    <n v="10040.288"/>
    <x v="2"/>
    <x v="0"/>
    <x v="1"/>
    <n v="0.65682573919295395"/>
    <n v="0.29397277143052603"/>
    <n v="0.295016077170418"/>
    <n v="1.0035489876658099"/>
    <n v="0.45519856223549199"/>
    <n v="1.4551985622354899"/>
  </r>
  <r>
    <s v="CMP444"/>
    <s v="Flash Sale Frenzy"/>
    <x v="3"/>
    <x v="231"/>
    <d v="2024-03-04T00:00:00"/>
    <n v="31387.200000000001"/>
    <n v="22302.400000000001"/>
    <n v="13016"/>
    <n v="2525.2959999999998"/>
    <n v="9477.0560000000005"/>
    <x v="4"/>
    <x v="1"/>
    <x v="0"/>
    <n v="0.71055716980170303"/>
    <n v="0.583614319535117"/>
    <n v="0.113229786928761"/>
    <n v="0.19401475107559901"/>
    <n v="2.75284956694186"/>
    <n v="3.75284956694186"/>
  </r>
  <r>
    <s v="CMP445"/>
    <s v="Wishlist Wonders"/>
    <x v="2"/>
    <x v="217"/>
    <d v="2024-07-20T00:00:00"/>
    <n v="68932.800000000003"/>
    <n v="34633.599999999999"/>
    <n v="20720"/>
    <n v="4429.4080000000004"/>
    <n v="14417.968000000001"/>
    <x v="1"/>
    <x v="3"/>
    <x v="0"/>
    <n v="0.50242555068124295"/>
    <n v="0.59826295851427502"/>
    <n v="0.12789337521944"/>
    <n v="0.213774517374517"/>
    <n v="2.2550553031014502"/>
    <n v="3.2550553031014502"/>
  </r>
  <r>
    <s v="CMP446"/>
    <s v="Flash Sale Frenzy"/>
    <x v="3"/>
    <x v="126"/>
    <d v="2024-04-21T00:00:00"/>
    <n v="47558.400000000001"/>
    <n v="4328"/>
    <n v="1984"/>
    <n v="5236.4639999999999"/>
    <n v="12820.736000000001"/>
    <x v="2"/>
    <x v="0"/>
    <x v="0"/>
    <n v="9.1003902570313502E-2"/>
    <n v="0.45841035120147899"/>
    <n v="1.2099038817005501"/>
    <n v="2.6393467741935499"/>
    <n v="1.44835751759202"/>
    <n v="2.44835751759202"/>
  </r>
  <r>
    <s v="CMP447"/>
    <s v="Cart to Couch"/>
    <x v="2"/>
    <x v="98"/>
    <d v="2024-09-28T00:00:00"/>
    <n v="10040"/>
    <n v="8292.7999999999993"/>
    <n v="5718.4"/>
    <n v="5891.7439999999997"/>
    <n v="12814.832"/>
    <x v="2"/>
    <x v="3"/>
    <x v="0"/>
    <n v="0.82597609561753005"/>
    <n v="0.68956202971252201"/>
    <n v="0.71046498167084704"/>
    <n v="1.03031337437045"/>
    <n v="1.1750490177441499"/>
    <n v="2.1750490177441502"/>
  </r>
  <r>
    <s v="CMP448"/>
    <s v="Cart to Couch"/>
    <x v="3"/>
    <x v="149"/>
    <d v="2024-04-21T00:00:00"/>
    <n v="7136"/>
    <n v="419.2"/>
    <n v="44.8"/>
    <n v="4052.3519999999999"/>
    <n v="6338.64"/>
    <x v="3"/>
    <x v="0"/>
    <x v="0"/>
    <n v="5.87443946188341E-2"/>
    <n v="0.106870229007634"/>
    <n v="9.66687022900763"/>
    <n v="90.454285714285703"/>
    <n v="0.56418790865156798"/>
    <n v="1.56418790865157"/>
  </r>
  <r>
    <s v="CMP449"/>
    <s v="Cart to Couch"/>
    <x v="2"/>
    <x v="139"/>
    <d v="2024-06-11T00:00:00"/>
    <n v="29771.200000000001"/>
    <n v="22184"/>
    <n v="5523.2"/>
    <n v="6950.32"/>
    <n v="22329.903999999999"/>
    <x v="3"/>
    <x v="2"/>
    <x v="1"/>
    <n v="0.74514967485354999"/>
    <n v="0.248972232239452"/>
    <n v="0.313303281644428"/>
    <n v="1.25838644264195"/>
    <n v="2.21278790041322"/>
    <n v="3.21278790041322"/>
  </r>
  <r>
    <s v="CMP450"/>
    <s v="Deal of the Day"/>
    <x v="3"/>
    <x v="138"/>
    <d v="2024-02-11T00:00:00"/>
    <n v="26052.799999999999"/>
    <n v="15926.4"/>
    <n v="7166.4"/>
    <n v="4643.4719999999998"/>
    <n v="15895.76"/>
    <x v="0"/>
    <x v="1"/>
    <x v="1"/>
    <n v="0.61131241171774198"/>
    <n v="0.44996986136226602"/>
    <n v="0.29155816757082598"/>
    <n v="0.64795043536503705"/>
    <n v="2.4232488103729302"/>
    <n v="3.4232488103729302"/>
  </r>
  <r>
    <s v="CMP451"/>
    <s v="Flash Sale Frenzy"/>
    <x v="3"/>
    <x v="27"/>
    <d v="2024-03-24T00:00:00"/>
    <n v="68548.800000000003"/>
    <n v="5028.8"/>
    <n v="3915.2"/>
    <n v="631.072"/>
    <n v="2239.616"/>
    <x v="0"/>
    <x v="1"/>
    <x v="0"/>
    <n v="7.3360875755665994E-2"/>
    <n v="0.77855552020362695"/>
    <n v="0.12549156856506499"/>
    <n v="0.16118512464241899"/>
    <n v="2.54890725622433"/>
    <n v="3.54890725622433"/>
  </r>
  <r>
    <s v="CMP452"/>
    <s v="Cart to Couch"/>
    <x v="2"/>
    <x v="17"/>
    <d v="2024-04-21T00:00:00"/>
    <n v="66744"/>
    <n v="23155.200000000001"/>
    <n v="15424"/>
    <n v="5144.2079999999996"/>
    <n v="17360.096000000001"/>
    <x v="0"/>
    <x v="1"/>
    <x v="0"/>
    <n v="0.346925566343042"/>
    <n v="0.66611387506909903"/>
    <n v="0.222162106135987"/>
    <n v="0.33351970954356802"/>
    <n v="2.3746878042256498"/>
    <n v="3.3746878042256498"/>
  </r>
  <r>
    <s v="CMP453"/>
    <s v="Cart to Couch"/>
    <x v="1"/>
    <x v="156"/>
    <d v="2024-11-04T00:00:00"/>
    <n v="44464"/>
    <n v="17456"/>
    <n v="3462.4"/>
    <n v="2414.768"/>
    <n v="7673.5680000000002"/>
    <x v="0"/>
    <x v="2"/>
    <x v="0"/>
    <n v="0.39258726160489399"/>
    <n v="0.19835013748854299"/>
    <n v="0.13833455545371201"/>
    <n v="0.69742606284658004"/>
    <n v="2.17776614565043"/>
    <n v="3.17776614565043"/>
  </r>
  <r>
    <s v="CMP454"/>
    <s v="Deal of the Day"/>
    <x v="3"/>
    <x v="149"/>
    <d v="2024-05-06T00:00:00"/>
    <n v="19491.2"/>
    <n v="18000"/>
    <n v="8803.2000000000007"/>
    <n v="4215.8239999999996"/>
    <n v="16223.647999999999"/>
    <x v="4"/>
    <x v="3"/>
    <x v="0"/>
    <n v="0.92349367919881797"/>
    <n v="0.48906666666666698"/>
    <n v="0.234212444444444"/>
    <n v="0.47889676481279497"/>
    <n v="2.8482745010228099"/>
    <n v="3.8482745010228099"/>
  </r>
  <r>
    <s v="CMP455"/>
    <s v="Shop &amp; Share"/>
    <x v="0"/>
    <x v="139"/>
    <d v="2024-05-29T00:00:00"/>
    <n v="15380.8"/>
    <n v="7998.4"/>
    <n v="4884.8"/>
    <n v="1568.192"/>
    <n v="3874.56"/>
    <x v="1"/>
    <x v="4"/>
    <x v="1"/>
    <n v="0.52002496619161598"/>
    <n v="0.61072214442888595"/>
    <n v="0.19606321264252899"/>
    <n v="0.32103504749426798"/>
    <n v="1.47071787128107"/>
    <n v="2.47071787128107"/>
  </r>
  <r>
    <s v="CMP456"/>
    <s v="Seasonal Steals"/>
    <x v="2"/>
    <x v="166"/>
    <d v="2024-05-03T00:00:00"/>
    <n v="56534.400000000001"/>
    <n v="4208"/>
    <n v="2923.2"/>
    <n v="5243.12"/>
    <n v="20830.128000000001"/>
    <x v="0"/>
    <x v="3"/>
    <x v="0"/>
    <n v="7.44325578762665E-2"/>
    <n v="0.69467680608365001"/>
    <n v="1.2459885931558901"/>
    <n v="1.7936234263820501"/>
    <n v="2.9728497535818401"/>
    <n v="3.9728497535818401"/>
  </r>
  <r>
    <s v="CMP457"/>
    <s v="Wishlist Wonders"/>
    <x v="1"/>
    <x v="232"/>
    <d v="2024-11-02T00:00:00"/>
    <n v="13844.8"/>
    <n v="5820.8"/>
    <n v="601.6"/>
    <n v="2531.328"/>
    <n v="6747.0720000000001"/>
    <x v="1"/>
    <x v="0"/>
    <x v="0"/>
    <n v="0.42043222003929298"/>
    <n v="0.103353490929082"/>
    <n v="0.434876305662452"/>
    <n v="4.2076595744680896"/>
    <n v="1.66542779126214"/>
    <n v="2.66542779126214"/>
  </r>
  <r>
    <s v="CMP458"/>
    <s v="Flash Sale Frenzy"/>
    <x v="0"/>
    <x v="226"/>
    <d v="2024-01-21T00:00:00"/>
    <n v="54857.599999999999"/>
    <n v="5422.4"/>
    <n v="5347.2"/>
    <n v="2900.1759999999999"/>
    <n v="6025.8879999999999"/>
    <x v="4"/>
    <x v="0"/>
    <x v="1"/>
    <n v="9.8845009624919794E-2"/>
    <n v="0.98613160224254903"/>
    <n v="0.53485098849218105"/>
    <n v="0.54237283064033504"/>
    <n v="1.0777663148719201"/>
    <n v="2.0777663148719201"/>
  </r>
  <r>
    <s v="CMP459"/>
    <s v="Cart to Couch"/>
    <x v="1"/>
    <x v="51"/>
    <d v="2024-08-25T00:00:00"/>
    <n v="17987.2"/>
    <n v="1233.5999999999999"/>
    <n v="1192"/>
    <n v="2511.6320000000001"/>
    <n v="6830.7520000000004"/>
    <x v="0"/>
    <x v="4"/>
    <x v="1"/>
    <n v="6.8582102828678201E-2"/>
    <n v="0.96627756160830103"/>
    <n v="2.0360181582360601"/>
    <n v="2.1070738255033601"/>
    <n v="1.7196468272422101"/>
    <n v="2.7196468272422099"/>
  </r>
  <r>
    <s v="CMP460"/>
    <s v="Cart to Couch"/>
    <x v="2"/>
    <x v="119"/>
    <d v="2024-06-13T00:00:00"/>
    <n v="43022.400000000001"/>
    <n v="36131.199999999997"/>
    <n v="7243.2"/>
    <n v="1981.52"/>
    <n v="6580.6239999999998"/>
    <x v="0"/>
    <x v="4"/>
    <x v="0"/>
    <n v="0.83982297593811595"/>
    <n v="0.20046940040740399"/>
    <n v="5.4842352316003901E-2"/>
    <n v="0.27356969295339101"/>
    <n v="2.3209980217206998"/>
    <n v="3.3209980217206998"/>
  </r>
  <r>
    <s v="CMP461"/>
    <s v="Wishlist Wonders"/>
    <x v="0"/>
    <x v="193"/>
    <d v="2024-05-21T00:00:00"/>
    <n v="32000"/>
    <n v="20203.2"/>
    <n v="2936"/>
    <n v="1584.3040000000001"/>
    <n v="6003.68"/>
    <x v="0"/>
    <x v="2"/>
    <x v="0"/>
    <n v="0.63134999999999997"/>
    <n v="0.145323513106835"/>
    <n v="7.8418468361447696E-2"/>
    <n v="0.53961307901907396"/>
    <n v="2.78947474727073"/>
    <n v="3.78947474727073"/>
  </r>
  <r>
    <s v="CMP462"/>
    <s v="Shop &amp; Share"/>
    <x v="1"/>
    <x v="233"/>
    <d v="2024-06-19T00:00:00"/>
    <n v="78124.800000000003"/>
    <n v="37609.599999999999"/>
    <n v="29795.200000000001"/>
    <n v="5543.28"/>
    <n v="11978.175999999999"/>
    <x v="0"/>
    <x v="3"/>
    <x v="1"/>
    <n v="0.48140411239452802"/>
    <n v="0.79222326214583505"/>
    <n v="0.147390028077938"/>
    <n v="0.18604607453549599"/>
    <n v="1.1608462859534401"/>
    <n v="2.1608462859534399"/>
  </r>
  <r>
    <s v="CMP463"/>
    <s v="Shop &amp; Share"/>
    <x v="3"/>
    <x v="106"/>
    <d v="2024-08-29T00:00:00"/>
    <n v="58360"/>
    <n v="28953.599999999999"/>
    <n v="12006.4"/>
    <n v="2079.616"/>
    <n v="6554.5119999999997"/>
    <x v="3"/>
    <x v="2"/>
    <x v="0"/>
    <n v="0.496120630568883"/>
    <n v="0.414677276746242"/>
    <n v="7.1825817860300595E-2"/>
    <n v="0.17320895522388099"/>
    <n v="2.1517895611497502"/>
    <n v="3.1517895611497502"/>
  </r>
  <r>
    <s v="CMP464"/>
    <s v="Flash Sale Frenzy"/>
    <x v="1"/>
    <x v="180"/>
    <d v="2024-09-19T00:00:00"/>
    <n v="41985.599999999999"/>
    <n v="19542.400000000001"/>
    <n v="14377.6"/>
    <n v="4671.6480000000001"/>
    <n v="7542.9920000000002"/>
    <x v="2"/>
    <x v="1"/>
    <x v="1"/>
    <n v="0.46545482260584597"/>
    <n v="0.73571311609628298"/>
    <n v="0.23905190764696199"/>
    <n v="0.32492543957266901"/>
    <n v="0.61463192432306502"/>
    <n v="1.61463192432307"/>
  </r>
  <r>
    <s v="CMP465"/>
    <s v="Wishlist Wonders"/>
    <x v="3"/>
    <x v="117"/>
    <d v="2024-03-14T00:00:00"/>
    <n v="78492.800000000003"/>
    <n v="61464"/>
    <n v="46628.800000000003"/>
    <n v="5349.0559999999996"/>
    <n v="13972.784"/>
    <x v="0"/>
    <x v="1"/>
    <x v="0"/>
    <n v="0.78305271311508795"/>
    <n v="0.75863594949889401"/>
    <n v="8.7027463230508903E-2"/>
    <n v="0.114715712177881"/>
    <n v="1.61219624546836"/>
    <n v="2.6121962454683598"/>
  </r>
  <r>
    <s v="CMP466"/>
    <s v="Seasonal Steals"/>
    <x v="1"/>
    <x v="105"/>
    <d v="2024-10-03T00:00:00"/>
    <n v="45161.599999999999"/>
    <n v="30156.799999999999"/>
    <n v="2739.2"/>
    <n v="6406.5439999999999"/>
    <n v="13780.32"/>
    <x v="4"/>
    <x v="3"/>
    <x v="0"/>
    <n v="0.66775313540707104"/>
    <n v="9.08319185059423E-2"/>
    <n v="0.21244110780984701"/>
    <n v="2.3388376168224299"/>
    <n v="1.1509756274209599"/>
    <n v="2.1509756274209599"/>
  </r>
  <r>
    <s v="CMP467"/>
    <s v="Shop &amp; Share"/>
    <x v="3"/>
    <x v="125"/>
    <d v="2024-01-22T00:00:00"/>
    <n v="79123.199999999997"/>
    <n v="54430.400000000001"/>
    <n v="20760"/>
    <n v="3659.3440000000001"/>
    <n v="8370.848"/>
    <x v="3"/>
    <x v="3"/>
    <x v="1"/>
    <n v="0.68791959880288001"/>
    <n v="0.38140450924483399"/>
    <n v="6.7229783356359707E-2"/>
    <n v="0.17626897880539499"/>
    <n v="1.2875269447201501"/>
    <n v="2.2875269447201498"/>
  </r>
  <r>
    <s v="CMP468"/>
    <s v="Cart to Couch"/>
    <x v="1"/>
    <x v="42"/>
    <d v="2024-04-21T00:00:00"/>
    <n v="64441.599999999999"/>
    <n v="27577.599999999999"/>
    <n v="8868.7999999999993"/>
    <n v="4104"/>
    <n v="13888.272000000001"/>
    <x v="3"/>
    <x v="3"/>
    <x v="0"/>
    <n v="0.42794716456450499"/>
    <n v="0.32159433743327898"/>
    <n v="0.14881643072638701"/>
    <n v="0.46274580552047601"/>
    <n v="2.38408187134503"/>
    <n v="3.38408187134503"/>
  </r>
  <r>
    <s v="CMP469"/>
    <s v="Seasonal Steals"/>
    <x v="2"/>
    <x v="227"/>
    <d v="2024-11-05T00:00:00"/>
    <n v="9324.7999999999993"/>
    <n v="7809.6"/>
    <n v="7136"/>
    <n v="1433.1679999999999"/>
    <n v="3778.5920000000001"/>
    <x v="1"/>
    <x v="3"/>
    <x v="0"/>
    <n v="0.83750857927247802"/>
    <n v="0.91374718295431301"/>
    <n v="0.18351362425732401"/>
    <n v="0.20083632286995501"/>
    <n v="1.63653109754055"/>
    <n v="2.63653109754055"/>
  </r>
  <r>
    <s v="CMP470"/>
    <s v="Flash Sale Frenzy"/>
    <x v="2"/>
    <x v="43"/>
    <d v="2024-03-12T00:00:00"/>
    <n v="14363.2"/>
    <n v="13406.4"/>
    <n v="2136"/>
    <n v="844.4"/>
    <n v="1624.864"/>
    <x v="4"/>
    <x v="1"/>
    <x v="0"/>
    <n v="0.93338531803497804"/>
    <n v="0.15932688865019701"/>
    <n v="6.2984843060031007E-2"/>
    <n v="0.39531835205992499"/>
    <n v="0.92428233064898202"/>
    <n v="1.92428233064898"/>
  </r>
  <r>
    <s v="CMP471"/>
    <s v="Cart to Couch"/>
    <x v="0"/>
    <x v="202"/>
    <d v="2024-06-10T00:00:00"/>
    <n v="19556.8"/>
    <n v="2966.4"/>
    <n v="374.4"/>
    <n v="3754.1120000000001"/>
    <n v="10033.664000000001"/>
    <x v="0"/>
    <x v="2"/>
    <x v="1"/>
    <n v="0.151681256647304"/>
    <n v="0.12621359223301001"/>
    <n v="1.2655447680690399"/>
    <n v="10.027008547008499"/>
    <n v="1.6727130144225899"/>
    <n v="2.6727130144225901"/>
  </r>
  <r>
    <s v="CMP472"/>
    <s v="Deal of the Day"/>
    <x v="2"/>
    <x v="90"/>
    <d v="2024-08-06T00:00:00"/>
    <n v="21462.400000000001"/>
    <n v="3377.6"/>
    <n v="2681.6"/>
    <n v="6141.12"/>
    <n v="9756.1919999999991"/>
    <x v="1"/>
    <x v="4"/>
    <x v="0"/>
    <n v="0.15737289399135199"/>
    <n v="0.79393652297489303"/>
    <n v="1.8181904310753201"/>
    <n v="2.2900954653937902"/>
    <n v="0.58866656245114901"/>
    <n v="1.58866656245115"/>
  </r>
  <r>
    <s v="CMP473"/>
    <s v="Wishlist Wonders"/>
    <x v="2"/>
    <x v="31"/>
    <d v="2024-10-20T00:00:00"/>
    <n v="50888"/>
    <n v="7145.6"/>
    <n v="6198.4"/>
    <n v="5079.3599999999997"/>
    <n v="17050.32"/>
    <x v="4"/>
    <x v="2"/>
    <x v="1"/>
    <n v="0.14041817324320099"/>
    <n v="0.86744290192565998"/>
    <n v="0.710837438423645"/>
    <n v="0.81946308724832195"/>
    <n v="2.35678510678511"/>
    <n v="3.35678510678511"/>
  </r>
  <r>
    <s v="CMP474"/>
    <s v="Seasonal Steals"/>
    <x v="0"/>
    <x v="86"/>
    <d v="2024-09-09T00:00:00"/>
    <n v="51468.800000000003"/>
    <n v="22180.799999999999"/>
    <n v="13913.6"/>
    <n v="4498.8959999999997"/>
    <n v="5735.3440000000001"/>
    <x v="0"/>
    <x v="1"/>
    <x v="0"/>
    <n v="0.430956229793584"/>
    <n v="0.62728125225420195"/>
    <n v="0.20282839212291701"/>
    <n v="0.32334521619135198"/>
    <n v="0.274833648077217"/>
    <n v="1.27483364807722"/>
  </r>
  <r>
    <s v="CMP475"/>
    <s v="Shop &amp; Share"/>
    <x v="1"/>
    <x v="48"/>
    <d v="2024-08-12T00:00:00"/>
    <n v="2326.4"/>
    <n v="1923.2"/>
    <n v="1444.8"/>
    <n v="1485.328"/>
    <n v="2013.92"/>
    <x v="4"/>
    <x v="2"/>
    <x v="1"/>
    <n v="0.82668500687757895"/>
    <n v="0.75124792013311104"/>
    <n v="0.77232113144758696"/>
    <n v="1.02805094130676"/>
    <n v="0.35587560458026801"/>
    <n v="1.35587560458027"/>
  </r>
  <r>
    <s v="CMP476"/>
    <s v="Wishlist Wonders"/>
    <x v="3"/>
    <x v="110"/>
    <d v="2024-06-01T00:00:00"/>
    <n v="58208"/>
    <n v="22996.799999999999"/>
    <n v="9030.4"/>
    <n v="7117.1360000000004"/>
    <n v="21107.008000000002"/>
    <x v="4"/>
    <x v="1"/>
    <x v="1"/>
    <n v="0.39507971412864201"/>
    <n v="0.39268072079593702"/>
    <n v="0.30948375426146302"/>
    <n v="0.78813075832742696"/>
    <n v="1.96566034427331"/>
    <n v="2.96566034427331"/>
  </r>
  <r>
    <s v="CMP477"/>
    <s v="Cart to Couch"/>
    <x v="2"/>
    <x v="14"/>
    <d v="2024-08-30T00:00:00"/>
    <n v="36966.400000000001"/>
    <n v="15526.4"/>
    <n v="2980.8"/>
    <n v="4352.6880000000001"/>
    <n v="9993.7119999999995"/>
    <x v="2"/>
    <x v="1"/>
    <x v="1"/>
    <n v="0.42001385041551198"/>
    <n v="0.19198268755152501"/>
    <n v="0.28034109645506999"/>
    <n v="1.4602415458937199"/>
    <n v="1.2959862962840401"/>
    <n v="2.2959862962840401"/>
  </r>
  <r>
    <s v="CMP478"/>
    <s v="Seasonal Steals"/>
    <x v="3"/>
    <x v="88"/>
    <d v="2024-10-24T00:00:00"/>
    <n v="59745.599999999999"/>
    <n v="9569.6"/>
    <n v="5832"/>
    <n v="4500.08"/>
    <n v="6166.4960000000001"/>
    <x v="0"/>
    <x v="2"/>
    <x v="1"/>
    <n v="0.160172464583166"/>
    <n v="0.60942986122721998"/>
    <n v="0.47024745025915399"/>
    <n v="0.77161865569273003"/>
    <n v="0.37030808341185101"/>
    <n v="1.37030808341185"/>
  </r>
  <r>
    <s v="CMP479"/>
    <s v="Wishlist Wonders"/>
    <x v="0"/>
    <x v="234"/>
    <d v="2024-09-10T00:00:00"/>
    <n v="8161.6"/>
    <n v="3545.6"/>
    <n v="2267.1999999999998"/>
    <n v="3518.5439999999999"/>
    <n v="7681.5680000000002"/>
    <x v="1"/>
    <x v="3"/>
    <x v="0"/>
    <n v="0.43442462262301501"/>
    <n v="0.63944043321299604"/>
    <n v="0.99236913357400702"/>
    <n v="1.5519336626676099"/>
    <n v="1.18316667348767"/>
    <n v="2.18316667348767"/>
  </r>
  <r>
    <s v="CMP480"/>
    <s v="Wishlist Wonders"/>
    <x v="2"/>
    <x v="235"/>
    <d v="2024-04-30T00:00:00"/>
    <n v="28659.200000000001"/>
    <n v="22558.400000000001"/>
    <n v="4633.6000000000004"/>
    <n v="7835.9040000000005"/>
    <n v="24805.84"/>
    <x v="4"/>
    <x v="0"/>
    <x v="1"/>
    <n v="0.78712594908441302"/>
    <n v="0.20540463862685299"/>
    <n v="0.347360805730903"/>
    <n v="1.6911049723756899"/>
    <n v="2.1656641020614802"/>
    <n v="3.1656641020614802"/>
  </r>
  <r>
    <s v="CMP481"/>
    <s v="Deal of the Day"/>
    <x v="3"/>
    <x v="178"/>
    <d v="2024-03-06T00:00:00"/>
    <n v="65707.199999999997"/>
    <n v="37587.199999999997"/>
    <n v="19118.400000000001"/>
    <n v="7462.0159999999996"/>
    <n v="9059.0720000000001"/>
    <x v="3"/>
    <x v="3"/>
    <x v="0"/>
    <n v="0.57204081135705098"/>
    <n v="0.508641239570918"/>
    <n v="0.198525455474204"/>
    <n v="0.39030546489245999"/>
    <n v="0.21402473540662501"/>
    <n v="1.21402473540662"/>
  </r>
  <r>
    <s v="CMP482"/>
    <s v="Cart to Couch"/>
    <x v="0"/>
    <x v="77"/>
    <d v="2024-03-25T00:00:00"/>
    <n v="40692.800000000003"/>
    <n v="24584"/>
    <n v="24070.400000000001"/>
    <n v="3917.9679999999998"/>
    <n v="14327.407999999999"/>
    <x v="0"/>
    <x v="0"/>
    <x v="0"/>
    <n v="0.60413635827468204"/>
    <n v="0.97910836316303296"/>
    <n v="0.159370647575659"/>
    <n v="0.162771204466897"/>
    <n v="2.6568466102836998"/>
    <n v="3.6568466102836998"/>
  </r>
  <r>
    <s v="CMP483"/>
    <s v="Flash Sale Frenzy"/>
    <x v="3"/>
    <x v="167"/>
    <d v="2024-01-31T00:00:00"/>
    <n v="66291.199999999997"/>
    <n v="13912"/>
    <n v="3699.2"/>
    <n v="6045.6"/>
    <n v="11150.128000000001"/>
    <x v="1"/>
    <x v="3"/>
    <x v="1"/>
    <n v="0.209861942459934"/>
    <n v="0.26589994249568699"/>
    <n v="0.43456009200690099"/>
    <n v="1.63429930795848"/>
    <n v="0.84433770014555998"/>
    <n v="1.8443377001455601"/>
  </r>
  <r>
    <s v="CMP484"/>
    <s v="Shop &amp; Share"/>
    <x v="0"/>
    <x v="122"/>
    <d v="2024-02-16T00:00:00"/>
    <n v="22867.200000000001"/>
    <n v="21937.599999999999"/>
    <n v="9347.2000000000007"/>
    <n v="2121.424"/>
    <n v="4883.7280000000001"/>
    <x v="4"/>
    <x v="1"/>
    <x v="0"/>
    <n v="0.95934788692975104"/>
    <n v="0.42608124863248498"/>
    <n v="9.6702647509299106E-2"/>
    <n v="0.22695823348168401"/>
    <n v="1.30209896748599"/>
    <n v="2.30209896748599"/>
  </r>
  <r>
    <s v="CMP485"/>
    <s v="Wishlist Wonders"/>
    <x v="3"/>
    <x v="236"/>
    <d v="2024-10-25T00:00:00"/>
    <n v="6496"/>
    <n v="5945.6"/>
    <n v="288"/>
    <n v="3227.28"/>
    <n v="7219.9040000000005"/>
    <x v="4"/>
    <x v="2"/>
    <x v="0"/>
    <n v="0.91527093596059095"/>
    <n v="4.8439181916038701E-2"/>
    <n v="0.54280139935414395"/>
    <n v="11.205833333333301"/>
    <n v="1.2371483106516901"/>
    <n v="2.2371483106516901"/>
  </r>
  <r>
    <s v="CMP486"/>
    <s v="Shop &amp; Share"/>
    <x v="0"/>
    <x v="237"/>
    <d v="2024-05-10T00:00:00"/>
    <n v="69124.800000000003"/>
    <n v="35433.599999999999"/>
    <n v="11017.6"/>
    <n v="4617.0079999999998"/>
    <n v="12265.504000000001"/>
    <x v="0"/>
    <x v="0"/>
    <x v="0"/>
    <n v="0.51260329143809502"/>
    <n v="0.310936512236973"/>
    <n v="0.130300279960264"/>
    <n v="0.41905750798722002"/>
    <n v="1.65659145489893"/>
    <n v="2.6565914548989298"/>
  </r>
  <r>
    <s v="CMP487"/>
    <s v="Deal of the Day"/>
    <x v="0"/>
    <x v="238"/>
    <d v="2024-08-15T00:00:00"/>
    <n v="45401.599999999999"/>
    <n v="7484.8"/>
    <n v="678.4"/>
    <n v="1511.7439999999999"/>
    <n v="3211.328"/>
    <x v="3"/>
    <x v="4"/>
    <x v="0"/>
    <n v="0.16485762616295499"/>
    <n v="9.06370243693886E-2"/>
    <n v="0.20197520307823899"/>
    <n v="2.2283962264150898"/>
    <n v="1.1242538419203301"/>
    <n v="2.1242538419203298"/>
  </r>
  <r>
    <s v="CMP488"/>
    <s v="Shop &amp; Share"/>
    <x v="2"/>
    <x v="41"/>
    <d v="2024-10-15T00:00:00"/>
    <n v="64248"/>
    <n v="14291.2"/>
    <n v="6702.4"/>
    <n v="3641.8560000000002"/>
    <n v="11574.864"/>
    <x v="4"/>
    <x v="1"/>
    <x v="0"/>
    <n v="0.22243805254638299"/>
    <n v="0.46898790864308099"/>
    <n v="0.254832064487237"/>
    <n v="0.54336595846264002"/>
    <n v="2.1782871151412899"/>
    <n v="3.1782871151412899"/>
  </r>
  <r>
    <s v="CMP489"/>
    <s v="Seasonal Steals"/>
    <x v="0"/>
    <x v="239"/>
    <d v="2024-08-20T00:00:00"/>
    <n v="26652.799999999999"/>
    <n v="15291.2"/>
    <n v="308.8"/>
    <n v="318.35199999999998"/>
    <n v="874.52800000000002"/>
    <x v="1"/>
    <x v="4"/>
    <x v="0"/>
    <n v="0.57371833353343704"/>
    <n v="2.0194621743224901E-2"/>
    <n v="2.08192947577692E-2"/>
    <n v="1.03093264248705"/>
    <n v="1.74704729356184"/>
    <n v="2.74704729356184"/>
  </r>
  <r>
    <s v="CMP490"/>
    <s v="Flash Sale Frenzy"/>
    <x v="2"/>
    <x v="225"/>
    <d v="2024-04-20T00:00:00"/>
    <n v="2448"/>
    <n v="1064"/>
    <n v="836.8"/>
    <n v="7470.5280000000002"/>
    <n v="12419.727999999999"/>
    <x v="3"/>
    <x v="0"/>
    <x v="0"/>
    <n v="0.434640522875817"/>
    <n v="0.78646616541353398"/>
    <n v="7.0211729323308303"/>
    <n v="8.9274952198852802"/>
    <n v="0.66249668028819397"/>
    <n v="1.66249668028819"/>
  </r>
  <r>
    <s v="CMP491"/>
    <s v="Seasonal Steals"/>
    <x v="1"/>
    <x v="79"/>
    <d v="2024-06-29T00:00:00"/>
    <n v="19140.8"/>
    <n v="7048"/>
    <n v="635.20000000000005"/>
    <n v="5460.7359999999999"/>
    <n v="9012.2880000000005"/>
    <x v="4"/>
    <x v="3"/>
    <x v="0"/>
    <n v="0.36821867424559102"/>
    <n v="9.0124858115777501E-2"/>
    <n v="0.77479228149829704"/>
    <n v="8.5968765743073003"/>
    <n v="0.65037972903286301"/>
    <n v="1.6503797290328599"/>
  </r>
  <r>
    <s v="CMP492"/>
    <s v="Cart to Couch"/>
    <x v="0"/>
    <x v="118"/>
    <d v="2024-08-12T00:00:00"/>
    <n v="29129.599999999999"/>
    <n v="7412.8"/>
    <n v="1966.4"/>
    <n v="5599.6959999999999"/>
    <n v="17207.024000000001"/>
    <x v="0"/>
    <x v="4"/>
    <x v="0"/>
    <n v="0.25447654619356302"/>
    <n v="0.26527088279732403"/>
    <n v="0.75540902223181505"/>
    <n v="2.84768917819365"/>
    <n v="2.0728496689820299"/>
    <n v="3.0728496689820299"/>
  </r>
  <r>
    <s v="CMP493"/>
    <s v="Deal of the Day"/>
    <x v="2"/>
    <x v="174"/>
    <d v="2024-05-22T00:00:00"/>
    <n v="35072"/>
    <n v="731.2"/>
    <n v="139.19999999999999"/>
    <n v="1355.8879999999999"/>
    <n v="3818.24"/>
    <x v="3"/>
    <x v="2"/>
    <x v="0"/>
    <n v="2.08485401459854E-2"/>
    <n v="0.190371991247265"/>
    <n v="1.85433260393873"/>
    <n v="9.7405747126436797"/>
    <n v="1.81604380302798"/>
    <n v="2.8160438030279802"/>
  </r>
  <r>
    <s v="CMP494"/>
    <s v="Shop &amp; Share"/>
    <x v="2"/>
    <x v="184"/>
    <d v="2024-09-05T00:00:00"/>
    <n v="66091.199999999997"/>
    <n v="6155.2"/>
    <n v="936"/>
    <n v="5962.5119999999997"/>
    <n v="8076.7520000000004"/>
    <x v="2"/>
    <x v="0"/>
    <x v="0"/>
    <n v="9.3131914687583195E-2"/>
    <n v="0.15206654536002101"/>
    <n v="0.96869508708084195"/>
    <n v="6.3702051282051304"/>
    <n v="0.35458880418186201"/>
    <n v="1.3545888041818599"/>
  </r>
  <r>
    <s v="CMP495"/>
    <s v="Shop &amp; Share"/>
    <x v="1"/>
    <x v="75"/>
    <d v="2024-10-12T00:00:00"/>
    <n v="37278.400000000001"/>
    <n v="32872"/>
    <n v="9611.2000000000007"/>
    <n v="5760.7039999999997"/>
    <n v="7067.0879999999997"/>
    <x v="1"/>
    <x v="4"/>
    <x v="0"/>
    <n v="0.88179750203871399"/>
    <n v="0.29238257483572599"/>
    <n v="0.17524653200292001"/>
    <n v="0.59937406359247503"/>
    <n v="0.22677506082589899"/>
    <n v="1.2267750608259"/>
  </r>
  <r>
    <s v="CMP496"/>
    <s v="Seasonal Steals"/>
    <x v="2"/>
    <x v="240"/>
    <d v="2024-08-16T00:00:00"/>
    <n v="48897.599999999999"/>
    <n v="32014.400000000001"/>
    <n v="694.4"/>
    <n v="2989.8719999999998"/>
    <n v="9924.0480000000007"/>
    <x v="2"/>
    <x v="3"/>
    <x v="0"/>
    <n v="0.65472334020483602"/>
    <n v="2.1690239392273498E-2"/>
    <n v="9.3391473836773403E-2"/>
    <n v="4.3056912442396298"/>
    <n v="2.3192216924336599"/>
    <n v="3.3192216924336599"/>
  </r>
  <r>
    <s v="CMP497"/>
    <s v="Wishlist Wonders"/>
    <x v="3"/>
    <x v="241"/>
    <d v="2024-01-24T00:00:00"/>
    <n v="73744"/>
    <n v="44694.400000000001"/>
    <n v="3062.4"/>
    <n v="5996.4480000000003"/>
    <n v="11604.656000000001"/>
    <x v="1"/>
    <x v="2"/>
    <x v="0"/>
    <n v="0.60607507051421095"/>
    <n v="6.8518651106178802E-2"/>
    <n v="0.13416553304217099"/>
    <n v="1.9580877742946701"/>
    <n v="0.93525500429587605"/>
    <n v="1.93525500429588"/>
  </r>
  <r>
    <s v="CMP498"/>
    <s v="Shop &amp; Share"/>
    <x v="0"/>
    <x v="223"/>
    <d v="2024-07-31T00:00:00"/>
    <n v="65569.600000000006"/>
    <n v="11150.4"/>
    <n v="8072"/>
    <n v="7699.8239999999996"/>
    <n v="21578.815999999999"/>
    <x v="4"/>
    <x v="3"/>
    <x v="1"/>
    <n v="0.17005441546082301"/>
    <n v="0.72392021810876706"/>
    <n v="0.69054240206629403"/>
    <n v="0.95389296333003004"/>
    <n v="1.8025076936823501"/>
    <n v="2.8025076936823501"/>
  </r>
  <r>
    <s v="CMP499"/>
    <s v="Deal of the Day"/>
    <x v="0"/>
    <x v="144"/>
    <d v="2024-04-11T00:00:00"/>
    <n v="36777.599999999999"/>
    <n v="16576"/>
    <n v="4966.3999999999996"/>
    <n v="865.24800000000005"/>
    <n v="1292.7360000000001"/>
    <x v="3"/>
    <x v="2"/>
    <x v="1"/>
    <n v="0.450709127294875"/>
    <n v="0.2996138996139"/>
    <n v="5.2198841698841703E-2"/>
    <n v="0.17422036082474199"/>
    <n v="0.49406412959059098"/>
    <n v="1.4940641295905901"/>
  </r>
  <r>
    <s v="CMP500"/>
    <s v="Flash Sale Frenzy"/>
    <x v="3"/>
    <x v="140"/>
    <d v="2024-09-28T00:00:00"/>
    <n v="71696"/>
    <n v="26102.400000000001"/>
    <n v="7795.2"/>
    <n v="847.47199999999998"/>
    <n v="2376.7840000000001"/>
    <x v="1"/>
    <x v="2"/>
    <x v="0"/>
    <n v="0.36407051997321999"/>
    <n v="0.298639205590291"/>
    <n v="3.2467206080666902E-2"/>
    <n v="0.108717159277504"/>
    <n v="1.8045575547038699"/>
    <n v="2.8045575547038699"/>
  </r>
  <r>
    <s v="CMP501"/>
    <s v="Flash Sale Frenzy"/>
    <x v="1"/>
    <x v="242"/>
    <d v="2024-02-11T00:00:00"/>
    <n v="59552"/>
    <n v="29329.599999999999"/>
    <n v="22888"/>
    <n v="7683.3440000000001"/>
    <n v="18368.815999999999"/>
    <x v="1"/>
    <x v="0"/>
    <x v="1"/>
    <n v="0.49250403009134902"/>
    <n v="0.78037204735148102"/>
    <n v="0.26196552288473102"/>
    <n v="0.33569311429570098"/>
    <n v="1.3907319521291801"/>
    <n v="2.3907319521291801"/>
  </r>
  <r>
    <s v="CMP502"/>
    <s v="Cart to Couch"/>
    <x v="2"/>
    <x v="19"/>
    <d v="2024-08-02T00:00:00"/>
    <n v="37163.199999999997"/>
    <n v="572.79999999999995"/>
    <n v="395.2"/>
    <n v="3030.8319999999999"/>
    <n v="9237.5840000000007"/>
    <x v="2"/>
    <x v="4"/>
    <x v="1"/>
    <n v="1.5413096826968601E-2"/>
    <n v="0.68994413407821198"/>
    <n v="5.2912569832402196"/>
    <n v="7.6691093117408897"/>
    <n v="2.0478706836934499"/>
    <n v="3.0478706836934499"/>
  </r>
  <r>
    <s v="CMP503"/>
    <s v="Cart to Couch"/>
    <x v="0"/>
    <x v="65"/>
    <d v="2024-04-02T00:00:00"/>
    <n v="55152"/>
    <n v="2649.6"/>
    <n v="620.79999999999995"/>
    <n v="2318.944"/>
    <n v="7618.3040000000001"/>
    <x v="2"/>
    <x v="1"/>
    <x v="0"/>
    <n v="4.8041775456919102E-2"/>
    <n v="0.23429951690821299"/>
    <n v="0.87520531400966195"/>
    <n v="3.7354123711340201"/>
    <n v="2.28524707798032"/>
    <n v="3.28524707798032"/>
  </r>
  <r>
    <s v="CMP504"/>
    <s v="Deal of the Day"/>
    <x v="2"/>
    <x v="231"/>
    <d v="2024-02-25T00:00:00"/>
    <n v="18846.400000000001"/>
    <n v="3540.8"/>
    <n v="596.79999999999995"/>
    <n v="7233.8559999999998"/>
    <n v="23194.32"/>
    <x v="4"/>
    <x v="2"/>
    <x v="1"/>
    <n v="0.18787672977332501"/>
    <n v="0.16854948034342501"/>
    <n v="2.04300045187528"/>
    <n v="12.121072386059"/>
    <n v="2.2063563333303802"/>
    <n v="3.2063563333303802"/>
  </r>
  <r>
    <s v="CMP505"/>
    <s v="Deal of the Day"/>
    <x v="2"/>
    <x v="151"/>
    <d v="2024-08-30T00:00:00"/>
    <n v="54196.800000000003"/>
    <n v="51243.199999999997"/>
    <n v="17017.599999999999"/>
    <n v="3762.88"/>
    <n v="5792.56"/>
    <x v="4"/>
    <x v="2"/>
    <x v="0"/>
    <n v="0.94550231747999902"/>
    <n v="0.33209479501670502"/>
    <n v="7.3431791925562803E-2"/>
    <n v="0.22111696126363301"/>
    <n v="0.53939535674802297"/>
    <n v="1.5393953567480201"/>
  </r>
  <r>
    <s v="CMP506"/>
    <s v="Cart to Couch"/>
    <x v="3"/>
    <x v="179"/>
    <d v="2024-03-31T00:00:00"/>
    <n v="20944"/>
    <n v="9028.7999999999993"/>
    <n v="1913.6"/>
    <n v="1442.4159999999999"/>
    <n v="1927.952"/>
    <x v="2"/>
    <x v="3"/>
    <x v="1"/>
    <n v="0.43109243697478999"/>
    <n v="0.21194400141768599"/>
    <n v="0.15975722133616899"/>
    <n v="0.75377090301003302"/>
    <n v="0.33661301593992299"/>
    <n v="1.3366130159399201"/>
  </r>
  <r>
    <s v="CMP507"/>
    <s v="Shop &amp; Share"/>
    <x v="1"/>
    <x v="160"/>
    <d v="2024-07-29T00:00:00"/>
    <n v="47652.800000000003"/>
    <n v="25284.799999999999"/>
    <n v="24803.200000000001"/>
    <n v="1797.6479999999999"/>
    <n v="2167.8240000000001"/>
    <x v="3"/>
    <x v="1"/>
    <x v="0"/>
    <n v="0.53060470738340704"/>
    <n v="0.98095298361070704"/>
    <n v="7.1095994431437104E-2"/>
    <n v="7.2476454651012795E-2"/>
    <n v="0.20592240527622799"/>
    <n v="1.2059224052762301"/>
  </r>
  <r>
    <s v="CMP508"/>
    <s v="Flash Sale Frenzy"/>
    <x v="1"/>
    <x v="66"/>
    <d v="2024-11-15T00:00:00"/>
    <n v="49336"/>
    <n v="31446.400000000001"/>
    <n v="9089.6"/>
    <n v="7435.0240000000003"/>
    <n v="10549.152"/>
    <x v="2"/>
    <x v="4"/>
    <x v="1"/>
    <n v="0.63739257337441202"/>
    <n v="0.28905057494657599"/>
    <n v="0.23643482242800401"/>
    <n v="0.81797042774159501"/>
    <n v="0.418845722623088"/>
    <n v="1.4188457226230899"/>
  </r>
  <r>
    <s v="CMP509"/>
    <s v="Deal of the Day"/>
    <x v="0"/>
    <x v="243"/>
    <d v="2024-09-22T00:00:00"/>
    <n v="74419.199999999997"/>
    <n v="15622.4"/>
    <n v="5947.2"/>
    <n v="1440.768"/>
    <n v="3309.76"/>
    <x v="2"/>
    <x v="1"/>
    <x v="1"/>
    <n v="0.20992432060543501"/>
    <n v="0.38068414584186799"/>
    <n v="9.2224498156493306E-2"/>
    <n v="0.24225988700564999"/>
    <n v="1.2972192608386599"/>
    <n v="2.2972192608386601"/>
  </r>
  <r>
    <s v="CMP510"/>
    <s v="Flash Sale Frenzy"/>
    <x v="0"/>
    <x v="66"/>
    <d v="2024-10-27T00:00:00"/>
    <n v="51390.400000000001"/>
    <n v="16673.599999999999"/>
    <n v="1230.4000000000001"/>
    <n v="7602.96"/>
    <n v="9600.1440000000002"/>
    <x v="2"/>
    <x v="4"/>
    <x v="0"/>
    <n v="0.324449702668203"/>
    <n v="7.3793301986373697E-2"/>
    <n v="0.45598790902984399"/>
    <n v="6.1792587776332901"/>
    <n v="0.26268505950314103"/>
    <n v="1.26268505950314"/>
  </r>
  <r>
    <s v="CMP511"/>
    <s v="Shop &amp; Share"/>
    <x v="0"/>
    <x v="244"/>
    <d v="2024-04-01T00:00:00"/>
    <n v="70280"/>
    <n v="5755.2"/>
    <n v="24"/>
    <n v="4153.3440000000001"/>
    <n v="8665.9680000000008"/>
    <x v="0"/>
    <x v="2"/>
    <x v="0"/>
    <n v="8.1889584519066597E-2"/>
    <n v="4.1701417848206803E-3"/>
    <n v="0.72166805671392797"/>
    <n v="173.05600000000001"/>
    <n v="1.08650379068047"/>
    <n v="2.08650379068047"/>
  </r>
  <r>
    <s v="CMP512"/>
    <s v="Wishlist Wonders"/>
    <x v="1"/>
    <x v="25"/>
    <d v="2024-11-14T00:00:00"/>
    <n v="38057.599999999999"/>
    <n v="31408"/>
    <n v="13926.4"/>
    <n v="5715.9520000000002"/>
    <n v="16479.648000000001"/>
    <x v="1"/>
    <x v="3"/>
    <x v="1"/>
    <n v="0.82527537206760304"/>
    <n v="0.44340295466123297"/>
    <n v="0.18199032093734099"/>
    <n v="0.41044002757352899"/>
    <n v="1.8830976887139701"/>
    <n v="2.8830976887139701"/>
  </r>
  <r>
    <s v="CMP513"/>
    <s v="Deal of the Day"/>
    <x v="0"/>
    <x v="180"/>
    <d v="2024-10-01T00:00:00"/>
    <n v="19782.400000000001"/>
    <n v="9832"/>
    <n v="2804.8"/>
    <n v="4299.6639999999998"/>
    <n v="14772.432000000001"/>
    <x v="4"/>
    <x v="4"/>
    <x v="1"/>
    <n v="0.49700744095761901"/>
    <n v="0.28527257933279099"/>
    <n v="0.43731326281529698"/>
    <n v="1.5329663434112899"/>
    <n v="2.4357177677139399"/>
    <n v="3.4357177677139399"/>
  </r>
  <r>
    <s v="CMP514"/>
    <s v="Cart to Couch"/>
    <x v="3"/>
    <x v="99"/>
    <d v="2024-06-12T00:00:00"/>
    <n v="29288"/>
    <n v="24278.400000000001"/>
    <n v="13406.4"/>
    <n v="3113.4079999999999"/>
    <n v="4815.7439999999997"/>
    <x v="4"/>
    <x v="2"/>
    <x v="1"/>
    <n v="0.82895383774924902"/>
    <n v="0.55219454329774598"/>
    <n v="0.12823777514168999"/>
    <n v="0.232232963360783"/>
    <n v="0.546775751844924"/>
    <n v="1.5467757518449201"/>
  </r>
  <r>
    <s v="CMP515"/>
    <s v="Wishlist Wonders"/>
    <x v="2"/>
    <x v="57"/>
    <d v="2024-10-26T00:00:00"/>
    <n v="19646.400000000001"/>
    <n v="7993.6"/>
    <n v="5497.6"/>
    <n v="6098.96"/>
    <n v="21857.344000000001"/>
    <x v="4"/>
    <x v="2"/>
    <x v="0"/>
    <n v="0.40687352390259801"/>
    <n v="0.687750200160128"/>
    <n v="0.76298038430744597"/>
    <n v="1.10938591385332"/>
    <n v="2.5837821530228098"/>
    <n v="3.5837821530228098"/>
  </r>
  <r>
    <s v="CMP516"/>
    <s v="Seasonal Steals"/>
    <x v="2"/>
    <x v="14"/>
    <d v="2024-08-07T00:00:00"/>
    <n v="10932.8"/>
    <n v="8713.6"/>
    <n v="1064"/>
    <n v="2849.904"/>
    <n v="8490.0959999999995"/>
    <x v="2"/>
    <x v="0"/>
    <x v="0"/>
    <n v="0.79701448851163503"/>
    <n v="0.12210796915167101"/>
    <n v="0.327063900110173"/>
    <n v="2.6784812030075198"/>
    <n v="1.9790814006366499"/>
    <n v="2.9790814006366499"/>
  </r>
  <r>
    <s v="CMP517"/>
    <s v="Cart to Couch"/>
    <x v="3"/>
    <x v="185"/>
    <d v="2024-10-12T00:00:00"/>
    <n v="32827.199999999997"/>
    <n v="22163.200000000001"/>
    <n v="10700.8"/>
    <n v="4269.4719999999998"/>
    <n v="5386.1760000000004"/>
    <x v="0"/>
    <x v="0"/>
    <x v="0"/>
    <n v="0.675147438709363"/>
    <n v="0.482818365578978"/>
    <n v="0.19263788622581601"/>
    <n v="0.39898624401913901"/>
    <n v="0.26155552724083903"/>
    <n v="1.2615555272408401"/>
  </r>
  <r>
    <s v="CMP518"/>
    <s v="Wishlist Wonders"/>
    <x v="2"/>
    <x v="178"/>
    <d v="2024-03-21T00:00:00"/>
    <n v="50972.800000000003"/>
    <n v="28118.400000000001"/>
    <n v="11956.8"/>
    <n v="6061.6959999999999"/>
    <n v="17021.232"/>
    <x v="4"/>
    <x v="3"/>
    <x v="1"/>
    <n v="0.55163538200765905"/>
    <n v="0.42523045407989102"/>
    <n v="0.215577557755776"/>
    <n v="0.50696641241803797"/>
    <n v="1.8079982895875999"/>
    <n v="2.8079982895876001"/>
  </r>
  <r>
    <s v="CMP519"/>
    <s v="Wishlist Wonders"/>
    <x v="2"/>
    <x v="154"/>
    <d v="2024-02-28T00:00:00"/>
    <n v="43286.400000000001"/>
    <n v="9139.2000000000007"/>
    <n v="1707.2"/>
    <n v="3572.192"/>
    <n v="4623.6959999999999"/>
    <x v="4"/>
    <x v="1"/>
    <x v="0"/>
    <n v="0.2111332889776"/>
    <n v="0.18679971988795499"/>
    <n v="0.39086484593837501"/>
    <n v="2.0924273664479802"/>
    <n v="0.29435819799159701"/>
    <n v="1.2943581979915999"/>
  </r>
  <r>
    <s v="CMP520"/>
    <s v="Cart to Couch"/>
    <x v="3"/>
    <x v="192"/>
    <d v="2024-01-30T00:00:00"/>
    <n v="55976"/>
    <n v="28814.400000000001"/>
    <n v="26966.400000000001"/>
    <n v="4799.7920000000004"/>
    <n v="8947.5360000000001"/>
    <x v="1"/>
    <x v="0"/>
    <x v="0"/>
    <n v="0.51476347005859702"/>
    <n v="0.93586540063301704"/>
    <n v="0.166576156366261"/>
    <n v="0.177991574700368"/>
    <n v="0.86415077986712696"/>
    <n v="1.86415077986713"/>
  </r>
  <r>
    <s v="CMP521"/>
    <s v="Seasonal Steals"/>
    <x v="0"/>
    <x v="172"/>
    <d v="2024-02-08T00:00:00"/>
    <n v="36835.199999999997"/>
    <n v="31961.599999999999"/>
    <n v="659.2"/>
    <n v="1631.008"/>
    <n v="3132.5120000000002"/>
    <x v="0"/>
    <x v="4"/>
    <x v="0"/>
    <n v="0.86769177308661305"/>
    <n v="2.0624749699639601E-2"/>
    <n v="5.1030236283540302E-2"/>
    <n v="2.4742233009708698"/>
    <n v="0.92059879534619105"/>
    <n v="1.92059879534619"/>
  </r>
  <r>
    <s v="CMP522"/>
    <s v="Cart to Couch"/>
    <x v="2"/>
    <x v="159"/>
    <d v="2024-08-06T00:00:00"/>
    <n v="73734.399999999994"/>
    <n v="66128"/>
    <n v="65779.199999999997"/>
    <n v="5080.4799999999996"/>
    <n v="12370.592000000001"/>
    <x v="1"/>
    <x v="3"/>
    <x v="0"/>
    <n v="0.89684055203541402"/>
    <n v="0.99472538107911901"/>
    <n v="7.6827969997580403E-2"/>
    <n v="7.72353570733606E-2"/>
    <n v="1.4349258337794899"/>
    <n v="2.4349258337794901"/>
  </r>
  <r>
    <s v="CMP523"/>
    <s v="Seasonal Steals"/>
    <x v="0"/>
    <x v="244"/>
    <d v="2024-04-06T00:00:00"/>
    <n v="64665.599999999999"/>
    <n v="21608"/>
    <n v="20243.2"/>
    <n v="2304.3040000000001"/>
    <n v="5386.8159999999998"/>
    <x v="0"/>
    <x v="2"/>
    <x v="0"/>
    <n v="0.334149841646873"/>
    <n v="0.93683820807108498"/>
    <n v="0.10664124398371"/>
    <n v="0.11383101485931101"/>
    <n v="1.33771932869969"/>
    <n v="2.3377193286996798"/>
  </r>
  <r>
    <s v="CMP524"/>
    <s v="Shop &amp; Share"/>
    <x v="1"/>
    <x v="245"/>
    <d v="2024-03-16T00:00:00"/>
    <n v="7091.2"/>
    <n v="4670.3999999999996"/>
    <n v="1092.8"/>
    <n v="7632.4480000000003"/>
    <n v="13068.848"/>
    <x v="3"/>
    <x v="3"/>
    <x v="0"/>
    <n v="0.65861913357400703"/>
    <n v="0.23398424117848601"/>
    <n v="1.63421719767044"/>
    <n v="6.9843045387994103"/>
    <n v="0.71227475116764605"/>
    <n v="1.7122747511676499"/>
  </r>
  <r>
    <s v="CMP525"/>
    <s v="Deal of the Day"/>
    <x v="1"/>
    <x v="59"/>
    <d v="2024-05-03T00:00:00"/>
    <n v="12148.8"/>
    <n v="9148.7999999999993"/>
    <n v="364.8"/>
    <n v="2534.944"/>
    <n v="7364.08"/>
    <x v="2"/>
    <x v="1"/>
    <x v="0"/>
    <n v="0.75306203081785805"/>
    <n v="3.9874081846799601E-2"/>
    <n v="0.27707939839104601"/>
    <n v="6.9488596491228103"/>
    <n v="1.90502669881465"/>
    <n v="2.90502669881465"/>
  </r>
  <r>
    <s v="CMP526"/>
    <s v="Seasonal Steals"/>
    <x v="1"/>
    <x v="97"/>
    <d v="2024-09-24T00:00:00"/>
    <n v="40291.199999999997"/>
    <n v="30516.799999999999"/>
    <n v="25841.599999999999"/>
    <n v="6278.8"/>
    <n v="23918.527999999998"/>
    <x v="3"/>
    <x v="4"/>
    <x v="1"/>
    <n v="0.75740608371058704"/>
    <n v="0.84679914014575597"/>
    <n v="0.20574896450479699"/>
    <n v="0.242972571357811"/>
    <n v="2.8094107154233301"/>
    <n v="3.8094107154233301"/>
  </r>
  <r>
    <s v="CMP527"/>
    <s v="Seasonal Steals"/>
    <x v="0"/>
    <x v="246"/>
    <d v="2024-07-26T00:00:00"/>
    <n v="21286.400000000001"/>
    <n v="21278.400000000001"/>
    <n v="3920"/>
    <n v="6097.3440000000001"/>
    <n v="9927.2800000000007"/>
    <x v="1"/>
    <x v="1"/>
    <x v="0"/>
    <n v="0.99962417318099805"/>
    <n v="0.18422437777276501"/>
    <n v="0.28655086848635197"/>
    <n v="1.55544489795918"/>
    <n v="0.62813185544394401"/>
    <n v="1.6281318554439399"/>
  </r>
  <r>
    <s v="CMP528"/>
    <s v="Deal of the Day"/>
    <x v="3"/>
    <x v="196"/>
    <d v="2024-10-26T00:00:00"/>
    <n v="43953.599999999999"/>
    <n v="39204.800000000003"/>
    <n v="20100.8"/>
    <n v="3271.6320000000001"/>
    <n v="8969.36"/>
    <x v="0"/>
    <x v="3"/>
    <x v="0"/>
    <n v="0.89195879290888602"/>
    <n v="0.512712729053585"/>
    <n v="8.34497816593886E-2"/>
    <n v="0.16276128313301"/>
    <n v="1.7415552849464699"/>
    <n v="2.7415552849464699"/>
  </r>
  <r>
    <s v="CMP529"/>
    <s v="Shop &amp; Share"/>
    <x v="1"/>
    <x v="247"/>
    <d v="2024-05-19T00:00:00"/>
    <n v="16520"/>
    <n v="12073.6"/>
    <n v="2910.4"/>
    <n v="5366.88"/>
    <n v="20452.432000000001"/>
    <x v="3"/>
    <x v="2"/>
    <x v="0"/>
    <n v="0.730847457627119"/>
    <n v="0.241054863503843"/>
    <n v="0.44451364961569001"/>
    <n v="1.8440351841671201"/>
    <n v="2.8108606862832799"/>
    <n v="3.8108606862832799"/>
  </r>
  <r>
    <s v="CMP530"/>
    <s v="Shop &amp; Share"/>
    <x v="2"/>
    <x v="248"/>
    <d v="2024-05-11T00:00:00"/>
    <n v="77625.600000000006"/>
    <n v="62516.800000000003"/>
    <n v="58939.199999999997"/>
    <n v="1357.104"/>
    <n v="1796.1120000000001"/>
    <x v="1"/>
    <x v="1"/>
    <x v="0"/>
    <n v="0.80536317915739097"/>
    <n v="0.94277378240728904"/>
    <n v="2.17078289355821E-2"/>
    <n v="2.3025490675136401E-2"/>
    <n v="0.32348884094365599"/>
    <n v="1.32348884094366"/>
  </r>
  <r>
    <s v="CMP531"/>
    <s v="Flash Sale Frenzy"/>
    <x v="0"/>
    <x v="141"/>
    <d v="2024-06-11T00:00:00"/>
    <n v="53294.400000000001"/>
    <n v="50120"/>
    <n v="44817.599999999999"/>
    <n v="6916.576"/>
    <n v="17359.919999999998"/>
    <x v="3"/>
    <x v="2"/>
    <x v="1"/>
    <n v="0.94043651865862099"/>
    <n v="0.894205905826018"/>
    <n v="0.13800031923383899"/>
    <n v="0.15432722858876899"/>
    <n v="1.5099008526762401"/>
    <n v="2.5099008526762399"/>
  </r>
  <r>
    <s v="CMP532"/>
    <s v="Wishlist Wonders"/>
    <x v="0"/>
    <x v="222"/>
    <d v="2024-02-20T00:00:00"/>
    <n v="36726.400000000001"/>
    <n v="24368"/>
    <n v="6681.6"/>
    <n v="6886.8"/>
    <n v="21294.400000000001"/>
    <x v="4"/>
    <x v="1"/>
    <x v="0"/>
    <n v="0.66350091487322505"/>
    <n v="0.27419566644780002"/>
    <n v="0.28261654629021699"/>
    <n v="1.03071120689655"/>
    <n v="2.0920601730847399"/>
    <n v="3.0920601730847399"/>
  </r>
  <r>
    <s v="CMP533"/>
    <s v="Deal of the Day"/>
    <x v="3"/>
    <x v="218"/>
    <d v="2024-02-03T00:00:00"/>
    <n v="70494.399999999994"/>
    <n v="65129.599999999999"/>
    <n v="19211.2"/>
    <n v="5524.3519999999999"/>
    <n v="12728.031999999999"/>
    <x v="2"/>
    <x v="3"/>
    <x v="0"/>
    <n v="0.92389750107809998"/>
    <n v="0.29496880066820602"/>
    <n v="8.4820910922222797E-2"/>
    <n v="0.28755892396102301"/>
    <n v="1.3039864222989399"/>
    <n v="2.3039864222989399"/>
  </r>
  <r>
    <s v="CMP534"/>
    <s v="Wishlist Wonders"/>
    <x v="1"/>
    <x v="133"/>
    <d v="2024-09-18T00:00:00"/>
    <n v="53980.800000000003"/>
    <n v="18601.599999999999"/>
    <n v="6904"/>
    <n v="2390.096"/>
    <n v="8349.84"/>
    <x v="4"/>
    <x v="2"/>
    <x v="0"/>
    <n v="0.34459659730867298"/>
    <n v="0.37115086874247399"/>
    <n v="0.12848873215207299"/>
    <n v="0.34619003476245702"/>
    <n v="2.49351657841359"/>
    <n v="3.49351657841359"/>
  </r>
  <r>
    <s v="CMP535"/>
    <s v="Seasonal Steals"/>
    <x v="2"/>
    <x v="249"/>
    <d v="2024-03-17T00:00:00"/>
    <n v="46966.400000000001"/>
    <n v="25660.799999999999"/>
    <n v="18854.400000000001"/>
    <n v="3491.0880000000002"/>
    <n v="10283.136"/>
    <x v="4"/>
    <x v="3"/>
    <x v="0"/>
    <n v="0.54636506097976401"/>
    <n v="0.73475495697717896"/>
    <n v="0.13604751215862301"/>
    <n v="0.18516038696537701"/>
    <n v="1.94553904112414"/>
    <n v="2.9455390411241398"/>
  </r>
  <r>
    <s v="CMP536"/>
    <s v="Wishlist Wonders"/>
    <x v="1"/>
    <x v="250"/>
    <d v="2024-06-30T00:00:00"/>
    <n v="62892.800000000003"/>
    <n v="60550.400000000001"/>
    <n v="12526.4"/>
    <n v="6441.1679999999997"/>
    <n v="25714.864000000001"/>
    <x v="3"/>
    <x v="3"/>
    <x v="1"/>
    <n v="0.96275567314541599"/>
    <n v="0.20687559454603099"/>
    <n v="0.10637696860797"/>
    <n v="0.51420743389960399"/>
    <n v="2.99226724097245"/>
    <n v="3.9922672409724398"/>
  </r>
  <r>
    <s v="CMP537"/>
    <s v="Cart to Couch"/>
    <x v="1"/>
    <x v="50"/>
    <d v="2024-06-09T00:00:00"/>
    <n v="21366.400000000001"/>
    <n v="6550.4"/>
    <n v="232"/>
    <n v="6396.768"/>
    <n v="16193.92"/>
    <x v="2"/>
    <x v="1"/>
    <x v="0"/>
    <n v="0.306574809045979"/>
    <n v="3.5417684416218898E-2"/>
    <n v="0.97654616511968695"/>
    <n v="27.572275862068999"/>
    <n v="1.5315784471157901"/>
    <n v="2.5315784471157898"/>
  </r>
  <r>
    <s v="CMP538"/>
    <s v="Shop &amp; Share"/>
    <x v="3"/>
    <x v="243"/>
    <d v="2024-09-29T00:00:00"/>
    <n v="18793.599999999999"/>
    <n v="3420.8"/>
    <n v="587.20000000000005"/>
    <n v="5513.1679999999997"/>
    <n v="19853.28"/>
    <x v="3"/>
    <x v="1"/>
    <x v="1"/>
    <n v="0.182019410863273"/>
    <n v="0.17165575304022501"/>
    <n v="1.6116604303087001"/>
    <n v="9.3889100817438695"/>
    <n v="2.6010656667817802"/>
    <n v="3.6010656667817802"/>
  </r>
  <r>
    <s v="CMP539"/>
    <s v="Cart to Couch"/>
    <x v="1"/>
    <x v="251"/>
    <d v="2024-03-02T00:00:00"/>
    <n v="13291.2"/>
    <n v="12265.6"/>
    <n v="996.8"/>
    <n v="1367.2"/>
    <n v="4462.5919999999996"/>
    <x v="3"/>
    <x v="0"/>
    <x v="0"/>
    <n v="0.92283616227278198"/>
    <n v="8.1267936342290598E-2"/>
    <n v="0.111466214453431"/>
    <n v="1.3715890850722301"/>
    <n v="2.2640374488004702"/>
    <n v="3.2640374488004702"/>
  </r>
  <r>
    <s v="CMP540"/>
    <s v="Deal of the Day"/>
    <x v="3"/>
    <x v="230"/>
    <d v="2024-07-14T00:00:00"/>
    <n v="38339.199999999997"/>
    <n v="31772.799999999999"/>
    <n v="24166.400000000001"/>
    <n v="3110.2080000000001"/>
    <n v="5200.6080000000002"/>
    <x v="1"/>
    <x v="2"/>
    <x v="0"/>
    <n v="0.82872882063266795"/>
    <n v="0.76060026185920004"/>
    <n v="9.7889011985094199E-2"/>
    <n v="0.12869968220339001"/>
    <n v="0.67210938946848597"/>
    <n v="1.67210938946849"/>
  </r>
  <r>
    <s v="CMP541"/>
    <s v="Wishlist Wonders"/>
    <x v="3"/>
    <x v="252"/>
    <d v="2024-08-02T00:00:00"/>
    <n v="60633.599999999999"/>
    <n v="24923.200000000001"/>
    <n v="11601.6"/>
    <n v="6871.2"/>
    <n v="24325.952000000001"/>
    <x v="3"/>
    <x v="0"/>
    <x v="0"/>
    <n v="0.41104602068819901"/>
    <n v="0.46549399756050602"/>
    <n v="0.27569493483982799"/>
    <n v="0.59226313611915604"/>
    <n v="2.54027709861451"/>
    <n v="3.54027709861451"/>
  </r>
  <r>
    <s v="CMP542"/>
    <s v="Seasonal Steals"/>
    <x v="3"/>
    <x v="50"/>
    <d v="2024-06-02T00:00:00"/>
    <n v="36523.199999999997"/>
    <n v="23856"/>
    <n v="13521.6"/>
    <n v="1082.96"/>
    <n v="1758.8320000000001"/>
    <x v="2"/>
    <x v="0"/>
    <x v="0"/>
    <n v="0.65317387304507801"/>
    <n v="0.56680080482897399"/>
    <n v="4.5395707578806198E-2"/>
    <n v="8.0091113477694903E-2"/>
    <n v="0.62409691955381597"/>
    <n v="1.62409691955382"/>
  </r>
  <r>
    <s v="CMP543"/>
    <s v="Wishlist Wonders"/>
    <x v="1"/>
    <x v="162"/>
    <d v="2024-10-24T00:00:00"/>
    <n v="4963.2"/>
    <n v="2713.6"/>
    <n v="508.8"/>
    <n v="3801.5680000000002"/>
    <n v="5607.0720000000001"/>
    <x v="1"/>
    <x v="2"/>
    <x v="1"/>
    <n v="0.54674403610573796"/>
    <n v="0.1875"/>
    <n v="1.4009316037735899"/>
    <n v="7.4716352201257896"/>
    <n v="0.47493665771597399"/>
    <n v="1.4749366577159699"/>
  </r>
  <r>
    <s v="CMP544"/>
    <s v="Wishlist Wonders"/>
    <x v="0"/>
    <x v="110"/>
    <d v="2024-06-27T00:00:00"/>
    <n v="27910.400000000001"/>
    <n v="20302.400000000001"/>
    <n v="15867.2"/>
    <n v="3896.5120000000002"/>
    <n v="11062.031999999999"/>
    <x v="2"/>
    <x v="3"/>
    <x v="1"/>
    <n v="0.72741343728502605"/>
    <n v="0.781543068799748"/>
    <n v="0.19192371345259701"/>
    <n v="0.24557023293334701"/>
    <n v="1.8389575086641601"/>
    <n v="2.8389575086641599"/>
  </r>
  <r>
    <s v="CMP545"/>
    <s v="Shop &amp; Share"/>
    <x v="0"/>
    <x v="237"/>
    <d v="2024-04-30T00:00:00"/>
    <n v="11809.6"/>
    <n v="4376"/>
    <n v="153.6"/>
    <n v="7867.6480000000001"/>
    <n v="18888.175999999999"/>
    <x v="4"/>
    <x v="0"/>
    <x v="0"/>
    <n v="0.37054599647744202"/>
    <n v="3.5100548446069503E-2"/>
    <n v="1.7979085923217599"/>
    <n v="51.2216666666667"/>
    <n v="1.4007398399115001"/>
    <n v="2.4007398399115001"/>
  </r>
  <r>
    <s v="CMP546"/>
    <s v="Shop &amp; Share"/>
    <x v="3"/>
    <x v="131"/>
    <d v="2024-05-10T00:00:00"/>
    <n v="58115.199999999997"/>
    <n v="51961.599999999999"/>
    <n v="24939.200000000001"/>
    <n v="2203.6640000000002"/>
    <n v="3805.76"/>
    <x v="1"/>
    <x v="4"/>
    <x v="0"/>
    <n v="0.89411376025549305"/>
    <n v="0.47995442788520798"/>
    <n v="4.2409471609804197E-2"/>
    <n v="8.8361455058702798E-2"/>
    <n v="0.727014644700825"/>
    <n v="1.7270146447008301"/>
  </r>
  <r>
    <s v="CMP547"/>
    <s v="Cart to Couch"/>
    <x v="3"/>
    <x v="253"/>
    <d v="2024-08-07T00:00:00"/>
    <n v="64742.400000000001"/>
    <n v="1166.4000000000001"/>
    <n v="424"/>
    <n v="4639.8559999999998"/>
    <n v="14786.575999999999"/>
    <x v="2"/>
    <x v="0"/>
    <x v="0"/>
    <n v="1.8016014234875401E-2"/>
    <n v="0.36351165980795602"/>
    <n v="3.9779286694101499"/>
    <n v="10.9430566037736"/>
    <n v="2.1868609715473899"/>
    <n v="3.1868609715473899"/>
  </r>
  <r>
    <s v="CMP548"/>
    <s v="Flash Sale Frenzy"/>
    <x v="1"/>
    <x v="225"/>
    <d v="2024-05-01T00:00:00"/>
    <n v="49310.400000000001"/>
    <n v="15350.4"/>
    <n v="10459.200000000001"/>
    <n v="745.40800000000002"/>
    <n v="1884.5119999999999"/>
    <x v="4"/>
    <x v="0"/>
    <x v="0"/>
    <n v="0.31130146987248097"/>
    <n v="0.68136335209505905"/>
    <n v="4.8559516364394401E-2"/>
    <n v="7.1268165825302099E-2"/>
    <n v="1.5281617583927201"/>
    <n v="2.5281617583927201"/>
  </r>
  <r>
    <s v="CMP549"/>
    <s v="Wishlist Wonders"/>
    <x v="1"/>
    <x v="213"/>
    <d v="2024-06-24T00:00:00"/>
    <n v="41046.400000000001"/>
    <n v="31940.799999999999"/>
    <n v="9705.6"/>
    <n v="1327.152"/>
    <n v="4825.4560000000001"/>
    <x v="4"/>
    <x v="0"/>
    <x v="0"/>
    <n v="0.77816324939580594"/>
    <n v="0.30386214496819097"/>
    <n v="4.1550368181135097E-2"/>
    <n v="0.13674085064292801"/>
    <n v="2.6359482561153502"/>
    <n v="3.6359482561153502"/>
  </r>
  <r>
    <s v="CMP550"/>
    <s v="Wishlist Wonders"/>
    <x v="3"/>
    <x v="118"/>
    <d v="2024-07-31T00:00:00"/>
    <n v="47635.199999999997"/>
    <n v="27977.599999999999"/>
    <n v="24046.400000000001"/>
    <n v="1948.528"/>
    <n v="6809.76"/>
    <x v="2"/>
    <x v="1"/>
    <x v="0"/>
    <n v="0.58733037753593997"/>
    <n v="0.85948759007205799"/>
    <n v="6.9646002516298794E-2"/>
    <n v="8.1032004790737897E-2"/>
    <n v="2.4948227585130902"/>
    <n v="3.4948227585130902"/>
  </r>
  <r>
    <s v="CMP551"/>
    <s v="Flash Sale Frenzy"/>
    <x v="2"/>
    <x v="166"/>
    <d v="2024-04-11T00:00:00"/>
    <n v="59756.800000000003"/>
    <n v="15096"/>
    <n v="19.2"/>
    <n v="4243.616"/>
    <n v="10724.72"/>
    <x v="3"/>
    <x v="2"/>
    <x v="0"/>
    <n v="0.25262396915497498"/>
    <n v="1.27186009538951E-3"/>
    <n v="0.28110863804981501"/>
    <n v="221.02166666666699"/>
    <n v="1.5272597709123501"/>
    <n v="2.5272597709123499"/>
  </r>
  <r>
    <s v="CMP552"/>
    <s v="Seasonal Steals"/>
    <x v="1"/>
    <x v="241"/>
    <d v="2024-01-12T00:00:00"/>
    <n v="66888"/>
    <n v="13822.4"/>
    <n v="12428.8"/>
    <n v="4676.192"/>
    <n v="18247.407999999999"/>
    <x v="4"/>
    <x v="2"/>
    <x v="1"/>
    <n v="0.206649922258103"/>
    <n v="0.89917814561870602"/>
    <n v="0.33830535941659901"/>
    <n v="0.37623841400617902"/>
    <n v="2.9021939218920001"/>
    <n v="3.9021939218920001"/>
  </r>
  <r>
    <s v="CMP553"/>
    <s v="Shop &amp; Share"/>
    <x v="0"/>
    <x v="254"/>
    <d v="2024-01-27T00:00:00"/>
    <n v="26326.400000000001"/>
    <n v="12465.6"/>
    <n v="10670.4"/>
    <n v="481.66399999999999"/>
    <n v="953.6"/>
    <x v="2"/>
    <x v="4"/>
    <x v="0"/>
    <n v="0.47350188404035498"/>
    <n v="0.85598767809010401"/>
    <n v="3.8639455782312898E-2"/>
    <n v="4.51402009296746E-2"/>
    <n v="0.97980334839224004"/>
    <n v="1.9798033483922399"/>
  </r>
  <r>
    <s v="CMP554"/>
    <s v="Cart to Couch"/>
    <x v="1"/>
    <x v="192"/>
    <d v="2024-01-25T00:00:00"/>
    <n v="73331.199999999997"/>
    <n v="36377.599999999999"/>
    <n v="13307.2"/>
    <n v="6032.3519999999999"/>
    <n v="20544.975999999999"/>
    <x v="3"/>
    <x v="3"/>
    <x v="1"/>
    <n v="0.49607261302146999"/>
    <n v="0.36580752990851501"/>
    <n v="0.16582600281491899"/>
    <n v="0.45331489719850898"/>
    <n v="2.4057986006121701"/>
    <n v="3.4057986006121701"/>
  </r>
  <r>
    <s v="CMP555"/>
    <s v="Cart to Couch"/>
    <x v="0"/>
    <x v="98"/>
    <d v="2024-09-30T00:00:00"/>
    <n v="43262.400000000001"/>
    <n v="14931.2"/>
    <n v="4356.8"/>
    <n v="6792.64"/>
    <n v="13633.791999999999"/>
    <x v="3"/>
    <x v="1"/>
    <x v="1"/>
    <n v="0.345131106919635"/>
    <n v="0.29179168452636101"/>
    <n v="0.45492927561080199"/>
    <n v="1.5590892398090299"/>
    <n v="1.0071418476468601"/>
    <n v="2.0071418476468601"/>
  </r>
  <r>
    <s v="CMP556"/>
    <s v="Shop &amp; Share"/>
    <x v="2"/>
    <x v="255"/>
    <d v="2024-06-17T00:00:00"/>
    <n v="35326.400000000001"/>
    <n v="15737.6"/>
    <n v="10273.6"/>
    <n v="4945.1360000000004"/>
    <n v="18532.544000000002"/>
    <x v="2"/>
    <x v="1"/>
    <x v="0"/>
    <n v="0.445491190724218"/>
    <n v="0.652806018706791"/>
    <n v="0.314224278161854"/>
    <n v="0.48134402741006099"/>
    <n v="2.7476308032782102"/>
    <n v="3.7476308032782102"/>
  </r>
  <r>
    <s v="CMP557"/>
    <s v="Flash Sale Frenzy"/>
    <x v="2"/>
    <x v="32"/>
    <d v="2024-02-02T00:00:00"/>
    <n v="57065.599999999999"/>
    <n v="35915.199999999997"/>
    <n v="14595.2"/>
    <n v="4170.7839999999997"/>
    <n v="12920.944"/>
    <x v="1"/>
    <x v="1"/>
    <x v="1"/>
    <n v="0.62936690405428097"/>
    <n v="0.40637947164431798"/>
    <n v="0.116128658618078"/>
    <n v="0.28576408682306498"/>
    <n v="2.0979652746342201"/>
    <n v="3.0979652746342201"/>
  </r>
  <r>
    <s v="CMP558"/>
    <s v="Seasonal Steals"/>
    <x v="0"/>
    <x v="110"/>
    <d v="2024-06-18T00:00:00"/>
    <n v="73995.199999999997"/>
    <n v="5816"/>
    <n v="233.6"/>
    <n v="368.57600000000002"/>
    <n v="528.54399999999998"/>
    <x v="2"/>
    <x v="2"/>
    <x v="1"/>
    <n v="7.8599692953056396E-2"/>
    <n v="4.0165061898211799E-2"/>
    <n v="6.3372764786795099E-2"/>
    <n v="1.57780821917808"/>
    <n v="0.43401632227817299"/>
    <n v="1.4340163222781701"/>
  </r>
  <r>
    <s v="CMP559"/>
    <s v="Cart to Couch"/>
    <x v="2"/>
    <x v="198"/>
    <d v="2024-04-21T00:00:00"/>
    <n v="2556.8000000000002"/>
    <n v="2412.8000000000002"/>
    <n v="1184"/>
    <n v="5596"/>
    <n v="18607.392"/>
    <x v="2"/>
    <x v="2"/>
    <x v="1"/>
    <n v="0.94367959949937397"/>
    <n v="0.49071618037135301"/>
    <n v="2.31929708222812"/>
    <n v="4.72635135135135"/>
    <n v="2.32512365975697"/>
    <n v="3.32512365975697"/>
  </r>
  <r>
    <s v="CMP560"/>
    <s v="Deal of the Day"/>
    <x v="0"/>
    <x v="113"/>
    <d v="2024-04-30T00:00:00"/>
    <n v="7056"/>
    <n v="1089.5999999999999"/>
    <n v="756.8"/>
    <n v="2111.4879999999998"/>
    <n v="5440.88"/>
    <x v="3"/>
    <x v="2"/>
    <x v="0"/>
    <n v="0.154421768707483"/>
    <n v="0.69456681350954497"/>
    <n v="1.93785609397944"/>
    <n v="2.7900211416490501"/>
    <n v="1.57679892095053"/>
    <n v="2.5767989209505302"/>
  </r>
  <r>
    <s v="CMP561"/>
    <s v="Wishlist Wonders"/>
    <x v="0"/>
    <x v="101"/>
    <d v="2024-06-11T00:00:00"/>
    <n v="73384"/>
    <n v="54505.599999999999"/>
    <n v="36932.800000000003"/>
    <n v="7224.64"/>
    <n v="22140.448"/>
    <x v="2"/>
    <x v="2"/>
    <x v="1"/>
    <n v="0.74274501253679304"/>
    <n v="0.67759643045852203"/>
    <n v="0.13254858216403501"/>
    <n v="0.195615821167093"/>
    <n v="2.06457456703725"/>
    <n v="3.06457456703725"/>
  </r>
  <r>
    <s v="CMP562"/>
    <s v="Deal of the Day"/>
    <x v="1"/>
    <x v="256"/>
    <d v="2024-08-05T00:00:00"/>
    <n v="36534.400000000001"/>
    <n v="11995.2"/>
    <n v="716.8"/>
    <n v="1455.9839999999999"/>
    <n v="3688.6880000000001"/>
    <x v="1"/>
    <x v="4"/>
    <x v="0"/>
    <n v="0.32832618025751098"/>
    <n v="5.9757236227824501E-2"/>
    <n v="0.121380552220888"/>
    <n v="2.0312276785714301"/>
    <n v="1.5334674007406699"/>
    <n v="2.5334674007406699"/>
  </r>
  <r>
    <s v="CMP563"/>
    <s v="Flash Sale Frenzy"/>
    <x v="1"/>
    <x v="257"/>
    <d v="2024-04-18T00:00:00"/>
    <n v="31396.799999999999"/>
    <n v="23070.400000000001"/>
    <n v="18212.8"/>
    <n v="3138.096"/>
    <n v="6320.0320000000002"/>
    <x v="4"/>
    <x v="0"/>
    <x v="0"/>
    <n v="0.73480099882790595"/>
    <n v="0.78944448297385394"/>
    <n v="0.136022609057494"/>
    <n v="0.17230167794078899"/>
    <n v="1.01397025457475"/>
    <n v="2.0139702545747502"/>
  </r>
  <r>
    <s v="CMP564"/>
    <s v="Cart to Couch"/>
    <x v="1"/>
    <x v="24"/>
    <d v="2024-03-26T00:00:00"/>
    <n v="64032"/>
    <n v="61481.599999999999"/>
    <n v="10681.6"/>
    <n v="3353.0880000000002"/>
    <n v="9711.5519999999997"/>
    <x v="2"/>
    <x v="4"/>
    <x v="0"/>
    <n v="0.96016991504247895"/>
    <n v="0.17373653255608201"/>
    <n v="5.4538073179618E-2"/>
    <n v="0.31391252246854401"/>
    <n v="1.8963009619789299"/>
    <n v="2.8963009619789299"/>
  </r>
  <r>
    <s v="CMP565"/>
    <s v="Flash Sale Frenzy"/>
    <x v="2"/>
    <x v="106"/>
    <d v="2024-09-17T00:00:00"/>
    <n v="65974.399999999994"/>
    <n v="46536"/>
    <n v="18310.400000000001"/>
    <n v="7021.76"/>
    <n v="19047.567999999999"/>
    <x v="1"/>
    <x v="0"/>
    <x v="0"/>
    <n v="0.70536450502012904"/>
    <n v="0.39346742307031102"/>
    <n v="0.15088877428227601"/>
    <n v="0.38348479552603998"/>
    <n v="1.71264868067265"/>
    <n v="2.71264868067265"/>
  </r>
  <r>
    <s v="CMP566"/>
    <s v="Cart to Couch"/>
    <x v="2"/>
    <x v="40"/>
    <d v="2024-01-18T00:00:00"/>
    <n v="3724.8"/>
    <n v="3177.6"/>
    <n v="339.2"/>
    <n v="6262.4160000000002"/>
    <n v="10397.808000000001"/>
    <x v="4"/>
    <x v="2"/>
    <x v="1"/>
    <n v="0.85309278350515505"/>
    <n v="0.1067472306143"/>
    <n v="1.97080060422961"/>
    <n v="18.462311320754701"/>
    <n v="0.66035089332934804"/>
    <n v="1.66035089332935"/>
  </r>
  <r>
    <s v="CMP567"/>
    <s v="Shop &amp; Share"/>
    <x v="1"/>
    <x v="156"/>
    <d v="2024-10-29T00:00:00"/>
    <n v="44934.400000000001"/>
    <n v="3985.6"/>
    <n v="3835.2"/>
    <n v="7248.5119999999997"/>
    <n v="18160.72"/>
    <x v="3"/>
    <x v="4"/>
    <x v="1"/>
    <n v="8.8698191140863095E-2"/>
    <n v="0.96226415094339601"/>
    <n v="1.8186752308309899"/>
    <n v="1.8899958281184801"/>
    <n v="1.5054411167423101"/>
    <n v="2.5054411167423098"/>
  </r>
  <r>
    <s v="CMP568"/>
    <s v="Wishlist Wonders"/>
    <x v="1"/>
    <x v="197"/>
    <d v="2024-08-10T00:00:00"/>
    <n v="67120"/>
    <n v="9622.4"/>
    <n v="8608"/>
    <n v="949.6"/>
    <n v="2681.3919999999998"/>
    <x v="2"/>
    <x v="0"/>
    <x v="0"/>
    <n v="0.14336114421930901"/>
    <n v="0.89457931493182596"/>
    <n v="9.8686398403724604E-2"/>
    <n v="0.110315985130112"/>
    <n v="1.82370682392586"/>
    <n v="2.82370682392586"/>
  </r>
  <r>
    <s v="CMP569"/>
    <s v="Deal of the Day"/>
    <x v="1"/>
    <x v="38"/>
    <d v="2024-09-13T00:00:00"/>
    <n v="33728"/>
    <n v="12801.6"/>
    <n v="10374.4"/>
    <n v="4801.6319999999996"/>
    <n v="9254.6080000000002"/>
    <x v="4"/>
    <x v="0"/>
    <x v="0"/>
    <n v="0.37955407969639499"/>
    <n v="0.81039870016247995"/>
    <n v="0.37508061492313499"/>
    <n v="0.46283466995681699"/>
    <n v="0.92738802140605503"/>
    <n v="1.9273880214060599"/>
  </r>
  <r>
    <s v="CMP570"/>
    <s v="Deal of the Day"/>
    <x v="0"/>
    <x v="258"/>
    <d v="2024-03-28T00:00:00"/>
    <n v="27374.400000000001"/>
    <n v="3684.8"/>
    <n v="3460.8"/>
    <n v="2111.3119999999999"/>
    <n v="8166.4"/>
    <x v="3"/>
    <x v="0"/>
    <x v="0"/>
    <n v="0.13460751651177699"/>
    <n v="0.93920972644376899"/>
    <n v="0.57297872340425504"/>
    <n v="0.61006472491909403"/>
    <n v="2.8679266730828998"/>
    <n v="3.8679266730828998"/>
  </r>
  <r>
    <s v="CMP571"/>
    <s v="Deal of the Day"/>
    <x v="2"/>
    <x v="194"/>
    <d v="2024-01-25T00:00:00"/>
    <n v="79508.800000000003"/>
    <n v="10715.2"/>
    <n v="2904"/>
    <n v="6308.56"/>
    <n v="13918.56"/>
    <x v="2"/>
    <x v="1"/>
    <x v="0"/>
    <n v="0.13476747227979799"/>
    <n v="0.271016873226818"/>
    <n v="0.58874869344482605"/>
    <n v="2.1723691460055101"/>
    <n v="1.20629747517659"/>
    <n v="2.2062974751765898"/>
  </r>
  <r>
    <s v="CMP572"/>
    <s v="Cart to Couch"/>
    <x v="3"/>
    <x v="259"/>
    <d v="2024-06-12T00:00:00"/>
    <n v="48606.400000000001"/>
    <n v="2841.6"/>
    <n v="2428.8000000000002"/>
    <n v="2840.3359999999998"/>
    <n v="11186.912"/>
    <x v="0"/>
    <x v="2"/>
    <x v="1"/>
    <n v="5.8461437176997297E-2"/>
    <n v="0.85472972972973005"/>
    <n v="0.99955518018017997"/>
    <n v="1.1694400527009201"/>
    <n v="2.9385875473887602"/>
    <n v="3.9385875473887602"/>
  </r>
  <r>
    <s v="CMP573"/>
    <s v="Flash Sale Frenzy"/>
    <x v="0"/>
    <x v="155"/>
    <d v="2024-05-13T00:00:00"/>
    <n v="24014.400000000001"/>
    <n v="9772.7999999999993"/>
    <n v="8556.7999999999993"/>
    <n v="3723.8240000000001"/>
    <n v="11447.936"/>
    <x v="2"/>
    <x v="1"/>
    <x v="0"/>
    <n v="0.40695582650409801"/>
    <n v="0.87557301899148698"/>
    <n v="0.38103962017026899"/>
    <n v="0.43518885564697102"/>
    <n v="2.0742419620261301"/>
    <n v="3.0742419620261301"/>
  </r>
  <r>
    <s v="CMP574"/>
    <s v="Deal of the Day"/>
    <x v="1"/>
    <x v="203"/>
    <d v="2024-06-24T00:00:00"/>
    <n v="47043.199999999997"/>
    <n v="34278.400000000001"/>
    <n v="1302.4000000000001"/>
    <n v="4958.6559999999999"/>
    <n v="11409.343999999999"/>
    <x v="2"/>
    <x v="0"/>
    <x v="0"/>
    <n v="0.72865791442758998"/>
    <n v="3.7994772218073201E-2"/>
    <n v="0.14465832710978299"/>
    <n v="3.8073218673218698"/>
    <n v="1.3008944359116701"/>
    <n v="2.3008944359116699"/>
  </r>
  <r>
    <s v="CMP575"/>
    <s v="Deal of the Day"/>
    <x v="1"/>
    <x v="132"/>
    <d v="2024-04-18T00:00:00"/>
    <n v="56667.199999999997"/>
    <n v="47814.400000000001"/>
    <n v="40953.599999999999"/>
    <n v="3686.5439999999999"/>
    <n v="8736.1919999999991"/>
    <x v="1"/>
    <x v="1"/>
    <x v="0"/>
    <n v="0.84377558799446595"/>
    <n v="0.85651184580377404"/>
    <n v="7.7101124347476901E-2"/>
    <n v="9.0017580872011296E-2"/>
    <n v="1.3697511815944701"/>
    <n v="2.3697511815944701"/>
  </r>
  <r>
    <s v="CMP576"/>
    <s v="Wishlist Wonders"/>
    <x v="3"/>
    <x v="100"/>
    <d v="2024-01-23T00:00:00"/>
    <n v="78457.600000000006"/>
    <n v="16664"/>
    <n v="4918.3999999999996"/>
    <n v="1271.5840000000001"/>
    <n v="4714.0640000000003"/>
    <x v="3"/>
    <x v="1"/>
    <x v="0"/>
    <n v="0.21239497512031999"/>
    <n v="0.29515122419587098"/>
    <n v="7.6307249159865601E-2"/>
    <n v="0.25853610930383902"/>
    <n v="2.70723758713542"/>
    <n v="3.70723758713542"/>
  </r>
  <r>
    <s v="CMP577"/>
    <s v="Seasonal Steals"/>
    <x v="0"/>
    <x v="177"/>
    <d v="2024-06-15T00:00:00"/>
    <n v="28580.799999999999"/>
    <n v="22265.599999999999"/>
    <n v="8907.2000000000007"/>
    <n v="2866.1439999999998"/>
    <n v="4591.3280000000004"/>
    <x v="3"/>
    <x v="3"/>
    <x v="0"/>
    <n v="0.77904047472429006"/>
    <n v="0.40004311583788399"/>
    <n v="0.128725208393216"/>
    <n v="0.32177833662654898"/>
    <n v="0.60191811716368804"/>
    <n v="1.60191811716369"/>
  </r>
  <r>
    <s v="CMP578"/>
    <s v="Deal of the Day"/>
    <x v="1"/>
    <x v="25"/>
    <d v="2024-11-09T00:00:00"/>
    <n v="7756.8"/>
    <n v="238.4"/>
    <n v="137.6"/>
    <n v="4703.7439999999997"/>
    <n v="6696"/>
    <x v="1"/>
    <x v="3"/>
    <x v="0"/>
    <n v="3.07343234323432E-2"/>
    <n v="0.577181208053691"/>
    <n v="19.730469798657701"/>
    <n v="34.184186046511599"/>
    <n v="0.42354685969304501"/>
    <n v="1.4235468596930401"/>
  </r>
  <r>
    <s v="CMP579"/>
    <s v="Deal of the Day"/>
    <x v="3"/>
    <x v="218"/>
    <d v="2024-02-18T00:00:00"/>
    <n v="29574.400000000001"/>
    <n v="6908.8"/>
    <n v="2796.8"/>
    <n v="2945.9679999999998"/>
    <n v="11156.64"/>
    <x v="4"/>
    <x v="0"/>
    <x v="1"/>
    <n v="0.233607444276131"/>
    <n v="0.40481704492820803"/>
    <n v="0.426408059286707"/>
    <n v="1.0533352402745999"/>
    <n v="2.7870879792312699"/>
    <n v="3.7870879792312699"/>
  </r>
  <r>
    <s v="CMP580"/>
    <s v="Seasonal Steals"/>
    <x v="1"/>
    <x v="260"/>
    <d v="2024-08-19T00:00:00"/>
    <n v="10435.200000000001"/>
    <n v="7844.8"/>
    <n v="4716.8"/>
    <n v="7442.16"/>
    <n v="11672.448"/>
    <x v="4"/>
    <x v="4"/>
    <x v="0"/>
    <n v="0.75176326280282102"/>
    <n v="0.60126453191923301"/>
    <n v="0.94867428105241702"/>
    <n v="1.5777985074626899"/>
    <n v="0.56842207101164199"/>
    <n v="1.5684220710116401"/>
  </r>
  <r>
    <s v="CMP581"/>
    <s v="Cart to Couch"/>
    <x v="0"/>
    <x v="246"/>
    <d v="2024-07-11T00:00:00"/>
    <n v="20115.2"/>
    <n v="7475.2"/>
    <n v="6568"/>
    <n v="6405.5519999999997"/>
    <n v="18610.223999999998"/>
    <x v="4"/>
    <x v="1"/>
    <x v="0"/>
    <n v="0.37161947184218902"/>
    <n v="0.87863869863013699"/>
    <n v="0.85690710616438404"/>
    <n v="0.97526674786845302"/>
    <n v="1.90532712871584"/>
    <n v="2.90532712871584"/>
  </r>
  <r>
    <s v="CMP582"/>
    <s v="Wishlist Wonders"/>
    <x v="1"/>
    <x v="147"/>
    <d v="2024-06-28T00:00:00"/>
    <n v="52579.199999999997"/>
    <n v="8243.2000000000007"/>
    <n v="7880"/>
    <n v="504.99200000000002"/>
    <n v="1866.64"/>
    <x v="4"/>
    <x v="1"/>
    <x v="0"/>
    <n v="0.15677682429553899"/>
    <n v="0.95593944099378902"/>
    <n v="6.1261645962732897E-2"/>
    <n v="6.4085279187817298E-2"/>
    <n v="2.6963753881249599"/>
    <n v="3.6963753881249599"/>
  </r>
  <r>
    <s v="CMP583"/>
    <s v="Flash Sale Frenzy"/>
    <x v="0"/>
    <x v="240"/>
    <d v="2024-07-27T00:00:00"/>
    <n v="78604.800000000003"/>
    <n v="59464"/>
    <n v="41614.400000000001"/>
    <n v="338.43200000000002"/>
    <n v="1218.7360000000001"/>
    <x v="3"/>
    <x v="3"/>
    <x v="1"/>
    <n v="0.75649324214297298"/>
    <n v="0.69982510426476496"/>
    <n v="5.6913762949011197E-3"/>
    <n v="8.1325694951747494E-3"/>
    <n v="2.6011251891074099"/>
    <n v="3.6011251891074099"/>
  </r>
  <r>
    <s v="CMP584"/>
    <s v="Wishlist Wonders"/>
    <x v="0"/>
    <x v="61"/>
    <d v="2024-03-08T00:00:00"/>
    <n v="5579.2"/>
    <n v="2048"/>
    <n v="969.6"/>
    <n v="2533.0079999999998"/>
    <n v="4315.3599999999997"/>
    <x v="4"/>
    <x v="4"/>
    <x v="1"/>
    <n v="0.36707771723544602"/>
    <n v="0.47343750000000001"/>
    <n v="1.2368203124999999"/>
    <n v="2.6124257425742599"/>
    <n v="0.70365036352036803"/>
    <n v="1.7036503635203699"/>
  </r>
  <r>
    <s v="CMP585"/>
    <s v="Deal of the Day"/>
    <x v="3"/>
    <x v="233"/>
    <d v="2024-06-15T00:00:00"/>
    <n v="35622.400000000001"/>
    <n v="19496"/>
    <n v="4585.6000000000004"/>
    <n v="1336.192"/>
    <n v="5298.6239999999998"/>
    <x v="2"/>
    <x v="3"/>
    <x v="0"/>
    <n v="0.54729608336327695"/>
    <n v="0.23520722199425501"/>
    <n v="6.8536725482150201E-2"/>
    <n v="0.29138869504535903"/>
    <n v="2.9654660408085101"/>
    <n v="3.9654660408085101"/>
  </r>
  <r>
    <s v="CMP586"/>
    <s v="Wishlist Wonders"/>
    <x v="1"/>
    <x v="157"/>
    <d v="2024-10-12T00:00:00"/>
    <n v="52876.800000000003"/>
    <n v="6836.8"/>
    <n v="1654.4"/>
    <n v="551.45600000000002"/>
    <n v="2103.808"/>
    <x v="0"/>
    <x v="0"/>
    <x v="0"/>
    <n v="0.129296780440571"/>
    <n v="0.24198455417739301"/>
    <n v="8.0659957875029206E-2"/>
    <n v="0.33332688588007697"/>
    <n v="2.81500609296118"/>
    <n v="3.81500609296118"/>
  </r>
  <r>
    <s v="CMP587"/>
    <s v="Wishlist Wonders"/>
    <x v="2"/>
    <x v="261"/>
    <d v="2024-10-14T00:00:00"/>
    <n v="66576"/>
    <n v="7257.6"/>
    <n v="1838.4"/>
    <n v="3043.5360000000001"/>
    <n v="3849.6480000000001"/>
    <x v="3"/>
    <x v="3"/>
    <x v="0"/>
    <n v="0.10901225666907"/>
    <n v="0.25330687830687798"/>
    <n v="0.41935846560846601"/>
    <n v="1.65553524804178"/>
    <n v="0.26486034664942398"/>
    <n v="1.2648603466494199"/>
  </r>
  <r>
    <s v="CMP588"/>
    <s v="Seasonal Steals"/>
    <x v="3"/>
    <x v="61"/>
    <d v="2024-02-12T00:00:00"/>
    <n v="48296"/>
    <n v="21472"/>
    <n v="7190.4"/>
    <n v="1934.816"/>
    <n v="5266.4960000000001"/>
    <x v="2"/>
    <x v="4"/>
    <x v="0"/>
    <n v="0.44459168461156201"/>
    <n v="0.33487332339791398"/>
    <n v="9.0108792846497796E-2"/>
    <n v="0.26908322207387603"/>
    <n v="1.7219621917536301"/>
    <n v="2.7219621917536299"/>
  </r>
  <r>
    <s v="CMP589"/>
    <s v="Cart to Couch"/>
    <x v="2"/>
    <x v="98"/>
    <d v="2024-10-08T00:00:00"/>
    <n v="27350.400000000001"/>
    <n v="1340.8"/>
    <n v="190.4"/>
    <n v="6970.4160000000002"/>
    <n v="20544.16"/>
    <x v="0"/>
    <x v="1"/>
    <x v="1"/>
    <n v="4.9023049023048999E-2"/>
    <n v="0.14200477326968999"/>
    <n v="5.1986992840095496"/>
    <n v="36.609327731092399"/>
    <n v="1.94733628523749"/>
    <n v="2.94733628523749"/>
  </r>
  <r>
    <s v="CMP590"/>
    <s v="Deal of the Day"/>
    <x v="2"/>
    <x v="208"/>
    <d v="2024-06-08T00:00:00"/>
    <n v="50572.800000000003"/>
    <n v="37582.400000000001"/>
    <n v="20268.8"/>
    <n v="5281.92"/>
    <n v="8696.3680000000004"/>
    <x v="2"/>
    <x v="4"/>
    <x v="1"/>
    <n v="0.74313464945583396"/>
    <n v="0.53931627570352103"/>
    <n v="0.140542381540295"/>
    <n v="0.260593621724029"/>
    <n v="0.64644068823458101"/>
    <n v="1.6464406882345799"/>
  </r>
  <r>
    <s v="CMP591"/>
    <s v="Seasonal Steals"/>
    <x v="3"/>
    <x v="180"/>
    <d v="2024-09-18T00:00:00"/>
    <n v="76459.199999999997"/>
    <n v="47272"/>
    <n v="10160"/>
    <n v="4450.8159999999998"/>
    <n v="8475.92"/>
    <x v="1"/>
    <x v="2"/>
    <x v="1"/>
    <n v="0.61826438152635699"/>
    <n v="0.214926383482823"/>
    <n v="9.4153325435775898E-2"/>
    <n v="0.43807244094488201"/>
    <n v="0.90435192108593099"/>
    <n v="1.9043519210859301"/>
  </r>
  <r>
    <s v="CMP592"/>
    <s v="Shop &amp; Share"/>
    <x v="3"/>
    <x v="118"/>
    <d v="2024-08-17T00:00:00"/>
    <n v="24260.799999999999"/>
    <n v="12897.6"/>
    <n v="6841.6"/>
    <n v="4297.5519999999997"/>
    <n v="8296.2720000000008"/>
    <x v="1"/>
    <x v="3"/>
    <x v="1"/>
    <n v="0.53162302974345499"/>
    <n v="0.53045527850142704"/>
    <n v="0.33320555762312398"/>
    <n v="0.62815014031805405"/>
    <n v="0.93046459938122905"/>
    <n v="1.9304645993812299"/>
  </r>
  <r>
    <s v="CMP593"/>
    <s v="Cart to Couch"/>
    <x v="2"/>
    <x v="145"/>
    <d v="2024-07-31T00:00:00"/>
    <n v="78774.399999999994"/>
    <n v="18761.599999999999"/>
    <n v="9460.7999999999993"/>
    <n v="6215.3280000000004"/>
    <n v="13591.567999999999"/>
    <x v="3"/>
    <x v="0"/>
    <x v="0"/>
    <n v="0.23816874517609801"/>
    <n v="0.504264028654273"/>
    <n v="0.33127920859628202"/>
    <n v="0.65695585996955896"/>
    <n v="1.1867820974210901"/>
    <n v="2.1867820974210801"/>
  </r>
  <r>
    <s v="CMP594"/>
    <s v="Flash Sale Frenzy"/>
    <x v="3"/>
    <x v="262"/>
    <d v="2024-08-31T00:00:00"/>
    <n v="49697.599999999999"/>
    <n v="20097.599999999999"/>
    <n v="6891.2"/>
    <n v="1814.7840000000001"/>
    <n v="3931.12"/>
    <x v="2"/>
    <x v="1"/>
    <x v="1"/>
    <n v="0.40439779788158797"/>
    <n v="0.34288671284133398"/>
    <n v="9.0298543109624999E-2"/>
    <n v="0.26334803807754797"/>
    <n v="1.16616412752151"/>
    <n v="2.16616412752151"/>
  </r>
  <r>
    <s v="CMP595"/>
    <s v="Cart to Couch"/>
    <x v="0"/>
    <x v="89"/>
    <d v="2024-02-17T00:00:00"/>
    <n v="44283.199999999997"/>
    <n v="20433.599999999999"/>
    <n v="16508.8"/>
    <n v="1879.4880000000001"/>
    <n v="4515.6480000000001"/>
    <x v="1"/>
    <x v="0"/>
    <x v="0"/>
    <n v="0.46143006828774802"/>
    <n v="0.80792420327304004"/>
    <n v="9.1980267794221304E-2"/>
    <n v="0.113847644892421"/>
    <n v="1.40259474920829"/>
    <n v="2.4025947492082902"/>
  </r>
  <r>
    <s v="CMP596"/>
    <s v="Cart to Couch"/>
    <x v="0"/>
    <x v="60"/>
    <d v="2024-09-14T00:00:00"/>
    <n v="50025.599999999999"/>
    <n v="47075.199999999997"/>
    <n v="14382.4"/>
    <n v="5438.4"/>
    <n v="16682.784"/>
    <x v="0"/>
    <x v="3"/>
    <x v="1"/>
    <n v="0.94102219663532305"/>
    <n v="0.30551967915165501"/>
    <n v="0.115525797022636"/>
    <n v="0.37812882411836701"/>
    <n v="2.06759046778464"/>
    <n v="3.06759046778464"/>
  </r>
  <r>
    <s v="CMP597"/>
    <s v="Deal of the Day"/>
    <x v="2"/>
    <x v="115"/>
    <d v="2024-07-02T00:00:00"/>
    <n v="62193.599999999999"/>
    <n v="52016"/>
    <n v="21488"/>
    <n v="1460.992"/>
    <n v="1969.152"/>
    <x v="3"/>
    <x v="4"/>
    <x v="0"/>
    <n v="0.83635615240153305"/>
    <n v="0.413103660412181"/>
    <n v="2.80873577360812E-2"/>
    <n v="6.7991064780342503E-2"/>
    <n v="0.34781846854739801"/>
    <n v="1.3478184685474"/>
  </r>
  <r>
    <s v="CMP598"/>
    <s v="Shop &amp; Share"/>
    <x v="1"/>
    <x v="263"/>
    <d v="2024-05-09T00:00:00"/>
    <n v="67654.399999999994"/>
    <n v="60953.599999999999"/>
    <n v="54105.599999999999"/>
    <n v="6103.232"/>
    <n v="13748.464"/>
    <x v="1"/>
    <x v="4"/>
    <x v="0"/>
    <n v="0.90095544413962703"/>
    <n v="0.88765224695506095"/>
    <n v="0.10012914741705201"/>
    <n v="0.112802223799385"/>
    <n v="1.25265302056353"/>
    <n v="2.25265302056353"/>
  </r>
  <r>
    <s v="CMP599"/>
    <s v="Shop &amp; Share"/>
    <x v="3"/>
    <x v="264"/>
    <d v="2024-08-25T00:00:00"/>
    <n v="9417.6"/>
    <n v="8187.2"/>
    <n v="4507.2"/>
    <n v="1973.6959999999999"/>
    <n v="4285.04"/>
    <x v="1"/>
    <x v="2"/>
    <x v="1"/>
    <n v="0.86935100237852503"/>
    <n v="0.55051788157123305"/>
    <n v="0.241070940003909"/>
    <n v="0.43789847355342598"/>
    <n v="1.17107396478485"/>
    <n v="2.17107396478485"/>
  </r>
  <r>
    <s v="CMP600"/>
    <s v="Wishlist Wonders"/>
    <x v="0"/>
    <x v="265"/>
    <d v="2024-09-07T00:00:00"/>
    <n v="30297.599999999999"/>
    <n v="13033.6"/>
    <n v="2142.4"/>
    <n v="193.55199999999999"/>
    <n v="699.71199999999999"/>
    <x v="0"/>
    <x v="3"/>
    <x v="0"/>
    <n v="0.43018588931136498"/>
    <n v="0.16437515344954601"/>
    <n v="1.4850233243309601E-2"/>
    <n v="9.0343539955190399E-2"/>
    <n v="2.6151111845912198"/>
    <n v="3.6151111845912198"/>
  </r>
  <r>
    <s v="CMP601"/>
    <s v="Wishlist Wonders"/>
    <x v="0"/>
    <x v="124"/>
    <d v="2024-08-03T00:00:00"/>
    <n v="48833.599999999999"/>
    <n v="46441.599999999999"/>
    <n v="34593.599999999999"/>
    <n v="432.75200000000001"/>
    <n v="732.16"/>
    <x v="2"/>
    <x v="1"/>
    <x v="0"/>
    <n v="0.951017332328561"/>
    <n v="0.74488389719561798"/>
    <n v="9.3181974781230605E-3"/>
    <n v="1.25095971509181E-2"/>
    <n v="0.69186970828557703"/>
    <n v="1.69186970828558"/>
  </r>
  <r>
    <s v="CMP602"/>
    <s v="Cart to Couch"/>
    <x v="0"/>
    <x v="260"/>
    <d v="2024-09-12T00:00:00"/>
    <n v="19232"/>
    <n v="6916.8"/>
    <n v="4961.6000000000004"/>
    <n v="2413.5839999999998"/>
    <n v="5527.6"/>
    <x v="0"/>
    <x v="1"/>
    <x v="1"/>
    <n v="0.35965058236272901"/>
    <n v="0.71732593106638898"/>
    <n v="0.34894517696044403"/>
    <n v="0.486452757175105"/>
    <n v="1.29020411139616"/>
    <n v="2.29020411139616"/>
  </r>
  <r>
    <s v="CMP603"/>
    <s v="Deal of the Day"/>
    <x v="3"/>
    <x v="266"/>
    <d v="2024-05-11T00:00:00"/>
    <n v="74945.600000000006"/>
    <n v="22758.400000000001"/>
    <n v="388.8"/>
    <n v="5590.32"/>
    <n v="6868.576"/>
    <x v="0"/>
    <x v="3"/>
    <x v="1"/>
    <n v="0.30366559210947702"/>
    <n v="1.7083802024746901E-2"/>
    <n v="0.24563765466816601"/>
    <n v="14.3783950617284"/>
    <n v="0.22865524692683101"/>
    <n v="1.2286552469268299"/>
  </r>
  <r>
    <s v="CMP604"/>
    <s v="Wishlist Wonders"/>
    <x v="0"/>
    <x v="71"/>
    <d v="2024-06-23T00:00:00"/>
    <n v="7739.2"/>
    <n v="5251.2"/>
    <n v="4955.2"/>
    <n v="6917.4880000000003"/>
    <n v="17227.552"/>
    <x v="4"/>
    <x v="3"/>
    <x v="0"/>
    <n v="0.67851974364275403"/>
    <n v="0.94363193174893401"/>
    <n v="1.3173156611822101"/>
    <n v="1.3960058120762"/>
    <n v="1.49043467802185"/>
    <n v="2.4904346780218498"/>
  </r>
  <r>
    <s v="CMP605"/>
    <s v="Shop &amp; Share"/>
    <x v="2"/>
    <x v="196"/>
    <d v="2024-10-20T00:00:00"/>
    <n v="47798.400000000001"/>
    <n v="22360"/>
    <n v="18488"/>
    <n v="228.816"/>
    <n v="690.30399999999997"/>
    <x v="1"/>
    <x v="3"/>
    <x v="0"/>
    <n v="0.46779808529155797"/>
    <n v="0.82683363148479405"/>
    <n v="1.02332737030411E-2"/>
    <n v="1.2376460406750301E-2"/>
    <n v="2.0168519683938202"/>
    <n v="3.0168519683938202"/>
  </r>
  <r>
    <s v="CMP606"/>
    <s v="Cart to Couch"/>
    <x v="3"/>
    <x v="28"/>
    <d v="2024-02-09T00:00:00"/>
    <n v="51528"/>
    <n v="3718.4"/>
    <n v="1126.4000000000001"/>
    <n v="1793.5360000000001"/>
    <n v="4850.7839999999997"/>
    <x v="0"/>
    <x v="1"/>
    <x v="0"/>
    <n v="7.2162707654090996E-2"/>
    <n v="0.30292598967297801"/>
    <n v="0.48234079173838201"/>
    <n v="1.5922727272727299"/>
    <n v="1.7045924921495901"/>
    <n v="2.7045924921495899"/>
  </r>
  <r>
    <s v="CMP607"/>
    <s v="Seasonal Steals"/>
    <x v="2"/>
    <x v="267"/>
    <d v="2024-04-14T00:00:00"/>
    <n v="66640"/>
    <n v="63190.400000000001"/>
    <n v="46798.400000000001"/>
    <n v="6808.848"/>
    <n v="15655.056"/>
    <x v="0"/>
    <x v="4"/>
    <x v="0"/>
    <n v="0.94823529411764695"/>
    <n v="0.74059350787461398"/>
    <n v="0.107751303995544"/>
    <n v="0.14549317925399199"/>
    <n v="1.29922242352891"/>
    <n v="2.29922242352891"/>
  </r>
  <r>
    <s v="CMP608"/>
    <s v="Cart to Couch"/>
    <x v="2"/>
    <x v="261"/>
    <d v="2024-10-09T00:00:00"/>
    <n v="9892.7999999999993"/>
    <n v="3185.6"/>
    <n v="3172.8"/>
    <n v="492.11200000000002"/>
    <n v="1847.808"/>
    <x v="4"/>
    <x v="1"/>
    <x v="1"/>
    <n v="0.32201196830017798"/>
    <n v="0.99598191863385199"/>
    <n v="0.15448016072325499"/>
    <n v="0.15510337871911201"/>
    <n v="2.7548525538901698"/>
    <n v="3.7548525538901698"/>
  </r>
  <r>
    <s v="CMP609"/>
    <s v="Wishlist Wonders"/>
    <x v="0"/>
    <x v="37"/>
    <d v="2024-11-01T00:00:00"/>
    <n v="75227.199999999997"/>
    <n v="60104"/>
    <n v="56713.599999999999"/>
    <n v="6119.9359999999997"/>
    <n v="8622.0480000000007"/>
    <x v="2"/>
    <x v="0"/>
    <x v="1"/>
    <n v="0.79896633132696704"/>
    <n v="0.94359110874484198"/>
    <n v="0.10182244110209"/>
    <n v="0.107909496134966"/>
    <n v="0.40884610558018902"/>
    <n v="1.40884610558019"/>
  </r>
  <r>
    <s v="CMP610"/>
    <s v="Wishlist Wonders"/>
    <x v="2"/>
    <x v="2"/>
    <d v="2024-04-13T00:00:00"/>
    <n v="6395.2"/>
    <n v="841.6"/>
    <n v="723.2"/>
    <n v="6591.9359999999997"/>
    <n v="12072.608"/>
    <x v="2"/>
    <x v="4"/>
    <x v="0"/>
    <n v="0.13159869902426799"/>
    <n v="0.85931558935361196"/>
    <n v="7.8326235741444901"/>
    <n v="9.1149557522123903"/>
    <n v="0.83142069340478997"/>
    <n v="1.8314206934047901"/>
  </r>
  <r>
    <s v="CMP611"/>
    <s v="Cart to Couch"/>
    <x v="0"/>
    <x v="112"/>
    <d v="2024-10-08T00:00:00"/>
    <n v="5278.4"/>
    <n v="3059.2"/>
    <n v="596.79999999999995"/>
    <n v="7612.9440000000004"/>
    <n v="24034.175999999999"/>
    <x v="3"/>
    <x v="2"/>
    <x v="0"/>
    <n v="0.579569566535314"/>
    <n v="0.19508368200836801"/>
    <n v="2.4885407949790799"/>
    <n v="12.756273458444999"/>
    <n v="2.1570146844637201"/>
    <n v="3.1570146844637201"/>
  </r>
  <r>
    <s v="CMP612"/>
    <s v="Seasonal Steals"/>
    <x v="0"/>
    <x v="268"/>
    <d v="2024-09-22T00:00:00"/>
    <n v="70284.800000000003"/>
    <n v="43523.199999999997"/>
    <n v="11120"/>
    <n v="1035.3599999999999"/>
    <n v="3716.64"/>
    <x v="3"/>
    <x v="0"/>
    <x v="0"/>
    <n v="0.61924057548716105"/>
    <n v="0.25549591941769001"/>
    <n v="2.37886920079406E-2"/>
    <n v="9.3107913669064707E-2"/>
    <n v="2.5897079276773298"/>
    <n v="3.5897079276773298"/>
  </r>
  <r>
    <s v="CMP613"/>
    <s v="Cart to Couch"/>
    <x v="0"/>
    <x v="62"/>
    <d v="2024-04-22T00:00:00"/>
    <n v="73761.600000000006"/>
    <n v="25792"/>
    <n v="24803.200000000001"/>
    <n v="4648.4799999999996"/>
    <n v="10043.951999999999"/>
    <x v="4"/>
    <x v="0"/>
    <x v="0"/>
    <n v="0.34966703542222499"/>
    <n v="0.96166253101736998"/>
    <n v="0.18022952853598001"/>
    <n v="0.187414527157786"/>
    <n v="1.1606959694351699"/>
    <n v="2.1606959694351699"/>
  </r>
  <r>
    <s v="CMP614"/>
    <s v="Deal of the Day"/>
    <x v="0"/>
    <x v="194"/>
    <d v="2024-02-02T00:00:00"/>
    <n v="16566.400000000001"/>
    <n v="5376"/>
    <n v="1188.8"/>
    <n v="7623.68"/>
    <n v="19969.84"/>
    <x v="4"/>
    <x v="2"/>
    <x v="0"/>
    <n v="0.32451226579099901"/>
    <n v="0.22113095238095201"/>
    <n v="1.4180952380952401"/>
    <n v="6.4129205921938102"/>
    <n v="1.61944887508395"/>
    <n v="2.61944887508395"/>
  </r>
  <r>
    <s v="CMP615"/>
    <s v="Deal of the Day"/>
    <x v="0"/>
    <x v="61"/>
    <d v="2024-02-14T00:00:00"/>
    <n v="11435.2"/>
    <n v="752"/>
    <n v="144"/>
    <n v="4725.3280000000004"/>
    <n v="13056.16"/>
    <x v="0"/>
    <x v="1"/>
    <x v="0"/>
    <n v="6.5761858122289102E-2"/>
    <n v="0.19148936170212799"/>
    <n v="6.2836808510638296"/>
    <n v="32.814777777777799"/>
    <n v="1.7630166625470201"/>
    <n v="2.7630166625470198"/>
  </r>
  <r>
    <s v="CMP616"/>
    <s v="Shop &amp; Share"/>
    <x v="1"/>
    <x v="5"/>
    <d v="2024-09-18T00:00:00"/>
    <n v="14152"/>
    <n v="7579.2"/>
    <n v="7424"/>
    <n v="6848.768"/>
    <n v="20385.599999999999"/>
    <x v="0"/>
    <x v="3"/>
    <x v="0"/>
    <n v="0.53555681175805503"/>
    <n v="0.97952290479206205"/>
    <n v="0.903626767996622"/>
    <n v="0.92251724137931002"/>
    <n v="1.97653534183082"/>
    <n v="2.9765353418308198"/>
  </r>
  <r>
    <s v="CMP617"/>
    <s v="Seasonal Steals"/>
    <x v="3"/>
    <x v="52"/>
    <d v="2024-02-06T00:00:00"/>
    <n v="50417.599999999999"/>
    <n v="48544"/>
    <n v="38827.199999999997"/>
    <n v="6603.3760000000002"/>
    <n v="18019.664000000001"/>
    <x v="0"/>
    <x v="1"/>
    <x v="1"/>
    <n v="0.96283837390117699"/>
    <n v="0.79983520105471295"/>
    <n v="0.13602867501648"/>
    <n v="0.170070878147278"/>
    <n v="1.7288562698837699"/>
    <n v="2.7288562698837699"/>
  </r>
  <r>
    <s v="CMP618"/>
    <s v="Cart to Couch"/>
    <x v="3"/>
    <x v="182"/>
    <d v="2024-07-21T00:00:00"/>
    <n v="29324.799999999999"/>
    <n v="11240"/>
    <n v="3873.6"/>
    <n v="2217.1840000000002"/>
    <n v="6623.0240000000003"/>
    <x v="2"/>
    <x v="1"/>
    <x v="0"/>
    <n v="0.38329332169358399"/>
    <n v="0.34462633451957297"/>
    <n v="0.197258362989324"/>
    <n v="0.57238331268071097"/>
    <n v="1.9871332284555501"/>
    <n v="2.9871332284555501"/>
  </r>
  <r>
    <s v="CMP619"/>
    <s v="Cart to Couch"/>
    <x v="2"/>
    <x v="217"/>
    <d v="2024-07-01T00:00:00"/>
    <n v="53280"/>
    <n v="14371.2"/>
    <n v="9627.2000000000007"/>
    <n v="7992.7039999999997"/>
    <n v="22944.096000000001"/>
    <x v="3"/>
    <x v="3"/>
    <x v="1"/>
    <n v="0.26972972972972997"/>
    <n v="0.66989534624805203"/>
    <n v="0.55616121131151197"/>
    <n v="0.83022104038557398"/>
    <n v="1.8706300145732899"/>
    <n v="2.8706300145732899"/>
  </r>
  <r>
    <s v="CMP620"/>
    <s v="Flash Sale Frenzy"/>
    <x v="0"/>
    <x v="51"/>
    <d v="2024-08-18T00:00:00"/>
    <n v="43267.199999999997"/>
    <n v="23708.799999999999"/>
    <n v="6939.2"/>
    <n v="2028.6880000000001"/>
    <n v="3229.8719999999998"/>
    <x v="1"/>
    <x v="3"/>
    <x v="0"/>
    <n v="0.54796242881443702"/>
    <n v="0.29268457281684401"/>
    <n v="8.5566878121203893E-2"/>
    <n v="0.29235185612174303"/>
    <n v="0.59209893290639104"/>
    <n v="1.5920989329063899"/>
  </r>
  <r>
    <s v="CMP621"/>
    <s v="Cart to Couch"/>
    <x v="0"/>
    <x v="11"/>
    <d v="2024-10-24T00:00:00"/>
    <n v="61040"/>
    <n v="21395.200000000001"/>
    <n v="21392"/>
    <n v="2866.5279999999998"/>
    <n v="7534.4"/>
    <x v="3"/>
    <x v="2"/>
    <x v="0"/>
    <n v="0.35051114023591101"/>
    <n v="0.99985043374214799"/>
    <n v="0.133979958121448"/>
    <n v="0.13400000000000001"/>
    <n v="1.6284062112772"/>
    <n v="2.6284062112772002"/>
  </r>
  <r>
    <s v="CMP622"/>
    <s v="Wishlist Wonders"/>
    <x v="1"/>
    <x v="76"/>
    <d v="2024-09-30T00:00:00"/>
    <n v="27355.200000000001"/>
    <n v="24390.400000000001"/>
    <n v="6043.2"/>
    <n v="2654.6880000000001"/>
    <n v="4073.92"/>
    <x v="4"/>
    <x v="2"/>
    <x v="0"/>
    <n v="0.89161841258700403"/>
    <n v="0.247769614274469"/>
    <n v="0.10884151141432701"/>
    <n v="0.43928514694201698"/>
    <n v="0.53461348376909101"/>
    <n v="1.5346134837690899"/>
  </r>
  <r>
    <s v="CMP623"/>
    <s v="Wishlist Wonders"/>
    <x v="2"/>
    <x v="74"/>
    <d v="2024-07-24T00:00:00"/>
    <n v="61400"/>
    <n v="14126.4"/>
    <n v="1406.4"/>
    <n v="4056.288"/>
    <n v="14281.152"/>
    <x v="4"/>
    <x v="0"/>
    <x v="1"/>
    <n v="0.230071661237785"/>
    <n v="9.9558273870200498E-2"/>
    <n v="0.287142371729528"/>
    <n v="2.8841638225256001"/>
    <n v="2.5207440891771"/>
    <n v="3.5207440891771"/>
  </r>
  <r>
    <s v="CMP624"/>
    <s v="Wishlist Wonders"/>
    <x v="1"/>
    <x v="269"/>
    <d v="2024-04-03T00:00:00"/>
    <n v="66080"/>
    <n v="45185.599999999999"/>
    <n v="17622.400000000001"/>
    <n v="5524.5919999999996"/>
    <n v="12748.928"/>
    <x v="2"/>
    <x v="2"/>
    <x v="1"/>
    <n v="0.68380145278450399"/>
    <n v="0.39000035409511002"/>
    <n v="0.12226443822810799"/>
    <n v="0.313498274922825"/>
    <n v="1.3076686930003201"/>
    <n v="2.3076686930003198"/>
  </r>
  <r>
    <s v="CMP625"/>
    <s v="Flash Sale Frenzy"/>
    <x v="1"/>
    <x v="270"/>
    <d v="2024-02-19T00:00:00"/>
    <n v="25992"/>
    <n v="13489.6"/>
    <n v="7430.4"/>
    <n v="1725.2639999999999"/>
    <n v="3232.48"/>
    <x v="3"/>
    <x v="3"/>
    <x v="1"/>
    <n v="0.51899045860264703"/>
    <n v="0.55082433874985204"/>
    <n v="0.12789586051476701"/>
    <n v="0.23218992248062001"/>
    <n v="0.87361470476402503"/>
    <n v="1.8736147047640199"/>
  </r>
  <r>
    <s v="CMP626"/>
    <s v="Flash Sale Frenzy"/>
    <x v="0"/>
    <x v="14"/>
    <d v="2024-08-12T00:00:00"/>
    <n v="77516.800000000003"/>
    <n v="32158.400000000001"/>
    <n v="4406.3999999999996"/>
    <n v="3541.4879999999998"/>
    <n v="12685.616"/>
    <x v="2"/>
    <x v="4"/>
    <x v="0"/>
    <n v="0.414857166446499"/>
    <n v="0.13702174237524301"/>
    <n v="0.11012637444649"/>
    <n v="0.803714596949891"/>
    <n v="2.58200168968524"/>
    <n v="3.58200168968524"/>
  </r>
  <r>
    <s v="CMP627"/>
    <s v="Flash Sale Frenzy"/>
    <x v="0"/>
    <x v="148"/>
    <d v="2024-01-29T00:00:00"/>
    <n v="65166.400000000001"/>
    <n v="19340.8"/>
    <n v="4035.2"/>
    <n v="2040"/>
    <n v="6681.7920000000004"/>
    <x v="1"/>
    <x v="1"/>
    <x v="0"/>
    <n v="0.29679098431093298"/>
    <n v="0.20863666446062201"/>
    <n v="0.105476505625414"/>
    <n v="0.50555114988104699"/>
    <n v="2.2753882352941202"/>
    <n v="3.2753882352941202"/>
  </r>
  <r>
    <s v="CMP628"/>
    <s v="Seasonal Steals"/>
    <x v="1"/>
    <x v="271"/>
    <d v="2024-04-28T00:00:00"/>
    <n v="71761.600000000006"/>
    <n v="39147.199999999997"/>
    <n v="25500.799999999999"/>
    <n v="2274"/>
    <n v="3706.5920000000001"/>
    <x v="0"/>
    <x v="3"/>
    <x v="0"/>
    <n v="0.54551737976856696"/>
    <n v="0.65140801896431899"/>
    <n v="5.8088445661503299E-2"/>
    <n v="8.91736729828084E-2"/>
    <n v="0.62998768689533902"/>
    <n v="1.62998768689534"/>
  </r>
  <r>
    <s v="CMP629"/>
    <s v="Cart to Couch"/>
    <x v="2"/>
    <x v="45"/>
    <d v="2024-06-30T00:00:00"/>
    <n v="54220.800000000003"/>
    <n v="44814.400000000001"/>
    <n v="43588.800000000003"/>
    <n v="7394.4960000000001"/>
    <n v="21912.592000000001"/>
    <x v="4"/>
    <x v="0"/>
    <x v="1"/>
    <n v="0.82651676109537298"/>
    <n v="0.97265164768467305"/>
    <n v="0.16500267771073601"/>
    <n v="0.169642109899791"/>
    <n v="1.9633651840504101"/>
    <n v="2.9633651840504101"/>
  </r>
  <r>
    <s v="CMP630"/>
    <s v="Shop &amp; Share"/>
    <x v="3"/>
    <x v="233"/>
    <d v="2024-06-10T00:00:00"/>
    <n v="51761.599999999999"/>
    <n v="32537.599999999999"/>
    <n v="6310.4"/>
    <n v="7819.5839999999998"/>
    <n v="20090.864000000001"/>
    <x v="0"/>
    <x v="0"/>
    <x v="0"/>
    <n v="0.62860498902661399"/>
    <n v="0.193941778127459"/>
    <n v="0.24032454760031499"/>
    <n v="1.2391582150101399"/>
    <n v="1.5693008732945399"/>
    <n v="2.5693008732945399"/>
  </r>
  <r>
    <s v="CMP631"/>
    <s v="Shop &amp; Share"/>
    <x v="2"/>
    <x v="53"/>
    <d v="2024-06-27T00:00:00"/>
    <n v="17262.400000000001"/>
    <n v="5505.6"/>
    <n v="2284.8000000000002"/>
    <n v="3444.0160000000001"/>
    <n v="9100.2880000000005"/>
    <x v="1"/>
    <x v="3"/>
    <x v="0"/>
    <n v="0.31893595328575403"/>
    <n v="0.414995640802092"/>
    <n v="0.62554780587038605"/>
    <n v="1.50735994397759"/>
    <n v="1.64234777074206"/>
    <n v="2.64234777074206"/>
  </r>
  <r>
    <s v="CMP632"/>
    <s v="Seasonal Steals"/>
    <x v="0"/>
    <x v="86"/>
    <d v="2024-08-26T00:00:00"/>
    <n v="14865.6"/>
    <n v="12812.8"/>
    <n v="9662.4"/>
    <n v="4096.0320000000002"/>
    <n v="15717.824000000001"/>
    <x v="0"/>
    <x v="2"/>
    <x v="1"/>
    <n v="0.86190937466365303"/>
    <n v="0.754120879120879"/>
    <n v="0.31968281718281699"/>
    <n v="0.42391455538996498"/>
    <n v="2.8373293958640899"/>
    <n v="3.8373293958640899"/>
  </r>
  <r>
    <s v="CMP633"/>
    <s v="Seasonal Steals"/>
    <x v="0"/>
    <x v="80"/>
    <d v="2024-10-29T00:00:00"/>
    <n v="38851.199999999997"/>
    <n v="15032"/>
    <n v="7126.4"/>
    <n v="5416.4960000000001"/>
    <n v="15555.92"/>
    <x v="3"/>
    <x v="2"/>
    <x v="0"/>
    <n v="0.38691211597067798"/>
    <n v="0.474081958488558"/>
    <n v="0.36033102714209703"/>
    <n v="0.76006061966771399"/>
    <n v="1.87195264244633"/>
    <n v="2.8719526424463302"/>
  </r>
  <r>
    <s v="CMP634"/>
    <s v="Wishlist Wonders"/>
    <x v="1"/>
    <x v="232"/>
    <d v="2024-10-26T00:00:00"/>
    <n v="34542.400000000001"/>
    <n v="33427.199999999997"/>
    <n v="5947.2"/>
    <n v="6491.1679999999997"/>
    <n v="9072.3359999999993"/>
    <x v="2"/>
    <x v="0"/>
    <x v="1"/>
    <n v="0.96771504006670095"/>
    <n v="0.17791499138426201"/>
    <n v="0.19418820601187101"/>
    <n v="1.091466236212"/>
    <n v="0.397643074405099"/>
    <n v="1.3976430744051"/>
  </r>
  <r>
    <s v="CMP635"/>
    <s v="Seasonal Steals"/>
    <x v="0"/>
    <x v="248"/>
    <d v="2024-05-14T00:00:00"/>
    <n v="30164.799999999999"/>
    <n v="25083.200000000001"/>
    <n v="19644.8"/>
    <n v="3813.152"/>
    <n v="12250.224"/>
    <x v="2"/>
    <x v="3"/>
    <x v="1"/>
    <n v="0.83153874714899501"/>
    <n v="0.78318555846144"/>
    <n v="0.15202015691777801"/>
    <n v="0.194104903078677"/>
    <n v="2.2126240968101998"/>
    <n v="3.2126240968101998"/>
  </r>
  <r>
    <s v="CMP636"/>
    <s v="Flash Sale Frenzy"/>
    <x v="2"/>
    <x v="272"/>
    <d v="2024-10-19T00:00:00"/>
    <n v="34304"/>
    <n v="30297.599999999999"/>
    <n v="1403.2"/>
    <n v="3539.328"/>
    <n v="5777.0079999999998"/>
    <x v="1"/>
    <x v="1"/>
    <x v="1"/>
    <n v="0.88320895522388099"/>
    <n v="4.6313899450781598E-2"/>
    <n v="0.11681875792142001"/>
    <n v="2.5223261117445799"/>
    <n v="0.63223301146432298"/>
    <n v="1.63223301146432"/>
  </r>
  <r>
    <s v="CMP637"/>
    <s v="Flash Sale Frenzy"/>
    <x v="1"/>
    <x v="0"/>
    <d v="2024-03-31T00:00:00"/>
    <n v="48425.599999999999"/>
    <n v="8689.6"/>
    <n v="5187.2"/>
    <n v="2440.8000000000002"/>
    <n v="8182.1440000000002"/>
    <x v="4"/>
    <x v="4"/>
    <x v="0"/>
    <n v="0.17944227846428301"/>
    <n v="0.59694347265696901"/>
    <n v="0.28088749769839799"/>
    <n v="0.47054287476866102"/>
    <n v="2.3522386102917099"/>
    <n v="3.3522386102917099"/>
  </r>
  <r>
    <s v="CMP638"/>
    <s v="Deal of the Day"/>
    <x v="1"/>
    <x v="10"/>
    <d v="2024-01-24T00:00:00"/>
    <n v="69713.600000000006"/>
    <n v="64166.400000000001"/>
    <n v="56886.400000000001"/>
    <n v="6011.0559999999996"/>
    <n v="11669.263999999999"/>
    <x v="3"/>
    <x v="3"/>
    <x v="1"/>
    <n v="0.92042872552844801"/>
    <n v="0.88654498304408502"/>
    <n v="9.3679184121284606E-2"/>
    <n v="0.105667716712606"/>
    <n v="0.94130016423071095"/>
    <n v="1.9413001642307099"/>
  </r>
  <r>
    <s v="CMP639"/>
    <s v="Flash Sale Frenzy"/>
    <x v="3"/>
    <x v="250"/>
    <d v="2024-07-16T00:00:00"/>
    <n v="73529.600000000006"/>
    <n v="46811.199999999997"/>
    <n v="44409.599999999999"/>
    <n v="221.15199999999999"/>
    <n v="792.48"/>
    <x v="1"/>
    <x v="2"/>
    <x v="0"/>
    <n v="0.63663069022543295"/>
    <n v="0.94869603855487605"/>
    <n v="4.7243394743138401E-3"/>
    <n v="4.9798241821588096E-3"/>
    <n v="2.58341773983505"/>
    <n v="3.58341773983505"/>
  </r>
  <r>
    <s v="CMP640"/>
    <s v="Shop &amp; Share"/>
    <x v="1"/>
    <x v="240"/>
    <d v="2024-08-13T00:00:00"/>
    <n v="2396.8000000000002"/>
    <n v="2118.4"/>
    <n v="24"/>
    <n v="6734.4160000000002"/>
    <n v="24683.776000000002"/>
    <x v="3"/>
    <x v="4"/>
    <x v="0"/>
    <n v="0.88384512683578098"/>
    <n v="1.1329305135951699E-2"/>
    <n v="3.1790105740181298"/>
    <n v="280.600666666667"/>
    <n v="2.6653179726349001"/>
    <n v="3.6653179726349001"/>
  </r>
  <r>
    <s v="CMP641"/>
    <s v="Seasonal Steals"/>
    <x v="1"/>
    <x v="246"/>
    <d v="2024-07-08T00:00:00"/>
    <n v="63214.400000000001"/>
    <n v="47624"/>
    <n v="37088"/>
    <n v="6672.6080000000002"/>
    <n v="14139.744000000001"/>
    <x v="3"/>
    <x v="0"/>
    <x v="1"/>
    <n v="0.75337264926978698"/>
    <n v="0.77876700823114398"/>
    <n v="0.14011019653956"/>
    <n v="0.17991285591026701"/>
    <n v="1.11907308206926"/>
    <n v="2.11907308206926"/>
  </r>
  <r>
    <s v="CMP642"/>
    <s v="Cart to Couch"/>
    <x v="3"/>
    <x v="258"/>
    <d v="2024-03-18T00:00:00"/>
    <n v="5524.8"/>
    <n v="3953.6"/>
    <n v="286.39999999999998"/>
    <n v="3338.5279999999998"/>
    <n v="7653.152"/>
    <x v="3"/>
    <x v="2"/>
    <x v="1"/>
    <n v="0.71560961482768604"/>
    <n v="7.24403075677863E-2"/>
    <n v="0.84442735734520402"/>
    <n v="11.656871508379901"/>
    <n v="1.2923731656586399"/>
    <n v="2.2923731656586401"/>
  </r>
  <r>
    <s v="CMP643"/>
    <s v="Flash Sale Frenzy"/>
    <x v="1"/>
    <x v="146"/>
    <d v="2024-03-05T00:00:00"/>
    <n v="44187.199999999997"/>
    <n v="6260.8"/>
    <n v="3886.4"/>
    <n v="3945.7280000000001"/>
    <n v="6989.0720000000001"/>
    <x v="3"/>
    <x v="0"/>
    <x v="0"/>
    <n v="0.14168809066879101"/>
    <n v="0.62075134168157398"/>
    <n v="0.63022744697163302"/>
    <n v="1.01526554137505"/>
    <n v="0.77130101213261504"/>
    <n v="1.77130101213262"/>
  </r>
  <r>
    <s v="CMP644"/>
    <s v="Shop &amp; Share"/>
    <x v="0"/>
    <x v="41"/>
    <d v="2024-10-07T00:00:00"/>
    <n v="67097.600000000006"/>
    <n v="65304"/>
    <n v="1310.4000000000001"/>
    <n v="5953.1360000000004"/>
    <n v="10726.24"/>
    <x v="0"/>
    <x v="4"/>
    <x v="0"/>
    <n v="0.973268790537963"/>
    <n v="2.0066152149944901E-2"/>
    <n v="9.1160357711625603E-2"/>
    <n v="4.5429914529914504"/>
    <n v="0.80177976784000904"/>
    <n v="1.80177976784001"/>
  </r>
  <r>
    <s v="CMP645"/>
    <s v="Cart to Couch"/>
    <x v="0"/>
    <x v="273"/>
    <d v="2024-09-08T00:00:00"/>
    <n v="42292.800000000003"/>
    <n v="3985.6"/>
    <n v="2275.1999999999998"/>
    <n v="5942.2079999999996"/>
    <n v="9443.5040000000008"/>
    <x v="2"/>
    <x v="0"/>
    <x v="0"/>
    <n v="9.4238262777588594E-2"/>
    <n v="0.57085507828181403"/>
    <n v="1.4909193095142499"/>
    <n v="2.6117299578059101"/>
    <n v="0.58922474608764996"/>
    <n v="1.5892247460876501"/>
  </r>
  <r>
    <s v="CMP646"/>
    <s v="Wishlist Wonders"/>
    <x v="2"/>
    <x v="171"/>
    <d v="2024-05-18T00:00:00"/>
    <n v="55433.599999999999"/>
    <n v="41224"/>
    <n v="29323.200000000001"/>
    <n v="6865.9359999999997"/>
    <n v="21598.944"/>
    <x v="1"/>
    <x v="4"/>
    <x v="0"/>
    <n v="0.74366449229348297"/>
    <n v="0.71131379778769699"/>
    <n v="0.16655191150786"/>
    <n v="0.23414688710645501"/>
    <n v="2.1458120203858599"/>
    <n v="3.1458120203858599"/>
  </r>
  <r>
    <s v="CMP647"/>
    <s v="Flash Sale Frenzy"/>
    <x v="2"/>
    <x v="54"/>
    <d v="2024-06-04T00:00:00"/>
    <n v="62881.599999999999"/>
    <n v="18958.400000000001"/>
    <n v="8939.2000000000007"/>
    <n v="7683.92"/>
    <n v="13395.871999999999"/>
    <x v="3"/>
    <x v="3"/>
    <x v="0"/>
    <n v="0.30149360067173903"/>
    <n v="0.47151658367794802"/>
    <n v="0.405304245083973"/>
    <n v="0.85957580096652897"/>
    <n v="0.74336432445939005"/>
    <n v="1.7433643244593899"/>
  </r>
  <r>
    <s v="CMP648"/>
    <s v="Flash Sale Frenzy"/>
    <x v="1"/>
    <x v="216"/>
    <d v="2024-02-27T00:00:00"/>
    <n v="10696"/>
    <n v="1635.2"/>
    <n v="425.6"/>
    <n v="2209.36"/>
    <n v="4492.1279999999997"/>
    <x v="1"/>
    <x v="2"/>
    <x v="1"/>
    <n v="0.15287958115183201"/>
    <n v="0.26027397260273999"/>
    <n v="1.3511252446183999"/>
    <n v="5.1911654135338301"/>
    <n v="1.0332259115761999"/>
    <n v="2.0332259115762001"/>
  </r>
  <r>
    <s v="CMP649"/>
    <s v="Shop &amp; Share"/>
    <x v="2"/>
    <x v="29"/>
    <d v="2024-10-16T00:00:00"/>
    <n v="16958.400000000001"/>
    <n v="5902.4"/>
    <n v="1425.6"/>
    <n v="1836.192"/>
    <n v="2356.0160000000001"/>
    <x v="4"/>
    <x v="4"/>
    <x v="1"/>
    <n v="0.34805170299084798"/>
    <n v="0.241528869612361"/>
    <n v="0.31109243697479"/>
    <n v="1.2880134680134701"/>
    <n v="0.28309893518760598"/>
    <n v="1.2830989351876101"/>
  </r>
  <r>
    <s v="CMP650"/>
    <s v="Seasonal Steals"/>
    <x v="1"/>
    <x v="114"/>
    <d v="2024-01-23T00:00:00"/>
    <n v="5804.8"/>
    <n v="3148.8"/>
    <n v="2580.8000000000002"/>
    <n v="3167.9520000000002"/>
    <n v="11698.48"/>
    <x v="2"/>
    <x v="2"/>
    <x v="0"/>
    <n v="0.54244762954796"/>
    <n v="0.81961382113821102"/>
    <n v="1.0060823170731701"/>
    <n v="1.2275077495350299"/>
    <n v="2.6927579710803702"/>
    <n v="3.6927579710803702"/>
  </r>
  <r>
    <s v="CMP651"/>
    <s v="Wishlist Wonders"/>
    <x v="2"/>
    <x v="198"/>
    <d v="2024-04-16T00:00:00"/>
    <n v="68132.800000000003"/>
    <n v="65432"/>
    <n v="55328"/>
    <n v="1884.6880000000001"/>
    <n v="3536.0479999999998"/>
    <x v="1"/>
    <x v="3"/>
    <x v="0"/>
    <n v="0.96035976798252798"/>
    <n v="0.84558014427191597"/>
    <n v="2.8803765741533201E-2"/>
    <n v="3.4063909774436102E-2"/>
    <n v="0.87619807628636703"/>
    <n v="1.8761980762863699"/>
  </r>
  <r>
    <s v="CMP652"/>
    <s v="Shop &amp; Share"/>
    <x v="2"/>
    <x v="87"/>
    <d v="2024-02-16T00:00:00"/>
    <n v="20270.400000000001"/>
    <n v="9515.2000000000007"/>
    <n v="2657.6"/>
    <n v="1892.3520000000001"/>
    <n v="4825.424"/>
    <x v="4"/>
    <x v="1"/>
    <x v="0"/>
    <n v="0.46941352908674699"/>
    <n v="0.27930048764082699"/>
    <n v="0.198876744577098"/>
    <n v="0.71205298013245"/>
    <n v="1.54996110660173"/>
    <n v="2.5499611066017298"/>
  </r>
  <r>
    <s v="CMP653"/>
    <s v="Seasonal Steals"/>
    <x v="1"/>
    <x v="61"/>
    <d v="2024-02-18T00:00:00"/>
    <n v="77198.399999999994"/>
    <n v="14064"/>
    <n v="3728"/>
    <n v="5737.92"/>
    <n v="19601.567999999999"/>
    <x v="2"/>
    <x v="2"/>
    <x v="0"/>
    <n v="0.182179941553193"/>
    <n v="0.26507394766780401"/>
    <n v="0.40798634812286699"/>
    <n v="1.53914163090129"/>
    <n v="2.4161452233562"/>
    <n v="3.4161452233562"/>
  </r>
  <r>
    <s v="CMP654"/>
    <s v="Wishlist Wonders"/>
    <x v="3"/>
    <x v="274"/>
    <d v="2024-06-15T00:00:00"/>
    <n v="60614.400000000001"/>
    <n v="40940.800000000003"/>
    <n v="26486.400000000001"/>
    <n v="4317.5839999999998"/>
    <n v="11910.384"/>
    <x v="4"/>
    <x v="0"/>
    <x v="1"/>
    <n v="0.67543026079611401"/>
    <n v="0.64694387994372404"/>
    <n v="0.105459199624824"/>
    <n v="0.163011356771777"/>
    <n v="1.7585760925554701"/>
    <n v="2.7585760925554701"/>
  </r>
  <r>
    <s v="CMP655"/>
    <s v="Flash Sale Frenzy"/>
    <x v="0"/>
    <x v="275"/>
    <d v="2024-03-30T00:00:00"/>
    <n v="21785.599999999999"/>
    <n v="3126.4"/>
    <n v="2952"/>
    <n v="3274.9279999999999"/>
    <n v="11451.92"/>
    <x v="3"/>
    <x v="3"/>
    <x v="1"/>
    <n v="0.14350763807285499"/>
    <n v="0.94421699078812704"/>
    <n v="1.0475076765608999"/>
    <n v="1.10939295392954"/>
    <n v="2.49684634288143"/>
    <n v="3.49684634288143"/>
  </r>
  <r>
    <s v="CMP656"/>
    <s v="Cart to Couch"/>
    <x v="3"/>
    <x v="84"/>
    <d v="2024-06-13T00:00:00"/>
    <n v="43844.800000000003"/>
    <n v="19748.8"/>
    <n v="5017.6000000000004"/>
    <n v="6014.6559999999999"/>
    <n v="13354.544"/>
    <x v="1"/>
    <x v="0"/>
    <x v="1"/>
    <n v="0.450425135934022"/>
    <n v="0.254071133435956"/>
    <n v="0.30455804909665402"/>
    <n v="1.19871173469388"/>
    <n v="1.2203337979761399"/>
    <n v="2.2203337979761399"/>
  </r>
  <r>
    <s v="CMP657"/>
    <s v="Seasonal Steals"/>
    <x v="2"/>
    <x v="207"/>
    <d v="2024-06-23T00:00:00"/>
    <n v="72400"/>
    <n v="60358.400000000001"/>
    <n v="14473.6"/>
    <n v="2053.3440000000001"/>
    <n v="6223.6959999999999"/>
    <x v="3"/>
    <x v="3"/>
    <x v="0"/>
    <n v="0.83367955801104998"/>
    <n v="0.23979429540875799"/>
    <n v="3.4019192026296302E-2"/>
    <n v="0.141868229051514"/>
    <n v="2.03100503374008"/>
    <n v="3.03100503374008"/>
  </r>
  <r>
    <s v="CMP658"/>
    <s v="Shop &amp; Share"/>
    <x v="1"/>
    <x v="106"/>
    <d v="2024-08-22T00:00:00"/>
    <n v="51108.800000000003"/>
    <n v="42246.400000000001"/>
    <n v="33972.800000000003"/>
    <n v="5957.9520000000002"/>
    <n v="7985.5039999999999"/>
    <x v="0"/>
    <x v="4"/>
    <x v="0"/>
    <n v="0.82659737657702803"/>
    <n v="0.80415846083926701"/>
    <n v="0.14102863202545099"/>
    <n v="0.17537418169829999"/>
    <n v="0.34031022740700201"/>
    <n v="1.340310227407"/>
  </r>
  <r>
    <s v="CMP659"/>
    <s v="Shop &amp; Share"/>
    <x v="1"/>
    <x v="4"/>
    <d v="2024-10-26T00:00:00"/>
    <n v="21150.400000000001"/>
    <n v="3788.8"/>
    <n v="2203.1999999999998"/>
    <n v="3319.8879999999999"/>
    <n v="9403.5360000000001"/>
    <x v="4"/>
    <x v="0"/>
    <x v="0"/>
    <n v="0.17913609198880401"/>
    <n v="0.58150337837837796"/>
    <n v="0.87623733108108104"/>
    <n v="1.50684822076979"/>
    <n v="1.8324859151874999"/>
    <n v="2.8324859151875001"/>
  </r>
  <r>
    <s v="CMP660"/>
    <s v="Deal of the Day"/>
    <x v="3"/>
    <x v="55"/>
    <d v="2024-08-23T00:00:00"/>
    <n v="54136"/>
    <n v="47766.400000000001"/>
    <n v="18793.599999999999"/>
    <n v="4852.6880000000001"/>
    <n v="6072.0959999999995"/>
    <x v="2"/>
    <x v="0"/>
    <x v="1"/>
    <n v="0.88234077139057199"/>
    <n v="0.39344811415555703"/>
    <n v="0.101592081463121"/>
    <n v="0.25820960326919801"/>
    <n v="0.25128506098063602"/>
    <n v="1.2512850609806401"/>
  </r>
  <r>
    <s v="CMP661"/>
    <s v="Deal of the Day"/>
    <x v="1"/>
    <x v="153"/>
    <d v="2024-05-10T00:00:00"/>
    <n v="34953.599999999999"/>
    <n v="12203.2"/>
    <n v="6764.8"/>
    <n v="4089.9839999999999"/>
    <n v="11009.008"/>
    <x v="2"/>
    <x v="3"/>
    <x v="1"/>
    <n v="0.34912569806829602"/>
    <n v="0.55434640094401499"/>
    <n v="0.33515668021502598"/>
    <n v="0.604597918637654"/>
    <n v="1.6916995274309099"/>
    <n v="2.6916995274309099"/>
  </r>
  <r>
    <s v="CMP662"/>
    <s v="Flash Sale Frenzy"/>
    <x v="0"/>
    <x v="154"/>
    <d v="2024-02-17T00:00:00"/>
    <n v="7448"/>
    <n v="3713.6"/>
    <n v="1654.4"/>
    <n v="3739.2959999999998"/>
    <n v="7828.6880000000001"/>
    <x v="4"/>
    <x v="3"/>
    <x v="0"/>
    <n v="0.49860365198711099"/>
    <n v="0.44549763033175399"/>
    <n v="1.0069194312796199"/>
    <n v="2.26021276595745"/>
    <n v="1.0936261799012399"/>
    <n v="2.0936261799012401"/>
  </r>
  <r>
    <s v="CMP663"/>
    <s v="Flash Sale Frenzy"/>
    <x v="3"/>
    <x v="3"/>
    <d v="2024-05-08T00:00:00"/>
    <n v="34537.599999999999"/>
    <n v="31222.400000000001"/>
    <n v="1366.4"/>
    <n v="4968.384"/>
    <n v="19810.592000000001"/>
    <x v="3"/>
    <x v="3"/>
    <x v="0"/>
    <n v="0.90401185953858998"/>
    <n v="4.3763451880701E-2"/>
    <n v="0.15912883058317101"/>
    <n v="3.6361124121779902"/>
    <n v="2.9873310919606899"/>
    <n v="3.9873310919606899"/>
  </r>
  <r>
    <s v="CMP664"/>
    <s v="Wishlist Wonders"/>
    <x v="2"/>
    <x v="111"/>
    <d v="2024-08-20T00:00:00"/>
    <n v="19566.400000000001"/>
    <n v="2680"/>
    <n v="905.6"/>
    <n v="7401.4560000000001"/>
    <n v="28543.984"/>
    <x v="4"/>
    <x v="2"/>
    <x v="1"/>
    <n v="0.13696949873252101"/>
    <n v="0.337910447761194"/>
    <n v="2.7617373134328398"/>
    <n v="8.1729858657243799"/>
    <n v="2.8565363355534399"/>
    <n v="3.8565363355534399"/>
  </r>
  <r>
    <s v="CMP665"/>
    <s v="Shop &amp; Share"/>
    <x v="3"/>
    <x v="219"/>
    <d v="2024-01-16T00:00:00"/>
    <n v="49388.800000000003"/>
    <n v="10993.6"/>
    <n v="3665.6"/>
    <n v="3129.3760000000002"/>
    <n v="6969.5360000000001"/>
    <x v="1"/>
    <x v="3"/>
    <x v="0"/>
    <n v="0.22259297654529001"/>
    <n v="0.33343035948187999"/>
    <n v="0.284654344345801"/>
    <n v="0.85371453513749496"/>
    <n v="1.2271328213675801"/>
    <n v="2.2271328213675798"/>
  </r>
  <r>
    <s v="CMP666"/>
    <s v="Flash Sale Frenzy"/>
    <x v="1"/>
    <x v="10"/>
    <d v="2024-01-25T00:00:00"/>
    <n v="32315.200000000001"/>
    <n v="11976"/>
    <n v="4345.6000000000004"/>
    <n v="3799.424"/>
    <n v="11068.448"/>
    <x v="1"/>
    <x v="4"/>
    <x v="1"/>
    <n v="0.37059959399910902"/>
    <n v="0.362859051436206"/>
    <n v="0.31725317301269201"/>
    <n v="0.87431516936671605"/>
    <n v="1.9131910521173701"/>
    <n v="2.9131910521173698"/>
  </r>
  <r>
    <s v="CMP667"/>
    <s v="Shop &amp; Share"/>
    <x v="0"/>
    <x v="107"/>
    <d v="2024-02-27T00:00:00"/>
    <n v="63393.599999999999"/>
    <n v="39188.800000000003"/>
    <n v="14435.2"/>
    <n v="377.32799999999997"/>
    <n v="840.48"/>
    <x v="0"/>
    <x v="3"/>
    <x v="1"/>
    <n v="0.61818227707528794"/>
    <n v="0.36835014085657097"/>
    <n v="9.6284652757930803E-3"/>
    <n v="2.61394369319441E-2"/>
    <n v="1.2274519781198301"/>
    <n v="2.2274519781198299"/>
  </r>
  <r>
    <s v="CMP668"/>
    <s v="Wishlist Wonders"/>
    <x v="3"/>
    <x v="276"/>
    <d v="2024-05-09T00:00:00"/>
    <n v="38331.199999999997"/>
    <n v="27116.799999999999"/>
    <n v="17382.400000000001"/>
    <n v="791.69600000000003"/>
    <n v="1704.48"/>
    <x v="2"/>
    <x v="3"/>
    <x v="0"/>
    <n v="0.70743415285720301"/>
    <n v="0.64101958933207503"/>
    <n v="2.91957753127213E-2"/>
    <n v="4.5545839469808502E-2"/>
    <n v="1.1529475960469699"/>
    <n v="2.1529475960469702"/>
  </r>
  <r>
    <s v="CMP669"/>
    <s v="Deal of the Day"/>
    <x v="3"/>
    <x v="169"/>
    <d v="2024-01-19T00:00:00"/>
    <n v="62363.199999999997"/>
    <n v="52862.400000000001"/>
    <n v="31248"/>
    <n v="1642.1279999999999"/>
    <n v="2115.6959999999999"/>
    <x v="3"/>
    <x v="2"/>
    <x v="0"/>
    <n v="0.84765374451599695"/>
    <n v="0.59111958594388403"/>
    <n v="3.1064196858258401E-2"/>
    <n v="5.2551459293394803E-2"/>
    <n v="0.28838677618309899"/>
    <n v="1.2883867761831"/>
  </r>
  <r>
    <s v="CMP670"/>
    <s v="Flash Sale Frenzy"/>
    <x v="2"/>
    <x v="261"/>
    <d v="2024-10-02T00:00:00"/>
    <n v="24488"/>
    <n v="17064"/>
    <n v="4081.6"/>
    <n v="3132.88"/>
    <n v="8485.8080000000009"/>
    <x v="2"/>
    <x v="1"/>
    <x v="0"/>
    <n v="0.69683110094740297"/>
    <n v="0.23919362400375099"/>
    <n v="0.18359587435536801"/>
    <n v="0.76756174049392401"/>
    <n v="1.7086284824187301"/>
    <n v="2.7086284824187299"/>
  </r>
  <r>
    <s v="CMP671"/>
    <s v="Flash Sale Frenzy"/>
    <x v="3"/>
    <x v="53"/>
    <d v="2024-06-23T00:00:00"/>
    <n v="37521.599999999999"/>
    <n v="8963.2000000000007"/>
    <n v="1848"/>
    <n v="5694.56"/>
    <n v="19232.416000000001"/>
    <x v="2"/>
    <x v="4"/>
    <x v="0"/>
    <n v="0.238881071169673"/>
    <n v="0.20617636558371999"/>
    <n v="0.63532666904676904"/>
    <n v="3.0814718614718601"/>
    <n v="2.3773313478126501"/>
    <n v="3.3773313478126501"/>
  </r>
  <r>
    <s v="CMP672"/>
    <s v="Deal of the Day"/>
    <x v="0"/>
    <x v="143"/>
    <d v="2024-08-08T00:00:00"/>
    <n v="25276.799999999999"/>
    <n v="1628.8"/>
    <n v="832"/>
    <n v="7490.0159999999996"/>
    <n v="26603.824000000001"/>
    <x v="4"/>
    <x v="3"/>
    <x v="0"/>
    <n v="6.4438536523610604E-2"/>
    <n v="0.51080550098231803"/>
    <n v="4.5984872298624797"/>
    <n v="9.0024230769230797"/>
    <n v="2.5519048290417499"/>
    <n v="3.5519048290417499"/>
  </r>
  <r>
    <s v="CMP673"/>
    <s v="Seasonal Steals"/>
    <x v="1"/>
    <x v="93"/>
    <d v="2024-04-13T00:00:00"/>
    <n v="24313.599999999999"/>
    <n v="16984"/>
    <n v="2315.1999999999998"/>
    <n v="2787.3919999999998"/>
    <n v="10156.32"/>
    <x v="0"/>
    <x v="1"/>
    <x v="0"/>
    <n v="0.69853908923400898"/>
    <n v="0.13631653320772499"/>
    <n v="0.16411869995289699"/>
    <n v="1.2039530062197601"/>
    <n v="2.6436640415126398"/>
    <n v="3.6436640415126398"/>
  </r>
  <r>
    <s v="CMP674"/>
    <s v="Wishlist Wonders"/>
    <x v="3"/>
    <x v="14"/>
    <d v="2024-08-16T00:00:00"/>
    <n v="8166.4"/>
    <n v="5489.6"/>
    <n v="38.4"/>
    <n v="5244.3360000000002"/>
    <n v="14464.031999999999"/>
    <x v="1"/>
    <x v="2"/>
    <x v="1"/>
    <n v="0.67221786833855801"/>
    <n v="6.9950451763334297E-3"/>
    <n v="0.95532206353832705"/>
    <n v="136.57124999999999"/>
    <n v="1.75802923382483"/>
    <n v="2.7580292338248298"/>
  </r>
  <r>
    <s v="CMP675"/>
    <s v="Cart to Couch"/>
    <x v="0"/>
    <x v="76"/>
    <d v="2024-09-30T00:00:00"/>
    <n v="20728"/>
    <n v="865.6"/>
    <n v="228.8"/>
    <n v="3053.712"/>
    <n v="4642.5439999999999"/>
    <x v="2"/>
    <x v="0"/>
    <x v="1"/>
    <n v="4.1759938247780799E-2"/>
    <n v="0.264325323475046"/>
    <n v="3.5278558225508299"/>
    <n v="13.3466433566434"/>
    <n v="0.52029529962222998"/>
    <n v="1.5202952996222301"/>
  </r>
  <r>
    <s v="CMP676"/>
    <s v="Seasonal Steals"/>
    <x v="2"/>
    <x v="268"/>
    <d v="2024-09-12T00:00:00"/>
    <n v="37894.400000000001"/>
    <n v="5422.4"/>
    <n v="3904"/>
    <n v="5093.0240000000003"/>
    <n v="13628.335999999999"/>
    <x v="4"/>
    <x v="4"/>
    <x v="1"/>
    <n v="0.14309238304340499"/>
    <n v="0.71997639421658299"/>
    <n v="0.93925641782236702"/>
    <n v="1.30456557377049"/>
    <n v="1.6758829332043199"/>
    <n v="2.6758829332043201"/>
  </r>
  <r>
    <s v="CMP677"/>
    <s v="Flash Sale Frenzy"/>
    <x v="2"/>
    <x v="233"/>
    <d v="2024-06-14T00:00:00"/>
    <n v="38384"/>
    <n v="5257.6"/>
    <n v="678.4"/>
    <n v="1725.152"/>
    <n v="4408.6080000000002"/>
    <x v="4"/>
    <x v="2"/>
    <x v="1"/>
    <n v="0.136973739057941"/>
    <n v="0.12903225806451599"/>
    <n v="0.32812538040170403"/>
    <n v="2.54297169811321"/>
    <n v="1.5554896032349601"/>
    <n v="2.5554896032349599"/>
  </r>
  <r>
    <s v="CMP678"/>
    <s v="Shop &amp; Share"/>
    <x v="0"/>
    <x v="59"/>
    <d v="2024-05-02T00:00:00"/>
    <n v="56443.199999999997"/>
    <n v="50526.400000000001"/>
    <n v="12646.4"/>
    <n v="1853.7760000000001"/>
    <n v="3637.1840000000002"/>
    <x v="3"/>
    <x v="4"/>
    <x v="0"/>
    <n v="0.89517249199194904"/>
    <n v="0.25029291617847299"/>
    <n v="3.6689255517907499E-2"/>
    <n v="0.146585273279352"/>
    <n v="0.96204072120903505"/>
    <n v="1.9620407212090301"/>
  </r>
  <r>
    <s v="CMP679"/>
    <s v="Flash Sale Frenzy"/>
    <x v="1"/>
    <x v="91"/>
    <d v="2024-06-27T00:00:00"/>
    <n v="75171.199999999997"/>
    <n v="46686.400000000001"/>
    <n v="9260.7999999999993"/>
    <n v="4518.7839999999997"/>
    <n v="7788.3040000000001"/>
    <x v="1"/>
    <x v="2"/>
    <x v="1"/>
    <n v="0.62106764292707906"/>
    <n v="0.198361835566675"/>
    <n v="9.6790157304911098E-2"/>
    <n v="0.487947477539737"/>
    <n v="0.72353978415432096"/>
    <n v="1.7235397841543201"/>
  </r>
  <r>
    <s v="CMP680"/>
    <s v="Flash Sale Frenzy"/>
    <x v="2"/>
    <x v="175"/>
    <d v="2024-04-22T00:00:00"/>
    <n v="39497.599999999999"/>
    <n v="19827.2"/>
    <n v="18955.2"/>
    <n v="5432.2719999999999"/>
    <n v="10544.432000000001"/>
    <x v="2"/>
    <x v="3"/>
    <x v="0"/>
    <n v="0.50198493072996797"/>
    <n v="0.95602001291155603"/>
    <n v="0.27398079406068399"/>
    <n v="0.28658478939816001"/>
    <n v="0.94107217017115496"/>
    <n v="1.94107217017116"/>
  </r>
  <r>
    <s v="CMP681"/>
    <s v="Shop &amp; Share"/>
    <x v="0"/>
    <x v="16"/>
    <d v="2024-07-03T00:00:00"/>
    <n v="32481.599999999999"/>
    <n v="12680"/>
    <n v="4459.2"/>
    <n v="5403.0240000000003"/>
    <n v="12436.688"/>
    <x v="1"/>
    <x v="0"/>
    <x v="0"/>
    <n v="0.39037485838136099"/>
    <n v="0.35167192429022098"/>
    <n v="0.426105993690852"/>
    <n v="1.2116576964477901"/>
    <n v="1.3018013616078701"/>
    <n v="2.3018013616078701"/>
  </r>
  <r>
    <s v="CMP682"/>
    <s v="Shop &amp; Share"/>
    <x v="0"/>
    <x v="217"/>
    <d v="2024-07-01T00:00:00"/>
    <n v="43793.599999999999"/>
    <n v="34254.400000000001"/>
    <n v="32907.199999999997"/>
    <n v="6699.9359999999997"/>
    <n v="21416.576000000001"/>
    <x v="4"/>
    <x v="1"/>
    <x v="0"/>
    <n v="0.78217821782178198"/>
    <n v="0.96067074594796598"/>
    <n v="0.19559344201036899"/>
    <n v="0.20360091408567099"/>
    <n v="2.1965344146571"/>
    <n v="3.1965344146571"/>
  </r>
  <r>
    <s v="CMP683"/>
    <s v="Shop &amp; Share"/>
    <x v="1"/>
    <x v="113"/>
    <d v="2024-04-05T00:00:00"/>
    <n v="72291.199999999997"/>
    <n v="61188.800000000003"/>
    <n v="54300.800000000003"/>
    <n v="6809.232"/>
    <n v="18899.36"/>
    <x v="2"/>
    <x v="0"/>
    <x v="0"/>
    <n v="0.84642114116240996"/>
    <n v="0.88743037941584102"/>
    <n v="0.11128232617734"/>
    <n v="0.12539837350462599"/>
    <n v="1.7755494305378301"/>
    <n v="2.7755494305378301"/>
  </r>
  <r>
    <s v="CMP684"/>
    <s v="Wishlist Wonders"/>
    <x v="0"/>
    <x v="121"/>
    <d v="2024-03-01T00:00:00"/>
    <n v="2811.2"/>
    <n v="2388.8000000000002"/>
    <n v="1300.8"/>
    <n v="1930.6079999999999"/>
    <n v="7611.7759999999998"/>
    <x v="3"/>
    <x v="0"/>
    <x v="1"/>
    <n v="0.84974388161639203"/>
    <n v="0.54454119223040898"/>
    <n v="0.808191560616209"/>
    <n v="1.48416974169742"/>
    <n v="2.9426833412065001"/>
    <n v="3.9426833412065001"/>
  </r>
  <r>
    <s v="CMP685"/>
    <s v="Seasonal Steals"/>
    <x v="0"/>
    <x v="86"/>
    <d v="2024-09-09T00:00:00"/>
    <n v="13620.8"/>
    <n v="3747.2"/>
    <n v="1980.8"/>
    <n v="1858.4159999999999"/>
    <n v="3298.24"/>
    <x v="3"/>
    <x v="0"/>
    <x v="1"/>
    <n v="0.27510865734758599"/>
    <n v="0.52860802732707102"/>
    <n v="0.49594790777113601"/>
    <n v="0.93821486268174503"/>
    <n v="0.77475871925338602"/>
    <n v="1.77475871925339"/>
  </r>
  <r>
    <s v="CMP686"/>
    <s v="Flash Sale Frenzy"/>
    <x v="1"/>
    <x v="46"/>
    <d v="2024-06-03T00:00:00"/>
    <n v="30872"/>
    <n v="22008"/>
    <n v="9499.2000000000007"/>
    <n v="1537.4559999999999"/>
    <n v="5888.2719999999999"/>
    <x v="4"/>
    <x v="2"/>
    <x v="0"/>
    <n v="0.71287898419279605"/>
    <n v="0.431624863685932"/>
    <n v="6.9858960378044302E-2"/>
    <n v="0.16185110325079999"/>
    <n v="2.8298800095742598"/>
    <n v="3.8298800095742598"/>
  </r>
  <r>
    <s v="CMP687"/>
    <s v="Wishlist Wonders"/>
    <x v="3"/>
    <x v="276"/>
    <d v="2024-05-30T00:00:00"/>
    <n v="13654.4"/>
    <n v="5564.8"/>
    <n v="3987.2"/>
    <n v="7366.192"/>
    <n v="25123.792000000001"/>
    <x v="2"/>
    <x v="1"/>
    <x v="1"/>
    <n v="0.407546285446449"/>
    <n v="0.71650373778033305"/>
    <n v="1.32371190339275"/>
    <n v="1.84745987158909"/>
    <n v="2.41068926794197"/>
    <n v="3.41068926794197"/>
  </r>
  <r>
    <s v="CMP688"/>
    <s v="Seasonal Steals"/>
    <x v="3"/>
    <x v="174"/>
    <d v="2024-05-15T00:00:00"/>
    <n v="38563.199999999997"/>
    <n v="14676.8"/>
    <n v="12155.2"/>
    <n v="4094.0479999999998"/>
    <n v="9802.848"/>
    <x v="2"/>
    <x v="1"/>
    <x v="1"/>
    <n v="0.38059082233839497"/>
    <n v="0.82819143137468698"/>
    <n v="0.27894690940804501"/>
    <n v="0.33681453205212603"/>
    <n v="1.3944145256723901"/>
    <n v="2.3944145256723899"/>
  </r>
  <r>
    <s v="CMP689"/>
    <s v="Wishlist Wonders"/>
    <x v="3"/>
    <x v="235"/>
    <d v="2024-05-09T00:00:00"/>
    <n v="39614.400000000001"/>
    <n v="1828.8"/>
    <n v="937.6"/>
    <n v="5578.4"/>
    <n v="13538.704"/>
    <x v="4"/>
    <x v="1"/>
    <x v="0"/>
    <n v="4.61650308978553E-2"/>
    <n v="0.51268591426071697"/>
    <n v="3.0503062117235298"/>
    <n v="5.9496587030716697"/>
    <n v="1.4269869496629899"/>
    <n v="2.4269869496629899"/>
  </r>
  <r>
    <s v="CMP690"/>
    <s v="Deal of the Day"/>
    <x v="1"/>
    <x v="94"/>
    <d v="2024-05-09T00:00:00"/>
    <n v="72331.199999999997"/>
    <n v="976"/>
    <n v="968"/>
    <n v="7688.8639999999996"/>
    <n v="29328.896000000001"/>
    <x v="2"/>
    <x v="4"/>
    <x v="0"/>
    <n v="1.3493485522153599E-2"/>
    <n v="0.99180327868852503"/>
    <n v="7.8779344262295101"/>
    <n v="7.9430413223140501"/>
    <n v="2.8144641393058798"/>
    <n v="3.8144641393058798"/>
  </r>
  <r>
    <s v="CMP691"/>
    <s v="Flash Sale Frenzy"/>
    <x v="0"/>
    <x v="74"/>
    <d v="2024-07-03T00:00:00"/>
    <n v="18769.599999999999"/>
    <n v="3457.6"/>
    <n v="580.79999999999995"/>
    <n v="5576.96"/>
    <n v="8043.1840000000002"/>
    <x v="1"/>
    <x v="0"/>
    <x v="0"/>
    <n v="0.18421276958486099"/>
    <n v="0.16797778806108299"/>
    <n v="1.6129569643683499"/>
    <n v="9.6022038567493109"/>
    <n v="0.44221654808354399"/>
    <n v="1.4422165480835401"/>
  </r>
  <r>
    <s v="CMP692"/>
    <s v="Cart to Couch"/>
    <x v="3"/>
    <x v="277"/>
    <d v="2024-03-16T00:00:00"/>
    <n v="71667.199999999997"/>
    <n v="64915.199999999997"/>
    <n v="61804.800000000003"/>
    <n v="6044.1760000000004"/>
    <n v="7626.4639999999999"/>
    <x v="1"/>
    <x v="4"/>
    <x v="0"/>
    <n v="0.90578674763350597"/>
    <n v="0.95208518189884705"/>
    <n v="9.3108794242334605E-2"/>
    <n v="9.7794604949777403E-2"/>
    <n v="0.26178721466747501"/>
    <n v="1.26178721466747"/>
  </r>
  <r>
    <s v="CMP693"/>
    <s v="Flash Sale Frenzy"/>
    <x v="0"/>
    <x v="262"/>
    <d v="2024-08-20T00:00:00"/>
    <n v="69164.800000000003"/>
    <n v="16528"/>
    <n v="13206.4"/>
    <n v="2249.5039999999999"/>
    <n v="4321.5519999999997"/>
    <x v="1"/>
    <x v="0"/>
    <x v="1"/>
    <n v="0.23896548533358"/>
    <n v="0.79903194578896397"/>
    <n v="0.13610261374637"/>
    <n v="0.17033438332929501"/>
    <n v="0.92111327652673602"/>
    <n v="1.92111327652674"/>
  </r>
  <r>
    <s v="CMP694"/>
    <s v="Flash Sale Frenzy"/>
    <x v="2"/>
    <x v="118"/>
    <d v="2024-08-12T00:00:00"/>
    <n v="45580.800000000003"/>
    <n v="33009.599999999999"/>
    <n v="16236.8"/>
    <n v="2024.336"/>
    <n v="7244.6239999999998"/>
    <x v="0"/>
    <x v="0"/>
    <x v="1"/>
    <n v="0.72419966301600702"/>
    <n v="0.49188114972614"/>
    <n v="6.1325674955164597E-2"/>
    <n v="0.124675798186835"/>
    <n v="2.5787655804174801"/>
    <n v="3.5787655804174801"/>
  </r>
  <r>
    <s v="CMP695"/>
    <s v="Shop &amp; Share"/>
    <x v="3"/>
    <x v="168"/>
    <d v="2024-07-13T00:00:00"/>
    <n v="77334.399999999994"/>
    <n v="66948.800000000003"/>
    <n v="42627.199999999997"/>
    <n v="2245.136"/>
    <n v="4110.5600000000004"/>
    <x v="4"/>
    <x v="1"/>
    <x v="1"/>
    <n v="0.86570530061654305"/>
    <n v="0.63671342876944803"/>
    <n v="3.35351193748058E-2"/>
    <n v="5.2669093911868498E-2"/>
    <n v="0.83087349719571602"/>
    <n v="1.8308734971957199"/>
  </r>
  <r>
    <s v="CMP696"/>
    <s v="Flash Sale Frenzy"/>
    <x v="1"/>
    <x v="93"/>
    <d v="2024-04-04T00:00:00"/>
    <n v="62456"/>
    <n v="8467.2000000000007"/>
    <n v="963.2"/>
    <n v="1808.672"/>
    <n v="5600.7839999999997"/>
    <x v="1"/>
    <x v="2"/>
    <x v="1"/>
    <n v="0.13557064173177899"/>
    <n v="0.113756613756614"/>
    <n v="0.21360922146636399"/>
    <n v="1.87777408637874"/>
    <n v="2.09662780205587"/>
    <n v="3.09662780205587"/>
  </r>
  <r>
    <s v="CMP697"/>
    <s v="Deal of the Day"/>
    <x v="0"/>
    <x v="144"/>
    <d v="2024-04-20T00:00:00"/>
    <n v="5286.4"/>
    <n v="2524.8000000000002"/>
    <n v="1747.2"/>
    <n v="4848.4960000000001"/>
    <n v="10990.704"/>
    <x v="0"/>
    <x v="0"/>
    <x v="0"/>
    <n v="0.47760290556900697"/>
    <n v="0.69201520912547498"/>
    <n v="1.92034854245881"/>
    <n v="2.7750091575091602"/>
    <n v="1.2668274862967801"/>
    <n v="2.2668274862967799"/>
  </r>
  <r>
    <s v="CMP698"/>
    <s v="Shop &amp; Share"/>
    <x v="1"/>
    <x v="278"/>
    <d v="2024-04-07T00:00:00"/>
    <n v="8780.7999999999993"/>
    <n v="8721.6"/>
    <n v="4145.6000000000004"/>
    <n v="6904.0320000000002"/>
    <n v="24939.168000000001"/>
    <x v="1"/>
    <x v="2"/>
    <x v="1"/>
    <n v="0.99325801749271103"/>
    <n v="0.47532562832507802"/>
    <n v="0.79160154100165103"/>
    <n v="1.66538788112698"/>
    <n v="2.6122613568419202"/>
    <n v="3.6122613568419202"/>
  </r>
  <r>
    <s v="CMP699"/>
    <s v="Wishlist Wonders"/>
    <x v="0"/>
    <x v="85"/>
    <d v="2024-07-22T00:00:00"/>
    <n v="43384"/>
    <n v="36201.599999999999"/>
    <n v="25153.599999999999"/>
    <n v="4975.6639999999998"/>
    <n v="9126.24"/>
    <x v="4"/>
    <x v="2"/>
    <x v="0"/>
    <n v="0.83444587866494602"/>
    <n v="0.694820118447803"/>
    <n v="0.13744320693008"/>
    <n v="0.19781120793842599"/>
    <n v="0.83417529801047696"/>
    <n v="1.83417529801048"/>
  </r>
  <r>
    <s v="CMP700"/>
    <s v="Cart to Couch"/>
    <x v="3"/>
    <x v="254"/>
    <d v="2024-02-01T00:00:00"/>
    <n v="27585.599999999999"/>
    <n v="1219.2"/>
    <n v="214.4"/>
    <n v="7274.9920000000002"/>
    <n v="23478.464"/>
    <x v="0"/>
    <x v="2"/>
    <x v="1"/>
    <n v="4.4196972333391302E-2"/>
    <n v="0.17585301837270301"/>
    <n v="5.9670209973753296"/>
    <n v="33.931865671641802"/>
    <n v="2.2272838238172601"/>
    <n v="3.2272838238172601"/>
  </r>
  <r>
    <s v="CMP701"/>
    <s v="Flash Sale Frenzy"/>
    <x v="2"/>
    <x v="133"/>
    <d v="2024-08-24T00:00:00"/>
    <n v="23105.599999999999"/>
    <n v="22436.799999999999"/>
    <n v="14292.8"/>
    <n v="7796.48"/>
    <n v="27091.583999999999"/>
    <x v="0"/>
    <x v="4"/>
    <x v="0"/>
    <n v="0.971054636105533"/>
    <n v="0.63702488768451804"/>
    <n v="0.34748627255223602"/>
    <n v="0.54548304041195605"/>
    <n v="2.4748481365949799"/>
    <n v="3.4748481365949799"/>
  </r>
  <r>
    <s v="CMP702"/>
    <s v="Shop &amp; Share"/>
    <x v="3"/>
    <x v="238"/>
    <d v="2024-08-17T00:00:00"/>
    <n v="3796.8"/>
    <n v="3737.6"/>
    <n v="174.4"/>
    <n v="1457.184"/>
    <n v="4379.4719999999998"/>
    <x v="2"/>
    <x v="3"/>
    <x v="0"/>
    <n v="0.98440792246102005"/>
    <n v="4.6660958904109602E-2"/>
    <n v="0.38987157534246603"/>
    <n v="8.3554128440366995"/>
    <n v="2.0054351406548498"/>
    <n v="3.0054351406548498"/>
  </r>
  <r>
    <s v="CMP703"/>
    <s v="Cart to Couch"/>
    <x v="3"/>
    <x v="1"/>
    <d v="2024-06-05T00:00:00"/>
    <n v="9123.2000000000007"/>
    <n v="3523.2"/>
    <n v="168"/>
    <n v="5098.4960000000001"/>
    <n v="10270.096"/>
    <x v="2"/>
    <x v="2"/>
    <x v="0"/>
    <n v="0.38618028761837903"/>
    <n v="4.7683923705722102E-2"/>
    <n v="1.4471207992733901"/>
    <n v="30.348190476190499"/>
    <n v="1.0143383460534201"/>
    <n v="2.0143383460534201"/>
  </r>
  <r>
    <s v="CMP704"/>
    <s v="Shop &amp; Share"/>
    <x v="2"/>
    <x v="60"/>
    <d v="2024-09-15T00:00:00"/>
    <n v="34155.199999999997"/>
    <n v="10380.799999999999"/>
    <n v="4518.3999999999996"/>
    <n v="5995.3440000000001"/>
    <n v="13627.103999999999"/>
    <x v="1"/>
    <x v="3"/>
    <x v="0"/>
    <n v="0.303930294654987"/>
    <n v="0.43526510480887798"/>
    <n v="0.577541615289766"/>
    <n v="1.32687322946176"/>
    <n v="1.27294780749862"/>
    <n v="2.2729478074986198"/>
  </r>
  <r>
    <s v="CMP705"/>
    <s v="Shop &amp; Share"/>
    <x v="0"/>
    <x v="39"/>
    <d v="2024-05-03T00:00:00"/>
    <n v="57574.400000000001"/>
    <n v="50769.599999999999"/>
    <n v="40865.599999999999"/>
    <n v="5792.08"/>
    <n v="15626"/>
    <x v="4"/>
    <x v="1"/>
    <x v="0"/>
    <n v="0.88180858159181896"/>
    <n v="0.80492263086571503"/>
    <n v="0.114085594529009"/>
    <n v="0.14173485767980901"/>
    <n v="1.6978218532893199"/>
    <n v="2.6978218532893199"/>
  </r>
  <r>
    <s v="CMP706"/>
    <s v="Wishlist Wonders"/>
    <x v="3"/>
    <x v="72"/>
    <d v="2024-07-30T00:00:00"/>
    <n v="36195.199999999997"/>
    <n v="24681.599999999999"/>
    <n v="10238.4"/>
    <n v="4502.848"/>
    <n v="6460.6239999999998"/>
    <x v="3"/>
    <x v="2"/>
    <x v="0"/>
    <n v="0.68190257271682397"/>
    <n v="0.41481913652275398"/>
    <n v="0.18243744327758299"/>
    <n v="0.43979996874511601"/>
    <n v="0.43478616200235898"/>
    <n v="1.4347861620023601"/>
  </r>
  <r>
    <s v="CMP707"/>
    <s v="Flash Sale Frenzy"/>
    <x v="2"/>
    <x v="46"/>
    <d v="2024-06-07T00:00:00"/>
    <n v="41142.400000000001"/>
    <n v="15064"/>
    <n v="13616"/>
    <n v="2293.4079999999999"/>
    <n v="3738.7040000000002"/>
    <x v="0"/>
    <x v="3"/>
    <x v="0"/>
    <n v="0.366142957143968"/>
    <n v="0.90387679235262897"/>
    <n v="0.15224429102496001"/>
    <n v="0.16843478260869599"/>
    <n v="0.63019576106824404"/>
    <n v="1.63019576106824"/>
  </r>
  <r>
    <s v="CMP708"/>
    <s v="Seasonal Steals"/>
    <x v="1"/>
    <x v="107"/>
    <d v="2024-02-14T00:00:00"/>
    <n v="78433.600000000006"/>
    <n v="44548.800000000003"/>
    <n v="27342.400000000001"/>
    <n v="3368.72"/>
    <n v="11349.68"/>
    <x v="3"/>
    <x v="2"/>
    <x v="0"/>
    <n v="0.56798106933763104"/>
    <n v="0.613762884746615"/>
    <n v="7.5618647415867504E-2"/>
    <n v="0.12320498566329199"/>
    <n v="2.3691372390700298"/>
    <n v="3.3691372390700298"/>
  </r>
  <r>
    <s v="CMP709"/>
    <s v="Seasonal Steals"/>
    <x v="0"/>
    <x v="19"/>
    <d v="2024-08-16T00:00:00"/>
    <n v="6785.6"/>
    <n v="4915.2"/>
    <n v="3579.2"/>
    <n v="3457.9839999999999"/>
    <n v="5472.48"/>
    <x v="1"/>
    <x v="2"/>
    <x v="0"/>
    <n v="0.724357462862532"/>
    <n v="0.72819010416666696"/>
    <n v="0.70352864583333297"/>
    <n v="0.96613321412606201"/>
    <n v="0.582563713423775"/>
    <n v="1.58256371342378"/>
  </r>
  <r>
    <s v="CMP710"/>
    <s v="Flash Sale Frenzy"/>
    <x v="0"/>
    <x v="197"/>
    <d v="2024-08-26T00:00:00"/>
    <n v="27177.599999999999"/>
    <n v="17265.599999999999"/>
    <n v="1470.4"/>
    <n v="3176.8319999999999"/>
    <n v="5303.2479999999996"/>
    <x v="3"/>
    <x v="4"/>
    <x v="0"/>
    <n v="0.63528788413988002"/>
    <n v="8.5163562227782402E-2"/>
    <n v="0.18399777592438099"/>
    <n v="2.1605223068552801"/>
    <n v="0.66935110197832304"/>
    <n v="1.66935110197832"/>
  </r>
  <r>
    <s v="CMP711"/>
    <s v="Flash Sale Frenzy"/>
    <x v="1"/>
    <x v="35"/>
    <d v="2024-10-19T00:00:00"/>
    <n v="28091.200000000001"/>
    <n v="26657.599999999999"/>
    <n v="10571.2"/>
    <n v="2399.2640000000001"/>
    <n v="4899.4719999999998"/>
    <x v="4"/>
    <x v="4"/>
    <x v="1"/>
    <n v="0.94896622429800104"/>
    <n v="0.39655482864173802"/>
    <n v="9.0003001020346904E-2"/>
    <n v="0.226962312698653"/>
    <n v="1.0420729023567199"/>
    <n v="2.0420729023567201"/>
  </r>
  <r>
    <s v="CMP712"/>
    <s v="Shop &amp; Share"/>
    <x v="3"/>
    <x v="121"/>
    <d v="2024-02-14T00:00:00"/>
    <n v="57480"/>
    <n v="8856"/>
    <n v="121.6"/>
    <n v="7835.1679999999997"/>
    <n v="15062.495999999999"/>
    <x v="1"/>
    <x v="1"/>
    <x v="1"/>
    <n v="0.154070981210856"/>
    <n v="1.37308039747064E-2"/>
    <n v="0.88472990063234003"/>
    <n v="64.433947368421101"/>
    <n v="0.92242157411302494"/>
    <n v="1.9224215741130199"/>
  </r>
  <r>
    <s v="CMP713"/>
    <s v="Wishlist Wonders"/>
    <x v="0"/>
    <x v="157"/>
    <d v="2024-09-26T00:00:00"/>
    <n v="42059.199999999997"/>
    <n v="20363.2"/>
    <n v="18462.400000000001"/>
    <n v="2760.6239999999998"/>
    <n v="3680.384"/>
    <x v="1"/>
    <x v="0"/>
    <x v="0"/>
    <n v="0.48415566629893098"/>
    <n v="0.90665514261019897"/>
    <n v="0.13556926219847601"/>
    <n v="0.14952682208163601"/>
    <n v="0.33317105118263102"/>
    <n v="1.33317105118263"/>
  </r>
  <r>
    <s v="CMP714"/>
    <s v="Shop &amp; Share"/>
    <x v="1"/>
    <x v="164"/>
    <d v="2024-03-17T00:00:00"/>
    <n v="34680"/>
    <n v="20190.400000000001"/>
    <n v="5073.6000000000004"/>
    <n v="6217.44"/>
    <n v="11464.928"/>
    <x v="2"/>
    <x v="0"/>
    <x v="0"/>
    <n v="0.58219146482122297"/>
    <n v="0.251287740708455"/>
    <n v="0.307940407322292"/>
    <n v="1.22544938505203"/>
    <n v="0.84399495612342101"/>
    <n v="1.8439949561234199"/>
  </r>
  <r>
    <s v="CMP715"/>
    <s v="Seasonal Steals"/>
    <x v="3"/>
    <x v="19"/>
    <d v="2024-08-16T00:00:00"/>
    <n v="11750.4"/>
    <n v="9566.4"/>
    <n v="7321.6"/>
    <n v="7606.9440000000004"/>
    <n v="19683.263999999999"/>
    <x v="0"/>
    <x v="2"/>
    <x v="0"/>
    <n v="0.81413398692810501"/>
    <n v="0.76534537548085002"/>
    <n v="0.79517310587054701"/>
    <n v="1.0389729020978999"/>
    <n v="1.58753896439884"/>
    <n v="2.5875389643988398"/>
  </r>
  <r>
    <s v="CMP716"/>
    <s v="Deal of the Day"/>
    <x v="2"/>
    <x v="75"/>
    <d v="2024-10-14T00:00:00"/>
    <n v="17462.400000000001"/>
    <n v="1969.6"/>
    <n v="1107.2"/>
    <n v="6142.1760000000004"/>
    <n v="13403.36"/>
    <x v="4"/>
    <x v="1"/>
    <x v="0"/>
    <n v="0.112790910756826"/>
    <n v="0.56214459788789595"/>
    <n v="3.1184890333062598"/>
    <n v="5.5474855491329498"/>
    <n v="1.1821842942956999"/>
    <n v="2.1821842942957002"/>
  </r>
  <r>
    <s v="CMP717"/>
    <s v="Deal of the Day"/>
    <x v="1"/>
    <x v="234"/>
    <d v="2024-09-28T00:00:00"/>
    <n v="43152"/>
    <n v="17740.8"/>
    <n v="6024"/>
    <n v="6685.3760000000002"/>
    <n v="17117.423999999999"/>
    <x v="3"/>
    <x v="0"/>
    <x v="1"/>
    <n v="0.41112347052280301"/>
    <n v="0.339556277056277"/>
    <n v="0.37683621933621902"/>
    <n v="1.1097901726427599"/>
    <n v="1.56042801481921"/>
    <n v="2.5604280148192098"/>
  </r>
  <r>
    <s v="CMP718"/>
    <s v="Wishlist Wonders"/>
    <x v="3"/>
    <x v="118"/>
    <d v="2024-08-17T00:00:00"/>
    <n v="53473.599999999999"/>
    <n v="10700.8"/>
    <n v="4091.2"/>
    <n v="7177.6639999999998"/>
    <n v="17213.488000000001"/>
    <x v="2"/>
    <x v="1"/>
    <x v="0"/>
    <n v="0.200113700966458"/>
    <n v="0.38232655502392299"/>
    <n v="0.67075956937798997"/>
    <n v="1.75441533046539"/>
    <n v="1.3982019776907899"/>
    <n v="2.3982019776907899"/>
  </r>
  <r>
    <s v="CMP719"/>
    <s v="Flash Sale Frenzy"/>
    <x v="1"/>
    <x v="21"/>
    <d v="2024-07-04T00:00:00"/>
    <n v="30913.599999999999"/>
    <n v="11536"/>
    <n v="4257.6000000000004"/>
    <n v="599.91999999999996"/>
    <n v="1508.48"/>
    <x v="4"/>
    <x v="3"/>
    <x v="1"/>
    <n v="0.373169090626779"/>
    <n v="0.36907073509015298"/>
    <n v="5.2004160887655998E-2"/>
    <n v="0.140905674558437"/>
    <n v="1.5144685958127799"/>
    <n v="2.5144685958127702"/>
  </r>
  <r>
    <s v="CMP720"/>
    <s v="Deal of the Day"/>
    <x v="0"/>
    <x v="249"/>
    <d v="2024-03-19T00:00:00"/>
    <n v="58168"/>
    <n v="36552"/>
    <n v="1177.5999999999999"/>
    <n v="2859.056"/>
    <n v="4578.1440000000002"/>
    <x v="2"/>
    <x v="3"/>
    <x v="0"/>
    <n v="0.62838674185119003"/>
    <n v="3.22171153425257E-2"/>
    <n v="7.8218866272707396E-2"/>
    <n v="2.4278668478260901"/>
    <n v="0.60127818412790801"/>
    <n v="1.60127818412791"/>
  </r>
  <r>
    <s v="CMP721"/>
    <s v="Deal of the Day"/>
    <x v="1"/>
    <x v="59"/>
    <d v="2024-04-27T00:00:00"/>
    <n v="78409.600000000006"/>
    <n v="27017.599999999999"/>
    <n v="1334.4"/>
    <n v="1138.336"/>
    <n v="4211.4719999999998"/>
    <x v="4"/>
    <x v="1"/>
    <x v="0"/>
    <n v="0.344570052646615"/>
    <n v="4.9390027241501801E-2"/>
    <n v="4.2133128035058601E-2"/>
    <n v="0.85306954436450799"/>
    <n v="2.6996739099879101"/>
    <n v="3.6996739099879101"/>
  </r>
  <r>
    <s v="CMP722"/>
    <s v="Wishlist Wonders"/>
    <x v="2"/>
    <x v="67"/>
    <d v="2024-04-15T00:00:00"/>
    <n v="5608"/>
    <n v="5174.3999999999996"/>
    <n v="2824"/>
    <n v="3411.8560000000002"/>
    <n v="9781.9840000000004"/>
    <x v="3"/>
    <x v="3"/>
    <x v="0"/>
    <n v="0.92268188302425103"/>
    <n v="0.54576376004947402"/>
    <n v="0.65937229437229405"/>
    <n v="1.2081643059490099"/>
    <n v="1.8670565229013201"/>
    <n v="2.8670565229013198"/>
  </r>
  <r>
    <s v="CMP723"/>
    <s v="Cart to Couch"/>
    <x v="3"/>
    <x v="263"/>
    <d v="2024-05-13T00:00:00"/>
    <n v="63740.800000000003"/>
    <n v="17675.2"/>
    <n v="9673.6"/>
    <n v="2560.8319999999999"/>
    <n v="3853.5360000000001"/>
    <x v="4"/>
    <x v="3"/>
    <x v="0"/>
    <n v="0.277298057131382"/>
    <n v="0.54729790893455199"/>
    <n v="0.144882773603693"/>
    <n v="0.26472378432021199"/>
    <n v="0.50479844050683498"/>
    <n v="1.50479844050684"/>
  </r>
  <r>
    <s v="CMP724"/>
    <s v="Cart to Couch"/>
    <x v="0"/>
    <x v="156"/>
    <d v="2024-10-09T00:00:00"/>
    <n v="76060.800000000003"/>
    <n v="50080"/>
    <n v="41928"/>
    <n v="7612.576"/>
    <n v="24759.936000000002"/>
    <x v="4"/>
    <x v="1"/>
    <x v="0"/>
    <n v="0.65842063191552003"/>
    <n v="0.83722044728434497"/>
    <n v="0.15200830670926499"/>
    <n v="0.18156306048463999"/>
    <n v="2.2525042771330002"/>
    <n v="3.2525042771330002"/>
  </r>
  <r>
    <s v="CMP725"/>
    <s v="Shop &amp; Share"/>
    <x v="2"/>
    <x v="62"/>
    <d v="2024-03-31T00:00:00"/>
    <n v="33028.800000000003"/>
    <n v="9313.6"/>
    <n v="9182.4"/>
    <n v="2305.44"/>
    <n v="3042.24"/>
    <x v="0"/>
    <x v="0"/>
    <x v="0"/>
    <n v="0.28198420772174598"/>
    <n v="0.98591307335509404"/>
    <n v="0.247534787837141"/>
    <n v="0.25107161526398297"/>
    <n v="0.31959192171559397"/>
    <n v="1.31959192171559"/>
  </r>
  <r>
    <s v="CMP726"/>
    <s v="Wishlist Wonders"/>
    <x v="2"/>
    <x v="279"/>
    <d v="2024-09-05T00:00:00"/>
    <n v="12673.6"/>
    <n v="11006.4"/>
    <n v="4809.6000000000004"/>
    <n v="1494.3520000000001"/>
    <n v="4680.3360000000002"/>
    <x v="1"/>
    <x v="0"/>
    <x v="1"/>
    <n v="0.868450953162479"/>
    <n v="0.43698211949411297"/>
    <n v="0.135771187672627"/>
    <n v="0.31070192947438502"/>
    <n v="2.1320170883433098"/>
    <n v="3.1320170883433098"/>
  </r>
  <r>
    <s v="CMP727"/>
    <s v="Shop &amp; Share"/>
    <x v="0"/>
    <x v="133"/>
    <d v="2024-08-30T00:00:00"/>
    <n v="60278.400000000001"/>
    <n v="10195.200000000001"/>
    <n v="7408"/>
    <n v="7752.2079999999996"/>
    <n v="30337.583999999999"/>
    <x v="2"/>
    <x v="3"/>
    <x v="1"/>
    <n v="0.169135212613474"/>
    <n v="0.72661644695543004"/>
    <n v="0.76037821720025101"/>
    <n v="1.04646436285097"/>
    <n v="2.9134120240323802"/>
    <n v="3.9134120240323802"/>
  </r>
  <r>
    <s v="CMP728"/>
    <s v="Cart to Couch"/>
    <x v="2"/>
    <x v="34"/>
    <d v="2024-05-10T00:00:00"/>
    <n v="20073.599999999999"/>
    <n v="2190.4"/>
    <n v="1630.4"/>
    <n v="985.69600000000003"/>
    <n v="1350.64"/>
    <x v="2"/>
    <x v="3"/>
    <x v="0"/>
    <n v="0.109118444125618"/>
    <n v="0.74433893352812297"/>
    <n v="0.45000730460189903"/>
    <n v="0.60457311089303201"/>
    <n v="0.370239911696913"/>
    <n v="1.37023991169691"/>
  </r>
  <r>
    <s v="CMP729"/>
    <s v="Shop &amp; Share"/>
    <x v="2"/>
    <x v="280"/>
    <d v="2024-07-25T00:00:00"/>
    <n v="8083.2"/>
    <n v="281.60000000000002"/>
    <n v="72"/>
    <n v="2476.2719999999999"/>
    <n v="8171.92"/>
    <x v="0"/>
    <x v="1"/>
    <x v="1"/>
    <n v="3.4837688044338899E-2"/>
    <n v="0.25568181818181801"/>
    <n v="8.7935795454545396"/>
    <n v="34.392666666666699"/>
    <n v="2.3000898124277098"/>
    <n v="3.3000898124277098"/>
  </r>
  <r>
    <s v="CMP730"/>
    <s v="Flash Sale Frenzy"/>
    <x v="1"/>
    <x v="8"/>
    <d v="2024-09-27T00:00:00"/>
    <n v="41782.400000000001"/>
    <n v="6478.4"/>
    <n v="1547.2"/>
    <n v="7148.7520000000004"/>
    <n v="28472.848000000002"/>
    <x v="4"/>
    <x v="0"/>
    <x v="0"/>
    <n v="0.15505093053534499"/>
    <n v="0.23882440108668801"/>
    <n v="1.1034749320820001"/>
    <n v="4.6204446742502601"/>
    <n v="2.9829117026300498"/>
    <n v="3.9829117026300498"/>
  </r>
  <r>
    <s v="CMP731"/>
    <s v="Deal of the Day"/>
    <x v="3"/>
    <x v="281"/>
    <d v="2024-02-27T00:00:00"/>
    <n v="6676.8"/>
    <n v="4121.6000000000004"/>
    <n v="1998.4"/>
    <n v="4126.4960000000001"/>
    <n v="10392.048000000001"/>
    <x v="1"/>
    <x v="2"/>
    <x v="0"/>
    <n v="0.61730170141385099"/>
    <n v="0.48486024844720499"/>
    <n v="1.0011878881987599"/>
    <n v="2.0648999199359501"/>
    <n v="1.51837103440789"/>
    <n v="2.5183710344078798"/>
  </r>
  <r>
    <s v="CMP732"/>
    <s v="Deal of the Day"/>
    <x v="0"/>
    <x v="20"/>
    <d v="2024-09-03T00:00:00"/>
    <n v="79531.199999999997"/>
    <n v="25417.599999999999"/>
    <n v="12590.4"/>
    <n v="7578.4319999999998"/>
    <n v="27729.552"/>
    <x v="1"/>
    <x v="3"/>
    <x v="1"/>
    <n v="0.31959281388939198"/>
    <n v="0.49534181039909397"/>
    <n v="0.29815686768223598"/>
    <n v="0.60192146397255097"/>
    <n v="2.6590091459552601"/>
    <n v="3.6590091459552601"/>
  </r>
  <r>
    <s v="CMP733"/>
    <s v="Flash Sale Frenzy"/>
    <x v="2"/>
    <x v="263"/>
    <d v="2024-06-03T00:00:00"/>
    <n v="38760"/>
    <n v="13889.6"/>
    <n v="88"/>
    <n v="4448.72"/>
    <n v="15525.216"/>
    <x v="1"/>
    <x v="4"/>
    <x v="1"/>
    <n v="0.35834881320949402"/>
    <n v="6.3356756134085902E-3"/>
    <n v="0.320291441078217"/>
    <n v="50.5536363636364"/>
    <n v="2.4898163966264399"/>
    <n v="3.4898163966264502"/>
  </r>
  <r>
    <s v="CMP734"/>
    <s v="Shop &amp; Share"/>
    <x v="0"/>
    <x v="222"/>
    <d v="2024-03-02T00:00:00"/>
    <n v="18830.400000000001"/>
    <n v="2241.6"/>
    <n v="33.6"/>
    <n v="5410.2240000000002"/>
    <n v="13427.824000000001"/>
    <x v="4"/>
    <x v="3"/>
    <x v="0"/>
    <n v="0.11904154983431001"/>
    <n v="1.49892933618844E-2"/>
    <n v="2.41355460385439"/>
    <n v="161.01857142857099"/>
    <n v="1.4819349439136"/>
    <n v="2.4819349439136"/>
  </r>
  <r>
    <s v="CMP735"/>
    <s v="Flash Sale Frenzy"/>
    <x v="3"/>
    <x v="117"/>
    <d v="2024-03-21T00:00:00"/>
    <n v="3641.6"/>
    <n v="2174.4"/>
    <n v="422.4"/>
    <n v="4368.5439999999999"/>
    <n v="8932.5280000000002"/>
    <x v="3"/>
    <x v="2"/>
    <x v="0"/>
    <n v="0.59710017574692398"/>
    <n v="0.19426048565121401"/>
    <n v="2.00908020603385"/>
    <n v="10.342196969697"/>
    <n v="1.0447380179757799"/>
    <n v="2.0447380179757801"/>
  </r>
  <r>
    <s v="CMP736"/>
    <s v="Wishlist Wonders"/>
    <x v="2"/>
    <x v="81"/>
    <d v="2024-01-21T00:00:00"/>
    <n v="1923.2"/>
    <n v="464"/>
    <n v="396.8"/>
    <n v="3150.9760000000001"/>
    <n v="9523.7119999999995"/>
    <x v="4"/>
    <x v="0"/>
    <x v="0"/>
    <n v="0.24126455906822"/>
    <n v="0.85517241379310305"/>
    <n v="6.7908965517241402"/>
    <n v="7.9409677419354798"/>
    <n v="2.0224641507900998"/>
    <n v="3.0224641507900998"/>
  </r>
  <r>
    <s v="CMP737"/>
    <s v="Cart to Couch"/>
    <x v="3"/>
    <x v="252"/>
    <d v="2024-07-22T00:00:00"/>
    <n v="38587.199999999997"/>
    <n v="26523.200000000001"/>
    <n v="17787.2"/>
    <n v="4236.8639999999996"/>
    <n v="11295.567999999999"/>
    <x v="1"/>
    <x v="4"/>
    <x v="0"/>
    <n v="0.68735746568810396"/>
    <n v="0.67062797852446199"/>
    <n v="0.15974181094287301"/>
    <n v="0.238197355401637"/>
    <n v="1.66602090602861"/>
    <n v="2.66602090602861"/>
  </r>
  <r>
    <s v="CMP738"/>
    <s v="Shop &amp; Share"/>
    <x v="3"/>
    <x v="42"/>
    <d v="2024-04-04T00:00:00"/>
    <n v="70011.199999999997"/>
    <n v="13760"/>
    <n v="8878.4"/>
    <n v="5728.7839999999997"/>
    <n v="10943.12"/>
    <x v="4"/>
    <x v="0"/>
    <x v="1"/>
    <n v="0.19653998217428101"/>
    <n v="0.64523255813953495"/>
    <n v="0.41633604651162798"/>
    <n v="0.64524959452153496"/>
    <n v="0.91019944197581903"/>
    <n v="1.9101994419758199"/>
  </r>
  <r>
    <s v="CMP739"/>
    <s v="Flash Sale Frenzy"/>
    <x v="2"/>
    <x v="282"/>
    <d v="2024-06-04T00:00:00"/>
    <n v="20411.2"/>
    <n v="6331.2"/>
    <n v="4734.3999999999996"/>
    <n v="3666.7840000000001"/>
    <n v="9891.6640000000007"/>
    <x v="3"/>
    <x v="4"/>
    <x v="0"/>
    <n v="0.31018264482245"/>
    <n v="0.74778872883497605"/>
    <n v="0.579160980540814"/>
    <n v="0.77449814126394101"/>
    <n v="1.6976402209674699"/>
    <n v="2.6976402209674699"/>
  </r>
  <r>
    <s v="CMP740"/>
    <s v="Deal of the Day"/>
    <x v="0"/>
    <x v="205"/>
    <d v="2024-07-11T00:00:00"/>
    <n v="26542.400000000001"/>
    <n v="13459.2"/>
    <n v="7905.6"/>
    <n v="6133.36"/>
    <n v="9407.6"/>
    <x v="1"/>
    <x v="4"/>
    <x v="0"/>
    <n v="0.50708300681174301"/>
    <n v="0.58737517831668995"/>
    <n v="0.45570019020447"/>
    <n v="0.77582473183566103"/>
    <n v="0.53384115721236003"/>
    <n v="1.53384115721236"/>
  </r>
  <r>
    <s v="CMP741"/>
    <s v="Flash Sale Frenzy"/>
    <x v="3"/>
    <x v="60"/>
    <d v="2024-09-07T00:00:00"/>
    <n v="36648"/>
    <n v="19868.8"/>
    <n v="12278.4"/>
    <n v="2650.4319999999998"/>
    <n v="6439.3919999999998"/>
    <x v="1"/>
    <x v="3"/>
    <x v="0"/>
    <n v="0.54215236847849801"/>
    <n v="0.61797390884200398"/>
    <n v="0.133396682235465"/>
    <n v="0.215861350013031"/>
    <n v="1.4295631806437601"/>
    <n v="2.4295631806437599"/>
  </r>
  <r>
    <s v="CMP742"/>
    <s v="Cart to Couch"/>
    <x v="3"/>
    <x v="222"/>
    <d v="2024-02-17T00:00:00"/>
    <n v="42004.800000000003"/>
    <n v="30102.400000000001"/>
    <n v="7044.8"/>
    <n v="7421.1679999999997"/>
    <n v="27182"/>
    <x v="3"/>
    <x v="1"/>
    <x v="0"/>
    <n v="0.71664190759151303"/>
    <n v="0.23402785159987199"/>
    <n v="0.24653077495482101"/>
    <n v="1.0534249375425799"/>
    <n v="2.6627657533153801"/>
    <n v="3.6627657533153801"/>
  </r>
  <r>
    <s v="CMP743"/>
    <s v="Flash Sale Frenzy"/>
    <x v="3"/>
    <x v="283"/>
    <d v="2024-10-09T00:00:00"/>
    <n v="13249.6"/>
    <n v="3073.6"/>
    <n v="1145.5999999999999"/>
    <n v="2014.6559999999999"/>
    <n v="3518.8159999999998"/>
    <x v="4"/>
    <x v="1"/>
    <x v="1"/>
    <n v="0.23197681439439699"/>
    <n v="0.372722540343571"/>
    <n v="0.65547110879750103"/>
    <n v="1.7586033519553099"/>
    <n v="0.74660885034467395"/>
    <n v="1.7466088503446699"/>
  </r>
  <r>
    <s v="CMP744"/>
    <s v="Deal of the Day"/>
    <x v="2"/>
    <x v="84"/>
    <d v="2024-07-06T00:00:00"/>
    <n v="21219.200000000001"/>
    <n v="17070.400000000001"/>
    <n v="163.19999999999999"/>
    <n v="556.57600000000002"/>
    <n v="1283.136"/>
    <x v="1"/>
    <x v="2"/>
    <x v="0"/>
    <n v="0.804478962449103"/>
    <n v="9.5604086606054899E-3"/>
    <n v="3.2604742712531602E-2"/>
    <n v="3.4103921568627502"/>
    <n v="1.30541022250331"/>
    <n v="2.3054102225033102"/>
  </r>
  <r>
    <s v="CMP745"/>
    <s v="Wishlist Wonders"/>
    <x v="1"/>
    <x v="4"/>
    <d v="2024-11-01T00:00:00"/>
    <n v="38038.400000000001"/>
    <n v="30284.799999999999"/>
    <n v="29563.200000000001"/>
    <n v="904.83199999999999"/>
    <n v="3071.76"/>
    <x v="2"/>
    <x v="4"/>
    <x v="0"/>
    <n v="0.79616387650374398"/>
    <n v="0.97617286559594296"/>
    <n v="2.98774302620456E-2"/>
    <n v="3.0606700221897501E-2"/>
    <n v="2.3948401471212302"/>
    <n v="3.3948401471212302"/>
  </r>
  <r>
    <s v="CMP746"/>
    <s v="Cart to Couch"/>
    <x v="1"/>
    <x v="33"/>
    <d v="2024-06-01T00:00:00"/>
    <n v="10400"/>
    <n v="4457.6000000000004"/>
    <n v="2336"/>
    <n v="7296.1440000000002"/>
    <n v="23946.704000000002"/>
    <x v="0"/>
    <x v="1"/>
    <x v="0"/>
    <n v="0.42861538461538501"/>
    <n v="0.52404881550610205"/>
    <n v="1.6367875089734401"/>
    <n v="3.1233493150684901"/>
    <n v="2.2821040812790998"/>
    <n v="3.2821040812790998"/>
  </r>
  <r>
    <s v="CMP747"/>
    <s v="Wishlist Wonders"/>
    <x v="0"/>
    <x v="218"/>
    <d v="2024-01-27T00:00:00"/>
    <n v="42558.400000000001"/>
    <n v="20224"/>
    <n v="7729.6"/>
    <n v="3200.7040000000002"/>
    <n v="10429.76"/>
    <x v="1"/>
    <x v="1"/>
    <x v="0"/>
    <n v="0.47520583480582002"/>
    <n v="0.38219936708860802"/>
    <n v="0.15826265822784799"/>
    <n v="0.41408404057130999"/>
    <n v="2.2585831117154198"/>
    <n v="3.2585831117154198"/>
  </r>
  <r>
    <s v="CMP748"/>
    <s v="Flash Sale Frenzy"/>
    <x v="2"/>
    <x v="123"/>
    <d v="2024-04-13T00:00:00"/>
    <n v="36412.800000000003"/>
    <n v="22016"/>
    <n v="13016"/>
    <n v="4564.3360000000002"/>
    <n v="16127.776"/>
    <x v="2"/>
    <x v="0"/>
    <x v="1"/>
    <n v="0.60462255031197798"/>
    <n v="0.59120639534883701"/>
    <n v="0.20731904069767401"/>
    <n v="0.35067117393976599"/>
    <n v="2.5334331214879899"/>
    <n v="3.5334331214879899"/>
  </r>
  <r>
    <s v="CMP749"/>
    <s v="Cart to Couch"/>
    <x v="3"/>
    <x v="284"/>
    <d v="2024-10-01T00:00:00"/>
    <n v="57777.599999999999"/>
    <n v="22464"/>
    <n v="585.6"/>
    <n v="6009.232"/>
    <n v="14596.592000000001"/>
    <x v="4"/>
    <x v="2"/>
    <x v="0"/>
    <n v="0.388801196311373"/>
    <n v="2.6068376068376101E-2"/>
    <n v="0.26750498575498599"/>
    <n v="10.2616666666667"/>
    <n v="1.4290278691187199"/>
    <n v="2.4290278691187202"/>
  </r>
  <r>
    <s v="CMP750"/>
    <s v="Shop &amp; Share"/>
    <x v="3"/>
    <x v="227"/>
    <d v="2024-10-09T00:00:00"/>
    <n v="67368"/>
    <n v="18027.2"/>
    <n v="9035.2000000000007"/>
    <n v="2980.2240000000002"/>
    <n v="6987.5680000000002"/>
    <x v="2"/>
    <x v="2"/>
    <x v="1"/>
    <n v="0.26759292245576499"/>
    <n v="0.50119818940268002"/>
    <n v="0.16531818585249"/>
    <n v="0.32984593589516598"/>
    <n v="1.3446452347206099"/>
    <n v="2.3446452347206099"/>
  </r>
  <r>
    <s v="CMP751"/>
    <s v="Deal of the Day"/>
    <x v="2"/>
    <x v="62"/>
    <d v="2024-03-31T00:00:00"/>
    <n v="41998.400000000001"/>
    <n v="34908.800000000003"/>
    <n v="17638.400000000001"/>
    <n v="3898.4960000000001"/>
    <n v="5912.64"/>
    <x v="1"/>
    <x v="3"/>
    <x v="0"/>
    <n v="0.83119356927883004"/>
    <n v="0.50527087725731001"/>
    <n v="0.111676597304978"/>
    <n v="0.22102322206095801"/>
    <n v="0.51664641954230595"/>
    <n v="1.5166464195423099"/>
  </r>
  <r>
    <s v="CMP752"/>
    <s v="Shop &amp; Share"/>
    <x v="1"/>
    <x v="204"/>
    <d v="2024-11-14T00:00:00"/>
    <n v="31716.799999999999"/>
    <n v="26390.400000000001"/>
    <n v="5870.4"/>
    <n v="5545.0240000000003"/>
    <n v="9620.1119999999992"/>
    <x v="3"/>
    <x v="2"/>
    <x v="0"/>
    <n v="0.83206376431418105"/>
    <n v="0.22244452528192099"/>
    <n v="0.210115193403662"/>
    <n v="0.94457345325701803"/>
    <n v="0.73490899227848205"/>
    <n v="1.7349089922784799"/>
  </r>
  <r>
    <s v="CMP753"/>
    <s v="Wishlist Wonders"/>
    <x v="2"/>
    <x v="268"/>
    <d v="2024-09-08T00:00:00"/>
    <n v="65843.199999999997"/>
    <n v="39230.400000000001"/>
    <n v="37131.199999999997"/>
    <n v="2185.7600000000002"/>
    <n v="5294.88"/>
    <x v="2"/>
    <x v="3"/>
    <x v="0"/>
    <n v="0.59581551321928505"/>
    <n v="0.94649047677311504"/>
    <n v="5.5715975366042697E-2"/>
    <n v="5.8865859438962401E-2"/>
    <n v="1.42244345216309"/>
    <n v="2.42244345216309"/>
  </r>
  <r>
    <s v="CMP754"/>
    <s v="Deal of the Day"/>
    <x v="2"/>
    <x v="173"/>
    <d v="2024-07-18T00:00:00"/>
    <n v="62347.199999999997"/>
    <n v="8028.8"/>
    <n v="22.4"/>
    <n v="6263.7120000000004"/>
    <n v="8486.48"/>
    <x v="3"/>
    <x v="2"/>
    <x v="0"/>
    <n v="0.128775630661842"/>
    <n v="2.7899561578318098E-3"/>
    <n v="0.78015544041450802"/>
    <n v="279.63"/>
    <n v="0.35486433603588402"/>
    <n v="1.3548643360358801"/>
  </r>
  <r>
    <s v="CMP755"/>
    <s v="Wishlist Wonders"/>
    <x v="0"/>
    <x v="185"/>
    <d v="2024-10-09T00:00:00"/>
    <n v="33043.199999999997"/>
    <n v="20632"/>
    <n v="5188.8"/>
    <n v="4923.808"/>
    <n v="17461.856"/>
    <x v="4"/>
    <x v="4"/>
    <x v="0"/>
    <n v="0.62439473174510995"/>
    <n v="0.25149282667700701"/>
    <n v="0.23864908879410601"/>
    <n v="0.94893000308356501"/>
    <n v="2.5464128576906302"/>
    <n v="3.5464128576906302"/>
  </r>
  <r>
    <s v="CMP756"/>
    <s v="Flash Sale Frenzy"/>
    <x v="0"/>
    <x v="93"/>
    <d v="2024-04-05T00:00:00"/>
    <n v="33062.400000000001"/>
    <n v="6585.6"/>
    <n v="1478.4"/>
    <n v="6553.7759999999998"/>
    <n v="17503.008000000002"/>
    <x v="1"/>
    <x v="3"/>
    <x v="0"/>
    <n v="0.19918699186991901"/>
    <n v="0.22448979591836701"/>
    <n v="0.99516763848396494"/>
    <n v="4.43301948051948"/>
    <n v="1.6706753480741501"/>
    <n v="2.6706753480741501"/>
  </r>
  <r>
    <s v="CMP757"/>
    <s v="Seasonal Steals"/>
    <x v="3"/>
    <x v="6"/>
    <d v="2024-04-11T00:00:00"/>
    <n v="77702.399999999994"/>
    <n v="39219.199999999997"/>
    <n v="7404.8"/>
    <n v="569.31200000000001"/>
    <n v="1327.1679999999999"/>
    <x v="1"/>
    <x v="3"/>
    <x v="0"/>
    <n v="0.50473601844988103"/>
    <n v="0.18880548302872099"/>
    <n v="1.45161553524804E-2"/>
    <n v="7.6884183232497794E-2"/>
    <n v="1.3311786858524"/>
    <n v="2.3311786858524002"/>
  </r>
  <r>
    <s v="CMP758"/>
    <s v="Seasonal Steals"/>
    <x v="2"/>
    <x v="188"/>
    <d v="2024-01-30T00:00:00"/>
    <n v="4459.2"/>
    <n v="1304"/>
    <n v="558.4"/>
    <n v="7242.4319999999998"/>
    <n v="24307.824000000001"/>
    <x v="0"/>
    <x v="1"/>
    <x v="1"/>
    <n v="0.29242913527090098"/>
    <n v="0.42822085889570499"/>
    <n v="5.5540122699386503"/>
    <n v="12.9699713467049"/>
    <n v="2.3563068317382898"/>
    <n v="3.3563068317382898"/>
  </r>
  <r>
    <s v="CMP759"/>
    <s v="Seasonal Steals"/>
    <x v="0"/>
    <x v="42"/>
    <d v="2024-04-24T00:00:00"/>
    <n v="27494.400000000001"/>
    <n v="10747.2"/>
    <n v="6796.8"/>
    <n v="7159.6480000000001"/>
    <n v="11606.48"/>
    <x v="3"/>
    <x v="3"/>
    <x v="0"/>
    <n v="0.39088687150837997"/>
    <n v="0.632425189816883"/>
    <n v="0.66618728599077004"/>
    <n v="1.0533851224105499"/>
    <n v="0.62109645613862596"/>
    <n v="1.6210964561386301"/>
  </r>
  <r>
    <s v="CMP760"/>
    <s v="Flash Sale Frenzy"/>
    <x v="3"/>
    <x v="274"/>
    <d v="2024-07-01T00:00:00"/>
    <n v="26604.799999999999"/>
    <n v="15929.6"/>
    <n v="6086.4"/>
    <n v="6812.72"/>
    <n v="16504.848000000002"/>
    <x v="4"/>
    <x v="1"/>
    <x v="0"/>
    <n v="0.59874909790714503"/>
    <n v="0.382081157091201"/>
    <n v="0.42767677782241897"/>
    <n v="1.1193349106204"/>
    <n v="1.4226517455583101"/>
    <n v="2.4226517455583099"/>
  </r>
  <r>
    <s v="CMP761"/>
    <s v="Cart to Couch"/>
    <x v="1"/>
    <x v="75"/>
    <d v="2024-10-16T00:00:00"/>
    <n v="19387.2"/>
    <n v="13275.2"/>
    <n v="2059.1999999999998"/>
    <n v="7784.08"/>
    <n v="26340.752"/>
    <x v="3"/>
    <x v="3"/>
    <x v="1"/>
    <n v="0.68474044730543904"/>
    <n v="0.155116307098951"/>
    <n v="0.58636254067735305"/>
    <n v="3.78014763014763"/>
    <n v="2.3839261672541898"/>
    <n v="3.3839261672541898"/>
  </r>
  <r>
    <s v="CMP762"/>
    <s v="Flash Sale Frenzy"/>
    <x v="0"/>
    <x v="192"/>
    <d v="2024-02-07T00:00:00"/>
    <n v="74934.399999999994"/>
    <n v="18833.599999999999"/>
    <n v="17212.8"/>
    <n v="7182.384"/>
    <n v="10094.415999999999"/>
    <x v="4"/>
    <x v="1"/>
    <x v="0"/>
    <n v="0.25133450057650403"/>
    <n v="0.913941041542775"/>
    <n v="0.38136012233455102"/>
    <n v="0.41726993865030698"/>
    <n v="0.40544086754481501"/>
    <n v="1.40544086754482"/>
  </r>
  <r>
    <s v="CMP763"/>
    <s v="Cart to Couch"/>
    <x v="3"/>
    <x v="129"/>
    <d v="2024-10-04T00:00:00"/>
    <n v="78713.600000000006"/>
    <n v="54510.400000000001"/>
    <n v="45865.599999999999"/>
    <n v="2281.9679999999998"/>
    <n v="3903.12"/>
    <x v="0"/>
    <x v="3"/>
    <x v="0"/>
    <n v="0.69251565167899798"/>
    <n v="0.84141007954445401"/>
    <n v="4.1862983944348203E-2"/>
    <n v="4.9753366357357103E-2"/>
    <n v="0.71041837571780198"/>
    <n v="1.7104183757178"/>
  </r>
  <r>
    <s v="CMP764"/>
    <s v="Flash Sale Frenzy"/>
    <x v="3"/>
    <x v="117"/>
    <d v="2024-03-19T00:00:00"/>
    <n v="40393.599999999999"/>
    <n v="15099.2"/>
    <n v="9185.6"/>
    <n v="3331.9520000000002"/>
    <n v="6275.12"/>
    <x v="0"/>
    <x v="0"/>
    <x v="1"/>
    <n v="0.373801790382635"/>
    <n v="0.60835011126417304"/>
    <n v="0.220670764013987"/>
    <n v="0.36273645706322899"/>
    <n v="0.88331644633536099"/>
    <n v="1.88331644633536"/>
  </r>
  <r>
    <s v="CMP765"/>
    <s v="Shop &amp; Share"/>
    <x v="3"/>
    <x v="270"/>
    <d v="2024-02-21T00:00:00"/>
    <n v="45585.599999999999"/>
    <n v="8916.7999999999993"/>
    <n v="315.2"/>
    <n v="7627.152"/>
    <n v="14560.4"/>
    <x v="4"/>
    <x v="4"/>
    <x v="0"/>
    <n v="0.19560562984802199"/>
    <n v="3.5349004127041103E-2"/>
    <n v="0.85536874214964997"/>
    <n v="24.197817258883301"/>
    <n v="0.90902187343322904"/>
    <n v="1.90902187343323"/>
  </r>
  <r>
    <s v="CMP766"/>
    <s v="Cart to Couch"/>
    <x v="1"/>
    <x v="53"/>
    <d v="2024-06-12T00:00:00"/>
    <n v="32033.599999999999"/>
    <n v="1073.5999999999999"/>
    <n v="484.8"/>
    <n v="7633.68"/>
    <n v="22262.16"/>
    <x v="2"/>
    <x v="1"/>
    <x v="1"/>
    <n v="3.3514809450077399E-2"/>
    <n v="0.45156482861400898"/>
    <n v="7.1103576751117696"/>
    <n v="15.7460396039604"/>
    <n v="1.91630773100261"/>
    <n v="2.9163077310026102"/>
  </r>
  <r>
    <s v="CMP767"/>
    <s v="Deal of the Day"/>
    <x v="0"/>
    <x v="102"/>
    <d v="2024-02-27T00:00:00"/>
    <n v="29814.400000000001"/>
    <n v="18404.8"/>
    <n v="83.2"/>
    <n v="5304.7039999999997"/>
    <n v="12057.472"/>
    <x v="3"/>
    <x v="4"/>
    <x v="0"/>
    <n v="0.61731243962648896"/>
    <n v="4.5205598539511402E-3"/>
    <n v="0.288223941580457"/>
    <n v="63.758461538461503"/>
    <n v="1.27297734237386"/>
    <n v="2.27297734237386"/>
  </r>
  <r>
    <s v="CMP768"/>
    <s v="Deal of the Day"/>
    <x v="3"/>
    <x v="104"/>
    <d v="2024-05-07T00:00:00"/>
    <n v="36104"/>
    <n v="3449.6"/>
    <n v="1569.6"/>
    <n v="7817.2479999999996"/>
    <n v="15435.871999999999"/>
    <x v="3"/>
    <x v="1"/>
    <x v="0"/>
    <n v="9.5546199867050693E-2"/>
    <n v="0.455009276437848"/>
    <n v="2.26613172541744"/>
    <n v="4.9804077471967396"/>
    <n v="0.97459156982099104"/>
    <n v="1.9745915698209899"/>
  </r>
  <r>
    <s v="CMP769"/>
    <s v="Cart to Couch"/>
    <x v="0"/>
    <x v="285"/>
    <d v="2024-03-27T00:00:00"/>
    <n v="12388.8"/>
    <n v="8729.6"/>
    <n v="4217.6000000000004"/>
    <n v="1055.76"/>
    <n v="2076.5439999999999"/>
    <x v="3"/>
    <x v="1"/>
    <x v="0"/>
    <n v="0.704636445822033"/>
    <n v="0.48313782991202298"/>
    <n v="0.120940249266862"/>
    <n v="0.25032245827010602"/>
    <n v="0.96687125861938295"/>
    <n v="1.9668712586193799"/>
  </r>
  <r>
    <s v="CMP770"/>
    <s v="Wishlist Wonders"/>
    <x v="3"/>
    <x v="281"/>
    <d v="2024-03-10T00:00:00"/>
    <n v="20443.2"/>
    <n v="11905.6"/>
    <n v="1024"/>
    <n v="1820.7840000000001"/>
    <n v="4006.72"/>
    <x v="4"/>
    <x v="1"/>
    <x v="0"/>
    <n v="0.58237457932222003"/>
    <n v="8.6009944899879107E-2"/>
    <n v="0.15293508936970801"/>
    <n v="1.7781093750000001"/>
    <n v="1.20054657773794"/>
    <n v="2.2005465777379398"/>
  </r>
  <r>
    <s v="CMP771"/>
    <s v="Cart to Couch"/>
    <x v="2"/>
    <x v="162"/>
    <d v="2024-11-10T00:00:00"/>
    <n v="69625.600000000006"/>
    <n v="29470.400000000001"/>
    <n v="27787.200000000001"/>
    <n v="4444.5600000000004"/>
    <n v="9457.2639999999992"/>
    <x v="2"/>
    <x v="2"/>
    <x v="1"/>
    <n v="0.42326960198547697"/>
    <n v="0.94288506433574004"/>
    <n v="0.15081437645909099"/>
    <n v="0.159949904992227"/>
    <n v="1.12782907644401"/>
    <n v="2.12782907644401"/>
  </r>
  <r>
    <s v="CMP772"/>
    <s v="Cart to Couch"/>
    <x v="0"/>
    <x v="55"/>
    <d v="2024-08-16T00:00:00"/>
    <n v="9160"/>
    <n v="2723.2"/>
    <n v="265.60000000000002"/>
    <n v="1300.144"/>
    <n v="4079.9520000000002"/>
    <x v="3"/>
    <x v="3"/>
    <x v="1"/>
    <n v="0.29729257641921403"/>
    <n v="9.7532314923619301E-2"/>
    <n v="0.477432432432432"/>
    <n v="4.8951204819277097"/>
    <n v="2.13807701300779"/>
    <n v="3.13807701300779"/>
  </r>
  <r>
    <s v="CMP773"/>
    <s v="Deal of the Day"/>
    <x v="0"/>
    <x v="251"/>
    <d v="2024-03-12T00:00:00"/>
    <n v="38265.599999999999"/>
    <n v="15352"/>
    <n v="7156.8"/>
    <n v="3292.384"/>
    <n v="6518.3040000000001"/>
    <x v="1"/>
    <x v="4"/>
    <x v="0"/>
    <n v="0.40119585214918901"/>
    <n v="0.46618030224075002"/>
    <n v="0.214459614382491"/>
    <n v="0.46003577017661501"/>
    <n v="0.97981280433874096"/>
    <n v="1.97981280433874"/>
  </r>
  <r>
    <s v="CMP774"/>
    <s v="Deal of the Day"/>
    <x v="3"/>
    <x v="148"/>
    <d v="2024-01-27T00:00:00"/>
    <n v="76537.600000000006"/>
    <n v="40769.599999999999"/>
    <n v="21454.400000000001"/>
    <n v="7712.9440000000004"/>
    <n v="15385.744000000001"/>
    <x v="4"/>
    <x v="1"/>
    <x v="1"/>
    <n v="0.53267413663349805"/>
    <n v="0.52623523409599304"/>
    <n v="0.189183705506063"/>
    <n v="0.35950406443433502"/>
    <n v="0.994795242905951"/>
    <n v="1.9947952429059499"/>
  </r>
  <r>
    <s v="CMP775"/>
    <s v="Cart to Couch"/>
    <x v="1"/>
    <x v="100"/>
    <d v="2024-01-20T00:00:00"/>
    <n v="62812.800000000003"/>
    <n v="33832"/>
    <n v="28640"/>
    <n v="5998.2719999999999"/>
    <n v="8060.8639999999996"/>
    <x v="2"/>
    <x v="3"/>
    <x v="1"/>
    <n v="0.53861633297671796"/>
    <n v="0.84653582407188499"/>
    <n v="0.17729581461338401"/>
    <n v="0.20943687150838"/>
    <n v="0.34386436627081901"/>
    <n v="1.3438643662708201"/>
  </r>
  <r>
    <s v="CMP776"/>
    <s v="Wishlist Wonders"/>
    <x v="3"/>
    <x v="190"/>
    <d v="2024-05-06T00:00:00"/>
    <n v="18152"/>
    <n v="8352"/>
    <n v="2353.6"/>
    <n v="5101.4080000000004"/>
    <n v="19792.48"/>
    <x v="1"/>
    <x v="1"/>
    <x v="0"/>
    <n v="0.46011458792419602"/>
    <n v="0.28180076628352502"/>
    <n v="0.61080076628352498"/>
    <n v="2.1674915023793302"/>
    <n v="2.8798073002590701"/>
    <n v="3.8798073002590598"/>
  </r>
  <r>
    <s v="CMP777"/>
    <s v="Seasonal Steals"/>
    <x v="3"/>
    <x v="96"/>
    <d v="2024-02-25T00:00:00"/>
    <n v="27366.400000000001"/>
    <n v="18342.400000000001"/>
    <n v="17534.400000000001"/>
    <n v="7120.2560000000003"/>
    <n v="21050.799999999999"/>
    <x v="4"/>
    <x v="1"/>
    <x v="1"/>
    <n v="0.67025257249766101"/>
    <n v="0.95594905792044704"/>
    <n v="0.38818562456385203"/>
    <n v="0.40607354685646502"/>
    <n v="1.9564667337803601"/>
    <n v="2.9564667337803598"/>
  </r>
  <r>
    <s v="CMP778"/>
    <s v="Seasonal Steals"/>
    <x v="2"/>
    <x v="221"/>
    <d v="2024-03-20T00:00:00"/>
    <n v="54232"/>
    <n v="33707.199999999997"/>
    <n v="29793.599999999999"/>
    <n v="1456.672"/>
    <n v="3634.6239999999998"/>
    <x v="1"/>
    <x v="1"/>
    <x v="1"/>
    <n v="0.62153709986723704"/>
    <n v="0.88389424217971202"/>
    <n v="4.32154554516542E-2"/>
    <n v="4.8892111057408302E-2"/>
    <n v="1.4951560818084"/>
    <n v="2.4951560818084002"/>
  </r>
  <r>
    <s v="CMP779"/>
    <s v="Seasonal Steals"/>
    <x v="0"/>
    <x v="146"/>
    <d v="2024-04-01T00:00:00"/>
    <n v="57664"/>
    <n v="47515.199999999997"/>
    <n v="47408"/>
    <n v="7679.1679999999997"/>
    <n v="15735.616"/>
    <x v="0"/>
    <x v="0"/>
    <x v="0"/>
    <n v="0.82400110987791297"/>
    <n v="0.99774387985318402"/>
    <n v="0.16161497794390001"/>
    <n v="0.16198042524468401"/>
    <n v="1.0491303224516"/>
    <n v="2.0491303224516"/>
  </r>
  <r>
    <s v="CMP780"/>
    <s v="Shop &amp; Share"/>
    <x v="3"/>
    <x v="130"/>
    <d v="2024-03-29T00:00:00"/>
    <n v="68550.399999999994"/>
    <n v="22480"/>
    <n v="6676.8"/>
    <n v="1768.4639999999999"/>
    <n v="6623.5039999999999"/>
    <x v="3"/>
    <x v="2"/>
    <x v="0"/>
    <n v="0.32793389972925002"/>
    <n v="0.297010676156584"/>
    <n v="7.8668327402135196E-2"/>
    <n v="0.26486700215672199"/>
    <n v="2.7453428511974201"/>
    <n v="3.7453428511974201"/>
  </r>
  <r>
    <s v="CMP781"/>
    <s v="Shop &amp; Share"/>
    <x v="2"/>
    <x v="228"/>
    <d v="2024-07-08T00:00:00"/>
    <n v="4017.6"/>
    <n v="611.20000000000005"/>
    <n v="600"/>
    <n v="2162.8159999999998"/>
    <n v="3938.7040000000002"/>
    <x v="2"/>
    <x v="3"/>
    <x v="0"/>
    <n v="0.152130625248905"/>
    <n v="0.98167539267015702"/>
    <n v="3.5386387434555"/>
    <n v="3.60469333333333"/>
    <n v="0.82109989939042505"/>
    <n v="1.8210998993904199"/>
  </r>
  <r>
    <s v="CMP782"/>
    <s v="Deal of the Day"/>
    <x v="3"/>
    <x v="92"/>
    <d v="2024-06-26T00:00:00"/>
    <n v="40769.599999999999"/>
    <n v="4678.3999999999996"/>
    <n v="2457.6"/>
    <n v="1388.6079999999999"/>
    <n v="1815.104"/>
    <x v="1"/>
    <x v="0"/>
    <x v="1"/>
    <n v="0.11475216828225"/>
    <n v="0.52530779753762002"/>
    <n v="0.296812585499316"/>
    <n v="0.56502604166666703"/>
    <n v="0.307139235839056"/>
    <n v="1.3071392358390601"/>
  </r>
  <r>
    <s v="CMP783"/>
    <s v="Flash Sale Frenzy"/>
    <x v="1"/>
    <x v="285"/>
    <d v="2024-03-15T00:00:00"/>
    <n v="40521.599999999999"/>
    <n v="30931.200000000001"/>
    <n v="23302.400000000001"/>
    <n v="2267.5039999999999"/>
    <n v="4672.9920000000002"/>
    <x v="3"/>
    <x v="0"/>
    <x v="0"/>
    <n v="0.76332622601279299"/>
    <n v="0.753362300848334"/>
    <n v="7.3307986757707402E-2"/>
    <n v="9.7307745124965705E-2"/>
    <n v="1.0608528143721001"/>
    <n v="2.0608528143721001"/>
  </r>
  <r>
    <s v="CMP784"/>
    <s v="Cart to Couch"/>
    <x v="0"/>
    <x v="212"/>
    <d v="2024-09-24T00:00:00"/>
    <n v="7176"/>
    <n v="6595.2"/>
    <n v="1950.4"/>
    <n v="5111.28"/>
    <n v="7486.3360000000002"/>
    <x v="3"/>
    <x v="4"/>
    <x v="0"/>
    <n v="0.91906354515050204"/>
    <n v="0.295730228044639"/>
    <n v="0.77500000000000002"/>
    <n v="2.6206316652994301"/>
    <n v="0.464669515268191"/>
    <n v="1.4646695152681899"/>
  </r>
  <r>
    <s v="CMP785"/>
    <s v="Seasonal Steals"/>
    <x v="3"/>
    <x v="150"/>
    <d v="2024-09-14T00:00:00"/>
    <n v="2281.6"/>
    <n v="790.4"/>
    <n v="505.6"/>
    <n v="7838.4480000000003"/>
    <n v="18830.815999999999"/>
    <x v="3"/>
    <x v="3"/>
    <x v="0"/>
    <n v="0.34642356241234201"/>
    <n v="0.63967611336032404"/>
    <n v="9.9170647773279406"/>
    <n v="15.5032594936709"/>
    <n v="1.4023653662051501"/>
    <n v="2.4023653662051498"/>
  </r>
  <r>
    <s v="CMP786"/>
    <s v="Wishlist Wonders"/>
    <x v="1"/>
    <x v="51"/>
    <d v="2024-08-30T00:00:00"/>
    <n v="40012.800000000003"/>
    <n v="6720"/>
    <n v="664"/>
    <n v="6232.2240000000002"/>
    <n v="14050.992"/>
    <x v="1"/>
    <x v="1"/>
    <x v="0"/>
    <n v="0.16794625719769701"/>
    <n v="9.8809523809523805E-2"/>
    <n v="0.92741428571428597"/>
    <n v="9.38587951807229"/>
    <n v="1.25457108088541"/>
    <n v="2.2545710808854098"/>
  </r>
  <r>
    <s v="CMP787"/>
    <s v="Seasonal Steals"/>
    <x v="1"/>
    <x v="26"/>
    <d v="2024-09-03T00:00:00"/>
    <n v="29182.400000000001"/>
    <n v="504"/>
    <n v="372.8"/>
    <n v="4867.84"/>
    <n v="11349.536"/>
    <x v="0"/>
    <x v="1"/>
    <x v="0"/>
    <n v="1.72706836997642E-2"/>
    <n v="0.73968253968254005"/>
    <n v="9.6584126984127003"/>
    <n v="13.0575107296137"/>
    <n v="1.3315343150144601"/>
    <n v="2.3315343150144598"/>
  </r>
  <r>
    <s v="CMP788"/>
    <s v="Shop &amp; Share"/>
    <x v="3"/>
    <x v="5"/>
    <d v="2024-09-06T00:00:00"/>
    <n v="12036.8"/>
    <n v="11430.4"/>
    <n v="4801.6000000000004"/>
    <n v="7838.7839999999997"/>
    <n v="24021.84"/>
    <x v="3"/>
    <x v="1"/>
    <x v="0"/>
    <n v="0.94962116177056999"/>
    <n v="0.42007278835386302"/>
    <n v="0.68578387458006695"/>
    <n v="1.63253582139287"/>
    <n v="2.0644855120385999"/>
    <n v="3.0644855120385999"/>
  </r>
  <r>
    <s v="CMP789"/>
    <s v="Seasonal Steals"/>
    <x v="3"/>
    <x v="191"/>
    <d v="2024-06-13T00:00:00"/>
    <n v="72310.399999999994"/>
    <n v="70876.800000000003"/>
    <n v="40068.800000000003"/>
    <n v="3616"/>
    <n v="4864.6400000000003"/>
    <x v="4"/>
    <x v="4"/>
    <x v="0"/>
    <n v="0.98017435942824305"/>
    <n v="0.56533026321730095"/>
    <n v="5.10181046548377E-2"/>
    <n v="9.0244778980154094E-2"/>
    <n v="0.34530973451327401"/>
    <n v="1.3453097345132701"/>
  </r>
  <r>
    <s v="CMP790"/>
    <s v="Deal of the Day"/>
    <x v="2"/>
    <x v="36"/>
    <d v="2024-02-01T00:00:00"/>
    <n v="15377.6"/>
    <n v="10241.6"/>
    <n v="9502.4"/>
    <n v="2285.0239999999999"/>
    <n v="7491.1840000000002"/>
    <x v="0"/>
    <x v="0"/>
    <x v="0"/>
    <n v="0.66600769951097705"/>
    <n v="0.92782377753475997"/>
    <n v="0.223112013747852"/>
    <n v="0.24046809227142599"/>
    <n v="2.2783830716876499"/>
    <n v="3.2783830716876499"/>
  </r>
  <r>
    <s v="CMP791"/>
    <s v="Wishlist Wonders"/>
    <x v="2"/>
    <x v="214"/>
    <d v="2024-07-04T00:00:00"/>
    <n v="68876.800000000003"/>
    <n v="57577.599999999999"/>
    <n v="3451.2"/>
    <n v="3789.7759999999998"/>
    <n v="5432.6239999999998"/>
    <x v="2"/>
    <x v="4"/>
    <x v="1"/>
    <n v="0.83595056680914304"/>
    <n v="5.99399766575891E-2"/>
    <n v="6.5820319012949505E-2"/>
    <n v="1.09810384793695"/>
    <n v="0.43349475008549299"/>
    <n v="1.43349475008549"/>
  </r>
  <r>
    <s v="CMP792"/>
    <s v="Deal of the Day"/>
    <x v="3"/>
    <x v="61"/>
    <d v="2024-03-02T00:00:00"/>
    <n v="18083.2"/>
    <n v="1531.2"/>
    <n v="737.6"/>
    <n v="291.72800000000001"/>
    <n v="583.10400000000004"/>
    <x v="0"/>
    <x v="3"/>
    <x v="1"/>
    <n v="8.4675278711732402E-2"/>
    <n v="0.48171368861024"/>
    <n v="0.19052246603970699"/>
    <n v="0.39550976138828597"/>
    <n v="0.998793396588603"/>
    <n v="1.9987933965886"/>
  </r>
  <r>
    <s v="CMP793"/>
    <s v="Seasonal Steals"/>
    <x v="2"/>
    <x v="141"/>
    <d v="2024-05-29T00:00:00"/>
    <n v="19230.400000000001"/>
    <n v="2932.8"/>
    <n v="1316.8"/>
    <n v="3714.5120000000002"/>
    <n v="11088.4"/>
    <x v="2"/>
    <x v="2"/>
    <x v="0"/>
    <n v="0.152508528163741"/>
    <n v="0.44899072558647002"/>
    <n v="1.2665411893071501"/>
    <n v="2.8208626974483599"/>
    <n v="1.9851565966135001"/>
    <n v="2.9851565966134999"/>
  </r>
  <r>
    <s v="CMP794"/>
    <s v="Cart to Couch"/>
    <x v="2"/>
    <x v="87"/>
    <d v="2024-02-27T00:00:00"/>
    <n v="70667.199999999997"/>
    <n v="59484.800000000003"/>
    <n v="40822.400000000001"/>
    <n v="5932.5119999999997"/>
    <n v="17098.736000000001"/>
    <x v="2"/>
    <x v="1"/>
    <x v="0"/>
    <n v="0.84175968483256702"/>
    <n v="0.68626607133250805"/>
    <n v="9.97315616762601E-2"/>
    <n v="0.14532491965195601"/>
    <n v="1.8822084135691599"/>
    <n v="2.8822084135691601"/>
  </r>
  <r>
    <s v="CMP795"/>
    <s v="Deal of the Day"/>
    <x v="2"/>
    <x v="62"/>
    <d v="2024-04-13T00:00:00"/>
    <n v="52204.800000000003"/>
    <n v="3726.4"/>
    <n v="3304"/>
    <n v="3426.6880000000001"/>
    <n v="13127.216"/>
    <x v="1"/>
    <x v="1"/>
    <x v="1"/>
    <n v="7.13804094642638E-2"/>
    <n v="0.88664662945470196"/>
    <n v="0.91957063117217697"/>
    <n v="1.0371331719128301"/>
    <n v="2.8308757610847599"/>
    <n v="3.8308757610847599"/>
  </r>
  <r>
    <s v="CMP796"/>
    <s v="Deal of the Day"/>
    <x v="0"/>
    <x v="286"/>
    <d v="2024-07-03T00:00:00"/>
    <n v="25401.599999999999"/>
    <n v="14724.8"/>
    <n v="4044.8"/>
    <n v="1218.4960000000001"/>
    <n v="3897.2959999999998"/>
    <x v="1"/>
    <x v="1"/>
    <x v="1"/>
    <n v="0.57968002015621101"/>
    <n v="0.27469303487993002"/>
    <n v="8.2751276757579095E-2"/>
    <n v="0.30125000000000002"/>
    <n v="2.19844792268501"/>
    <n v="3.19844792268501"/>
  </r>
  <r>
    <s v="CMP797"/>
    <s v="Cart to Couch"/>
    <x v="0"/>
    <x v="139"/>
    <d v="2024-05-27T00:00:00"/>
    <n v="61952"/>
    <n v="36849.599999999999"/>
    <n v="153.6"/>
    <n v="4822.5119999999997"/>
    <n v="8414.7999999999993"/>
    <x v="1"/>
    <x v="2"/>
    <x v="0"/>
    <n v="0.59480888429752099"/>
    <n v="4.1682949068646601E-3"/>
    <n v="0.13087013156180799"/>
    <n v="31.396562500000002"/>
    <n v="0.74489975348946802"/>
    <n v="1.7448997534894699"/>
  </r>
  <r>
    <s v="CMP798"/>
    <s v="Shop &amp; Share"/>
    <x v="1"/>
    <x v="205"/>
    <d v="2024-07-16T00:00:00"/>
    <n v="3398.4"/>
    <n v="865.6"/>
    <n v="467.2"/>
    <n v="3016.7359999999999"/>
    <n v="4440.2719999999999"/>
    <x v="4"/>
    <x v="4"/>
    <x v="0"/>
    <n v="0.25470809792843702"/>
    <n v="0.53974121996303104"/>
    <n v="3.4851386321626601"/>
    <n v="6.4570547945205501"/>
    <n v="0.47187954133208898"/>
    <n v="1.47187954133209"/>
  </r>
  <r>
    <s v="CMP799"/>
    <s v="Wishlist Wonders"/>
    <x v="0"/>
    <x v="239"/>
    <d v="2024-08-07T00:00:00"/>
    <n v="46744"/>
    <n v="12020.8"/>
    <n v="5043.2"/>
    <n v="276.08"/>
    <n v="454.96"/>
    <x v="3"/>
    <x v="3"/>
    <x v="0"/>
    <n v="0.25716241656683198"/>
    <n v="0.41953946492745903"/>
    <n v="2.2966857447091701E-2"/>
    <n v="5.4743020304568499E-2"/>
    <n v="0.64792813677195005"/>
    <n v="1.64792813677195"/>
  </r>
  <r>
    <s v="CMP800"/>
    <s v="Deal of the Day"/>
    <x v="2"/>
    <x v="87"/>
    <d v="2024-03-03T00:00:00"/>
    <n v="35884.800000000003"/>
    <n v="1836.8"/>
    <n v="1012.8"/>
    <n v="3212.768"/>
    <n v="5981.4560000000001"/>
    <x v="0"/>
    <x v="0"/>
    <x v="1"/>
    <n v="5.1186017478152303E-2"/>
    <n v="0.55139372822299604"/>
    <n v="1.74911149825784"/>
    <n v="3.1721642969984201"/>
    <n v="0.86177651171824399"/>
    <n v="1.8617765117182401"/>
  </r>
  <r>
    <s v="CMP801"/>
    <s v="Flash Sale Frenzy"/>
    <x v="3"/>
    <x v="179"/>
    <d v="2024-04-05T00:00:00"/>
    <n v="29980.799999999999"/>
    <n v="27758.400000000001"/>
    <n v="2563.1999999999998"/>
    <n v="3193.68"/>
    <n v="4146.1120000000001"/>
    <x v="4"/>
    <x v="3"/>
    <x v="1"/>
    <n v="0.92587255843740002"/>
    <n v="9.23396161162027E-2"/>
    <n v="0.115052740791976"/>
    <n v="1.24597378277154"/>
    <n v="0.29822399238496"/>
    <n v="1.2982239923849599"/>
  </r>
  <r>
    <s v="CMP802"/>
    <s v="Deal of the Day"/>
    <x v="0"/>
    <x v="64"/>
    <d v="2024-03-08T00:00:00"/>
    <n v="41924.800000000003"/>
    <n v="22284.799999999999"/>
    <n v="716.8"/>
    <n v="4810.192"/>
    <n v="10506.736000000001"/>
    <x v="0"/>
    <x v="4"/>
    <x v="0"/>
    <n v="0.53154218982559198"/>
    <n v="3.2165422171165997E-2"/>
    <n v="0.21585080413555399"/>
    <n v="6.7106473214285698"/>
    <n v="1.1842654097798999"/>
    <n v="2.1842654097799001"/>
  </r>
  <r>
    <s v="CMP803"/>
    <s v="Shop &amp; Share"/>
    <x v="2"/>
    <x v="211"/>
    <d v="2024-10-30T00:00:00"/>
    <n v="57960"/>
    <n v="47531.199999999997"/>
    <n v="17844.8"/>
    <n v="4840.4639999999999"/>
    <n v="8190.32"/>
    <x v="4"/>
    <x v="1"/>
    <x v="1"/>
    <n v="0.82006901311249103"/>
    <n v="0.37543339953546301"/>
    <n v="0.101837614030363"/>
    <n v="0.27125347440150599"/>
    <n v="0.69205266271993804"/>
    <n v="1.6920526627199399"/>
  </r>
  <r>
    <s v="CMP804"/>
    <s v="Deal of the Day"/>
    <x v="1"/>
    <x v="85"/>
    <d v="2024-07-22T00:00:00"/>
    <n v="71390.399999999994"/>
    <n v="34820.800000000003"/>
    <n v="136"/>
    <n v="4412.1279999999997"/>
    <n v="17189.135999999999"/>
    <x v="4"/>
    <x v="4"/>
    <x v="1"/>
    <n v="0.48775185459109399"/>
    <n v="3.90571152874144E-3"/>
    <n v="0.12670955291090399"/>
    <n v="32.442117647058801"/>
    <n v="2.8958833469926502"/>
    <n v="3.8958833469926502"/>
  </r>
  <r>
    <s v="CMP805"/>
    <s v="Flash Sale Frenzy"/>
    <x v="1"/>
    <x v="143"/>
    <d v="2024-07-23T00:00:00"/>
    <n v="37070.400000000001"/>
    <n v="10262.4"/>
    <n v="611.20000000000005"/>
    <n v="2936.9119999999998"/>
    <n v="7309.2"/>
    <x v="1"/>
    <x v="0"/>
    <x v="1"/>
    <n v="0.27683542664767602"/>
    <n v="5.9557218584346698E-2"/>
    <n v="0.28618178983473702"/>
    <n v="4.8051570680628304"/>
    <n v="1.48873646878081"/>
    <n v="2.48873646878081"/>
  </r>
  <r>
    <s v="CMP806"/>
    <s v="Seasonal Steals"/>
    <x v="3"/>
    <x v="187"/>
    <d v="2024-07-23T00:00:00"/>
    <n v="31902.400000000001"/>
    <n v="12780.8"/>
    <n v="2254.4"/>
    <n v="7489.7759999999998"/>
    <n v="10210.175999999999"/>
    <x v="1"/>
    <x v="1"/>
    <x v="0"/>
    <n v="0.400621896785195"/>
    <n v="0.17638958437656499"/>
    <n v="0.58601777666499799"/>
    <n v="3.3222924059616701"/>
    <n v="0.36321513487185703"/>
    <n v="1.36321513487186"/>
  </r>
  <r>
    <s v="CMP807"/>
    <s v="Deal of the Day"/>
    <x v="0"/>
    <x v="231"/>
    <d v="2024-02-27T00:00:00"/>
    <n v="15635.2"/>
    <n v="1192"/>
    <n v="636.79999999999995"/>
    <n v="5956.48"/>
    <n v="9423.152"/>
    <x v="2"/>
    <x v="1"/>
    <x v="0"/>
    <n v="7.6238231682357799E-2"/>
    <n v="0.53422818791946303"/>
    <n v="4.99704697986577"/>
    <n v="9.3537688442211095"/>
    <n v="0.58200010744600805"/>
    <n v="1.5820001074460099"/>
  </r>
  <r>
    <s v="CMP808"/>
    <s v="Wishlist Wonders"/>
    <x v="0"/>
    <x v="36"/>
    <d v="2024-01-24T00:00:00"/>
    <n v="68316.800000000003"/>
    <n v="39644.800000000003"/>
    <n v="33323.199999999997"/>
    <n v="2511.9679999999998"/>
    <n v="4654.9920000000002"/>
    <x v="4"/>
    <x v="2"/>
    <x v="0"/>
    <n v="0.58030821115743103"/>
    <n v="0.840544030995238"/>
    <n v="6.3361853256921494E-2"/>
    <n v="7.5381956114658893E-2"/>
    <n v="0.85312551752251597"/>
    <n v="1.8531255175225201"/>
  </r>
  <r>
    <s v="CMP809"/>
    <s v="Cart to Couch"/>
    <x v="1"/>
    <x v="255"/>
    <d v="2024-06-14T00:00:00"/>
    <n v="55089.599999999999"/>
    <n v="40065.599999999999"/>
    <n v="2809.6"/>
    <n v="976.52800000000002"/>
    <n v="2831.7280000000001"/>
    <x v="3"/>
    <x v="4"/>
    <x v="0"/>
    <n v="0.72728064825302796"/>
    <n v="7.01249950081866E-2"/>
    <n v="2.4373227906233801E-2"/>
    <n v="0.34756833712984098"/>
    <n v="1.8997919158487999"/>
    <n v="2.8997919158487999"/>
  </r>
  <r>
    <s v="CMP810"/>
    <s v="Cart to Couch"/>
    <x v="0"/>
    <x v="243"/>
    <d v="2024-09-27T00:00:00"/>
    <n v="48219.199999999997"/>
    <n v="30609.599999999999"/>
    <n v="11811.2"/>
    <n v="5745.0079999999998"/>
    <n v="15225.92"/>
    <x v="0"/>
    <x v="4"/>
    <x v="0"/>
    <n v="0.63480107509042005"/>
    <n v="0.38586587214468698"/>
    <n v="0.18768647744498501"/>
    <n v="0.48640341370902201"/>
    <n v="1.6502869969893901"/>
    <n v="2.6502869969893901"/>
  </r>
  <r>
    <s v="CMP811"/>
    <s v="Cart to Couch"/>
    <x v="0"/>
    <x v="172"/>
    <d v="2024-02-01T00:00:00"/>
    <n v="19932.8"/>
    <n v="11516.8"/>
    <n v="9078.4"/>
    <n v="2938.1439999999998"/>
    <n v="6449.1679999999997"/>
    <x v="4"/>
    <x v="2"/>
    <x v="1"/>
    <n v="0.57778134532027603"/>
    <n v="0.78827452070019499"/>
    <n v="0.25511808835787703"/>
    <n v="0.32364117025026401"/>
    <n v="1.1949802324188299"/>
    <n v="2.1949802324188301"/>
  </r>
  <r>
    <s v="CMP812"/>
    <s v="Cart to Couch"/>
    <x v="0"/>
    <x v="161"/>
    <d v="2024-09-03T00:00:00"/>
    <n v="65787.199999999997"/>
    <n v="27601.599999999999"/>
    <n v="25440"/>
    <n v="2224.7040000000002"/>
    <n v="5772.3040000000001"/>
    <x v="0"/>
    <x v="0"/>
    <x v="0"/>
    <n v="0.41955881995281802"/>
    <n v="0.92168569937974598"/>
    <n v="8.0600544895948104E-2"/>
    <n v="8.7449056603773598E-2"/>
    <n v="1.5946391070452499"/>
    <n v="2.5946391070452499"/>
  </r>
  <r>
    <s v="CMP813"/>
    <s v="Shop &amp; Share"/>
    <x v="0"/>
    <x v="93"/>
    <d v="2024-04-24T00:00:00"/>
    <n v="60107.199999999997"/>
    <n v="28500.799999999999"/>
    <n v="10523.2"/>
    <n v="1000.336"/>
    <n v="1543.2"/>
    <x v="3"/>
    <x v="4"/>
    <x v="1"/>
    <n v="0.47416615646711202"/>
    <n v="0.36922472351653302"/>
    <n v="3.5098523550216101E-2"/>
    <n v="9.5060057777101997E-2"/>
    <n v="0.54268165896258902"/>
    <n v="1.54268165896259"/>
  </r>
  <r>
    <s v="CMP814"/>
    <s v="Flash Sale Frenzy"/>
    <x v="1"/>
    <x v="200"/>
    <d v="2024-07-02T00:00:00"/>
    <n v="8454.4"/>
    <n v="5096"/>
    <n v="486.4"/>
    <n v="6871.2479999999996"/>
    <n v="9592.4159999999993"/>
    <x v="2"/>
    <x v="3"/>
    <x v="0"/>
    <n v="0.60276305828917498"/>
    <n v="9.5447409733124003E-2"/>
    <n v="1.3483610675039199"/>
    <n v="14.1267434210526"/>
    <n v="0.39602238196030798"/>
    <n v="1.3960223819603099"/>
  </r>
  <r>
    <s v="CMP815"/>
    <s v="Seasonal Steals"/>
    <x v="2"/>
    <x v="36"/>
    <d v="2024-01-23T00:00:00"/>
    <n v="23619.200000000001"/>
    <n v="8985.6"/>
    <n v="5715.2"/>
    <n v="3309.68"/>
    <n v="5187.232"/>
    <x v="3"/>
    <x v="2"/>
    <x v="0"/>
    <n v="0.38043625524996599"/>
    <n v="0.63603988603988604"/>
    <n v="0.36833155270655299"/>
    <n v="0.579101343784994"/>
    <n v="0.56729109762877405"/>
    <n v="1.5672910976287699"/>
  </r>
  <r>
    <s v="CMP816"/>
    <s v="Deal of the Day"/>
    <x v="2"/>
    <x v="27"/>
    <d v="2024-03-31T00:00:00"/>
    <n v="69222.399999999994"/>
    <n v="50801.599999999999"/>
    <n v="10222.4"/>
    <n v="6855.44"/>
    <n v="23116.031999999999"/>
    <x v="4"/>
    <x v="4"/>
    <x v="0"/>
    <n v="0.73388960798816605"/>
    <n v="0.20122200875563001"/>
    <n v="0.13494535605177799"/>
    <n v="0.67062920644858304"/>
    <n v="2.37192536146476"/>
    <n v="3.37192536146476"/>
  </r>
  <r>
    <s v="CMP817"/>
    <s v="Cart to Couch"/>
    <x v="0"/>
    <x v="102"/>
    <d v="2024-02-07T00:00:00"/>
    <n v="69852.800000000003"/>
    <n v="62340.800000000003"/>
    <n v="62064"/>
    <n v="6342.1120000000001"/>
    <n v="13597.312"/>
    <x v="4"/>
    <x v="4"/>
    <x v="1"/>
    <n v="0.89245957212881899"/>
    <n v="0.99555989015219604"/>
    <n v="0.101732926109386"/>
    <n v="0.102186646042795"/>
    <n v="1.1439722288095799"/>
    <n v="2.1439722288095799"/>
  </r>
  <r>
    <s v="CMP818"/>
    <s v="Flash Sale Frenzy"/>
    <x v="0"/>
    <x v="275"/>
    <d v="2024-04-01T00:00:00"/>
    <n v="64849.599999999999"/>
    <n v="64811.199999999997"/>
    <n v="11169.6"/>
    <n v="2509.9679999999998"/>
    <n v="5977.9520000000002"/>
    <x v="2"/>
    <x v="3"/>
    <x v="1"/>
    <n v="0.99940786064987297"/>
    <n v="0.172340583109092"/>
    <n v="3.8727380452761299E-2"/>
    <n v="0.22471422432316299"/>
    <n v="1.38168454737272"/>
    <n v="2.38168454737272"/>
  </r>
  <r>
    <s v="CMP819"/>
    <s v="Seasonal Steals"/>
    <x v="1"/>
    <x v="132"/>
    <d v="2024-04-24T00:00:00"/>
    <n v="52958.400000000001"/>
    <n v="41883.199999999997"/>
    <n v="37916.800000000003"/>
    <n v="1535.152"/>
    <n v="2840.3679999999999"/>
    <x v="3"/>
    <x v="2"/>
    <x v="0"/>
    <n v="0.79086981479802998"/>
    <n v="0.90529854452381897"/>
    <n v="3.66531688123162E-2"/>
    <n v="4.0487382901510702E-2"/>
    <n v="0.85021939195597596"/>
    <n v="1.85021939195598"/>
  </r>
  <r>
    <s v="CMP820"/>
    <s v="Cart to Couch"/>
    <x v="3"/>
    <x v="112"/>
    <d v="2024-10-03T00:00:00"/>
    <n v="48352"/>
    <n v="43364.800000000003"/>
    <n v="40126.400000000001"/>
    <n v="4466.5919999999996"/>
    <n v="7075.0559999999996"/>
    <x v="0"/>
    <x v="4"/>
    <x v="1"/>
    <n v="0.89685638649900701"/>
    <n v="0.92532192008264802"/>
    <n v="0.10300040585913001"/>
    <n v="0.1113130507596"/>
    <n v="0.58399423990371202"/>
    <n v="1.5839942399037099"/>
  </r>
  <r>
    <s v="CMP821"/>
    <s v="Shop &amp; Share"/>
    <x v="1"/>
    <x v="109"/>
    <d v="2024-10-02T00:00:00"/>
    <n v="38779.199999999997"/>
    <n v="13376"/>
    <n v="8217.6"/>
    <n v="6265.5680000000002"/>
    <n v="22922.288"/>
    <x v="0"/>
    <x v="4"/>
    <x v="0"/>
    <n v="0.34492717745595602"/>
    <n v="0.61435406698564599"/>
    <n v="0.46841866028708101"/>
    <n v="0.76245716510903405"/>
    <n v="2.6584533118146698"/>
    <n v="3.6584533118146698"/>
  </r>
  <r>
    <s v="CMP822"/>
    <s v="Deal of the Day"/>
    <x v="1"/>
    <x v="102"/>
    <d v="2024-02-17T00:00:00"/>
    <n v="33435.199999999997"/>
    <n v="12560"/>
    <n v="3124.8"/>
    <n v="2517.3919999999998"/>
    <n v="8250.1280000000006"/>
    <x v="0"/>
    <x v="1"/>
    <x v="0"/>
    <n v="0.37565200746518601"/>
    <n v="0.24878980891719699"/>
    <n v="0.20042929936305701"/>
    <n v="0.80561699948796694"/>
    <n v="2.2772520131946101"/>
    <n v="3.2772520131946101"/>
  </r>
  <r>
    <s v="CMP823"/>
    <s v="Flash Sale Frenzy"/>
    <x v="3"/>
    <x v="206"/>
    <d v="2024-03-10T00:00:00"/>
    <n v="36142.400000000001"/>
    <n v="29339.200000000001"/>
    <n v="17620.8"/>
    <n v="4664.2240000000002"/>
    <n v="11586.096"/>
    <x v="1"/>
    <x v="4"/>
    <x v="0"/>
    <n v="0.81176678914515898"/>
    <n v="0.60058897311446802"/>
    <n v="0.15897584119539701"/>
    <n v="0.26469990011804201"/>
    <n v="1.4840350720720099"/>
    <n v="2.4840350720720101"/>
  </r>
  <r>
    <s v="CMP824"/>
    <s v="Seasonal Steals"/>
    <x v="2"/>
    <x v="37"/>
    <d v="2024-11-15T00:00:00"/>
    <n v="51742.400000000001"/>
    <n v="13825.6"/>
    <n v="4144"/>
    <n v="6940.6239999999998"/>
    <n v="21143.472000000002"/>
    <x v="2"/>
    <x v="2"/>
    <x v="0"/>
    <n v="0.26720059371038102"/>
    <n v="0.29973382710334501"/>
    <n v="0.50201249855340802"/>
    <n v="1.6748610038609999"/>
    <n v="2.0463358914126499"/>
    <n v="3.0463358914126499"/>
  </r>
  <r>
    <s v="CMP825"/>
    <s v="Flash Sale Frenzy"/>
    <x v="3"/>
    <x v="56"/>
    <d v="2024-09-19T00:00:00"/>
    <n v="9816"/>
    <n v="1937.6"/>
    <n v="1166.4000000000001"/>
    <n v="1475.568"/>
    <n v="5185.92"/>
    <x v="0"/>
    <x v="4"/>
    <x v="0"/>
    <n v="0.197392013039935"/>
    <n v="0.60198183319570597"/>
    <n v="0.761544178364988"/>
    <n v="1.26506172839506"/>
    <n v="2.5145245762987498"/>
    <n v="3.5145245762987498"/>
  </r>
  <r>
    <s v="CMP826"/>
    <s v="Shop &amp; Share"/>
    <x v="3"/>
    <x v="105"/>
    <d v="2024-09-28T00:00:00"/>
    <n v="49329.599999999999"/>
    <n v="10414.4"/>
    <n v="862.4"/>
    <n v="4028.6559999999999"/>
    <n v="7578.16"/>
    <x v="2"/>
    <x v="0"/>
    <x v="0"/>
    <n v="0.21111867925140301"/>
    <n v="8.2808419111998793E-2"/>
    <n v="0.38683515132892898"/>
    <n v="4.6714471243042697"/>
    <n v="0.88106405709497204"/>
    <n v="1.8810640570949699"/>
  </r>
  <r>
    <s v="CMP827"/>
    <s v="Shop &amp; Share"/>
    <x v="0"/>
    <x v="193"/>
    <d v="2024-06-01T00:00:00"/>
    <n v="59564.800000000003"/>
    <n v="53470.400000000001"/>
    <n v="19892.8"/>
    <n v="1721.808"/>
    <n v="4897.7920000000004"/>
    <x v="0"/>
    <x v="0"/>
    <x v="0"/>
    <n v="0.897684538519394"/>
    <n v="0.37203387294652701"/>
    <n v="3.2201143062329803E-2"/>
    <n v="8.6554331215314098E-2"/>
    <n v="1.8445633891816"/>
    <n v="2.8445633891815998"/>
  </r>
  <r>
    <s v="CMP828"/>
    <s v="Seasonal Steals"/>
    <x v="1"/>
    <x v="80"/>
    <d v="2024-11-13T00:00:00"/>
    <n v="57934.400000000001"/>
    <n v="43116.800000000003"/>
    <n v="35584"/>
    <n v="3618.2719999999999"/>
    <n v="5776.5280000000002"/>
    <x v="3"/>
    <x v="2"/>
    <x v="0"/>
    <n v="0.74423485873677797"/>
    <n v="0.82529315719162799"/>
    <n v="8.3917915986344099E-2"/>
    <n v="0.101682553956835"/>
    <n v="0.59648804733309202"/>
    <n v="1.59648804733309"/>
  </r>
  <r>
    <s v="CMP829"/>
    <s v="Shop &amp; Share"/>
    <x v="2"/>
    <x v="267"/>
    <d v="2024-04-12T00:00:00"/>
    <n v="15259.2"/>
    <n v="5400"/>
    <n v="2238.4"/>
    <n v="3221.28"/>
    <n v="4740.24"/>
    <x v="3"/>
    <x v="2"/>
    <x v="0"/>
    <n v="0.353884869455804"/>
    <n v="0.41451851851851901"/>
    <n v="0.59653333333333303"/>
    <n v="1.4390993566833501"/>
    <n v="0.47153926389509698"/>
    <n v="1.4715392638950999"/>
  </r>
  <r>
    <s v="CMP830"/>
    <s v="Shop &amp; Share"/>
    <x v="0"/>
    <x v="220"/>
    <d v="2024-03-15T00:00:00"/>
    <n v="79547.199999999997"/>
    <n v="41008"/>
    <n v="23940.799999999999"/>
    <n v="7726.848"/>
    <n v="26044.704000000002"/>
    <x v="1"/>
    <x v="2"/>
    <x v="1"/>
    <n v="0.51551783092302395"/>
    <n v="0.58380803745610599"/>
    <n v="0.188422941865002"/>
    <n v="0.322748112009624"/>
    <n v="2.3706763741178798"/>
    <n v="3.3706763741178798"/>
  </r>
  <r>
    <s v="CMP831"/>
    <s v="Deal of the Day"/>
    <x v="0"/>
    <x v="83"/>
    <d v="2024-07-20T00:00:00"/>
    <n v="69576"/>
    <n v="2329.6"/>
    <n v="2308.8000000000002"/>
    <n v="5317.7920000000004"/>
    <n v="12666.544"/>
    <x v="4"/>
    <x v="3"/>
    <x v="0"/>
    <n v="3.3482810164424497E-2"/>
    <n v="0.99107142857142905"/>
    <n v="2.2827060439560398"/>
    <n v="2.3032709632709598"/>
    <n v="1.3819179087861999"/>
    <n v="2.3819179087862001"/>
  </r>
  <r>
    <s v="CMP832"/>
    <s v="Shop &amp; Share"/>
    <x v="3"/>
    <x v="132"/>
    <d v="2024-04-20T00:00:00"/>
    <n v="37260.800000000003"/>
    <n v="1747.2"/>
    <n v="843.2"/>
    <n v="7045.3440000000001"/>
    <n v="25314.031999999999"/>
    <x v="0"/>
    <x v="2"/>
    <x v="0"/>
    <n v="4.6891102713844002E-2"/>
    <n v="0.482600732600733"/>
    <n v="4.03236263736264"/>
    <n v="8.3554838709677401"/>
    <n v="2.5930157562214098"/>
    <n v="3.5930157562214098"/>
  </r>
  <r>
    <s v="CMP833"/>
    <s v="Shop &amp; Share"/>
    <x v="2"/>
    <x v="154"/>
    <d v="2024-03-06T00:00:00"/>
    <n v="77289.600000000006"/>
    <n v="51428.800000000003"/>
    <n v="31556.799999999999"/>
    <n v="2435.36"/>
    <n v="3449.6"/>
    <x v="2"/>
    <x v="2"/>
    <x v="1"/>
    <n v="0.66540388357553903"/>
    <n v="0.61360171732570101"/>
    <n v="4.7354011759947703E-2"/>
    <n v="7.7173857932363199E-2"/>
    <n v="0.41646409565731501"/>
    <n v="1.41646409565732"/>
  </r>
  <r>
    <s v="CMP834"/>
    <s v="Deal of the Day"/>
    <x v="2"/>
    <x v="87"/>
    <d v="2024-02-25T00:00:00"/>
    <n v="57457.599999999999"/>
    <n v="49086.400000000001"/>
    <n v="45684.800000000003"/>
    <n v="3368.848"/>
    <n v="5298.7839999999997"/>
    <x v="2"/>
    <x v="0"/>
    <x v="0"/>
    <n v="0.85430647990866304"/>
    <n v="0.93070178297858497"/>
    <n v="6.8630985364581606E-2"/>
    <n v="7.3741113017896501E-2"/>
    <n v="0.57287713782278105"/>
    <n v="1.5728771378227799"/>
  </r>
  <r>
    <s v="CMP835"/>
    <s v="Cart to Couch"/>
    <x v="0"/>
    <x v="280"/>
    <d v="2024-07-29T00:00:00"/>
    <n v="24784"/>
    <n v="10576"/>
    <n v="5427.2"/>
    <n v="657.96799999999996"/>
    <n v="1485.8720000000001"/>
    <x v="4"/>
    <x v="1"/>
    <x v="0"/>
    <n v="0.42672692059393202"/>
    <n v="0.51316187594553697"/>
    <n v="6.2213313161875901E-2"/>
    <n v="0.121235259433962"/>
    <n v="1.25827395861197"/>
    <n v="2.2582739586119698"/>
  </r>
  <r>
    <s v="CMP836"/>
    <s v="Shop &amp; Share"/>
    <x v="1"/>
    <x v="180"/>
    <d v="2024-10-06T00:00:00"/>
    <n v="26374.400000000001"/>
    <n v="5380.8"/>
    <n v="3840"/>
    <n v="4946.2560000000003"/>
    <n v="7507.8720000000003"/>
    <x v="2"/>
    <x v="3"/>
    <x v="0"/>
    <n v="0.20401601553021101"/>
    <n v="0.71364852809991097"/>
    <n v="0.91924174843889395"/>
    <n v="1.2880875000000001"/>
    <n v="0.51788989490232595"/>
    <n v="1.5178898949023301"/>
  </r>
  <r>
    <s v="CMP837"/>
    <s v="Shop &amp; Share"/>
    <x v="0"/>
    <x v="287"/>
    <d v="2024-05-04T00:00:00"/>
    <n v="47936"/>
    <n v="27852.799999999999"/>
    <n v="3894.4"/>
    <n v="3304.9119999999998"/>
    <n v="12242.031999999999"/>
    <x v="1"/>
    <x v="4"/>
    <x v="1"/>
    <n v="0.581041388518024"/>
    <n v="0.13982077205882401"/>
    <n v="0.118656364889706"/>
    <n v="0.84863188167625303"/>
    <n v="2.7041930314634701"/>
    <n v="3.7041930314634701"/>
  </r>
  <r>
    <s v="CMP838"/>
    <s v="Wishlist Wonders"/>
    <x v="2"/>
    <x v="96"/>
    <d v="2024-02-08T00:00:00"/>
    <n v="30928"/>
    <n v="16974.400000000001"/>
    <n v="2456"/>
    <n v="707.37599999999998"/>
    <n v="1315.088"/>
    <x v="0"/>
    <x v="2"/>
    <x v="1"/>
    <n v="0.54883600620796702"/>
    <n v="0.144688472052031"/>
    <n v="4.1673107738712398E-2"/>
    <n v="0.28801954397394097"/>
    <n v="0.85910746194386001"/>
    <n v="1.8591074619438599"/>
  </r>
  <r>
    <s v="CMP839"/>
    <s v="Deal of the Day"/>
    <x v="3"/>
    <x v="288"/>
    <d v="2024-03-09T00:00:00"/>
    <n v="76873.600000000006"/>
    <n v="29540.799999999999"/>
    <n v="5769.6"/>
    <n v="3014.2719999999999"/>
    <n v="6954.7839999999997"/>
    <x v="1"/>
    <x v="2"/>
    <x v="1"/>
    <n v="0.38427756733130702"/>
    <n v="0.19530953799490899"/>
    <n v="0.10203758869089501"/>
    <n v="0.522440377149196"/>
    <n v="1.30728481039535"/>
    <n v="2.30728481039535"/>
  </r>
  <r>
    <s v="CMP840"/>
    <s v="Seasonal Steals"/>
    <x v="3"/>
    <x v="81"/>
    <d v="2024-01-29T00:00:00"/>
    <n v="7204.8"/>
    <n v="1355.2"/>
    <n v="403.2"/>
    <n v="5632.96"/>
    <n v="10993.008"/>
    <x v="3"/>
    <x v="1"/>
    <x v="0"/>
    <n v="0.18809682433932901"/>
    <n v="0.29752066115702502"/>
    <n v="4.15655253837072"/>
    <n v="13.9706349206349"/>
    <n v="0.95155087201045296"/>
    <n v="1.95155087201045"/>
  </r>
  <r>
    <s v="CMP841"/>
    <s v="Cart to Couch"/>
    <x v="3"/>
    <x v="35"/>
    <d v="2024-10-16T00:00:00"/>
    <n v="46788.800000000003"/>
    <n v="30422.400000000001"/>
    <n v="4280"/>
    <n v="260.57600000000002"/>
    <n v="555.77599999999995"/>
    <x v="3"/>
    <x v="4"/>
    <x v="0"/>
    <n v="0.650206887118285"/>
    <n v="0.140685810455454"/>
    <n v="8.5652676974860599E-3"/>
    <n v="6.0882242990654201E-2"/>
    <n v="1.1328748618445299"/>
    <n v="2.1328748618445301"/>
  </r>
  <r>
    <s v="CMP842"/>
    <s v="Deal of the Day"/>
    <x v="0"/>
    <x v="183"/>
    <d v="2024-07-05T00:00:00"/>
    <n v="47657.599999999999"/>
    <n v="22732.799999999999"/>
    <n v="15324.8"/>
    <n v="5931.3119999999999"/>
    <n v="7324.576"/>
    <x v="1"/>
    <x v="4"/>
    <x v="0"/>
    <n v="0.477002618679917"/>
    <n v="0.67412725225225201"/>
    <n v="0.260914273648649"/>
    <n v="0.38704009187721899"/>
    <n v="0.234899799572169"/>
    <n v="1.23489979957217"/>
  </r>
  <r>
    <s v="CMP843"/>
    <s v="Flash Sale Frenzy"/>
    <x v="1"/>
    <x v="180"/>
    <d v="2024-10-08T00:00:00"/>
    <n v="51848"/>
    <n v="19328"/>
    <n v="3945.6"/>
    <n v="4632.3680000000004"/>
    <n v="7432.5119999999997"/>
    <x v="3"/>
    <x v="3"/>
    <x v="0"/>
    <n v="0.37278197808980101"/>
    <n v="0.20413907284768201"/>
    <n v="0.239671357615894"/>
    <n v="1.17405920519059"/>
    <n v="0.60447356513990202"/>
    <n v="1.6044735651399"/>
  </r>
  <r>
    <s v="CMP844"/>
    <s v="Deal of the Day"/>
    <x v="0"/>
    <x v="274"/>
    <d v="2024-06-18T00:00:00"/>
    <n v="18419.2"/>
    <n v="10809.6"/>
    <n v="792"/>
    <n v="2720.944"/>
    <n v="9389.5519999999997"/>
    <x v="3"/>
    <x v="4"/>
    <x v="0"/>
    <n v="0.58686587908269605"/>
    <n v="7.3268206039076397E-2"/>
    <n v="0.25171551213735899"/>
    <n v="3.4355353535353501"/>
    <n v="2.4508435307746099"/>
    <n v="3.4508435307746099"/>
  </r>
  <r>
    <s v="CMP845"/>
    <s v="Wishlist Wonders"/>
    <x v="0"/>
    <x v="130"/>
    <d v="2024-03-21T00:00:00"/>
    <n v="56867.199999999997"/>
    <n v="52812.800000000003"/>
    <n v="7715.2"/>
    <n v="232.83199999999999"/>
    <n v="743.66399999999999"/>
    <x v="0"/>
    <x v="4"/>
    <x v="0"/>
    <n v="0.92870406842608799"/>
    <n v="0.146085797382453"/>
    <n v="4.4086282113426998E-3"/>
    <n v="3.0178349232683501E-2"/>
    <n v="2.1939939527212799"/>
    <n v="3.1939939527212799"/>
  </r>
  <r>
    <s v="CMP846"/>
    <s v="Deal of the Day"/>
    <x v="0"/>
    <x v="124"/>
    <d v="2024-07-25T00:00:00"/>
    <n v="33780.800000000003"/>
    <n v="5326.4"/>
    <n v="4320"/>
    <n v="6299.0559999999996"/>
    <n v="16787.504000000001"/>
    <x v="3"/>
    <x v="4"/>
    <x v="0"/>
    <n v="0.15767536588831499"/>
    <n v="0.81105437068188602"/>
    <n v="1.1826103935115699"/>
    <n v="1.45811481481481"/>
    <n v="1.6650825139512999"/>
    <n v="2.6650825139513001"/>
  </r>
  <r>
    <s v="CMP847"/>
    <s v="Flash Sale Frenzy"/>
    <x v="0"/>
    <x v="217"/>
    <d v="2024-07-18T00:00:00"/>
    <n v="39164.800000000003"/>
    <n v="8056"/>
    <n v="5361.6"/>
    <n v="537.6"/>
    <n v="1744.704"/>
    <x v="2"/>
    <x v="3"/>
    <x v="0"/>
    <n v="0.205694909714846"/>
    <n v="0.66554121151936496"/>
    <n v="6.6732869910625603E-2"/>
    <n v="0.10026857654431499"/>
    <n v="2.2453571428571402"/>
    <n v="3.2453571428571402"/>
  </r>
  <r>
    <s v="CMP848"/>
    <s v="Deal of the Day"/>
    <x v="0"/>
    <x v="147"/>
    <d v="2024-07-06T00:00:00"/>
    <n v="15819.2"/>
    <n v="9755.2000000000007"/>
    <n v="4961.6000000000004"/>
    <n v="3540.24"/>
    <n v="10748.415999999999"/>
    <x v="2"/>
    <x v="4"/>
    <x v="0"/>
    <n v="0.61666835238191597"/>
    <n v="0.50861079219288197"/>
    <n v="0.36290798753485298"/>
    <n v="0.71352789422766805"/>
    <n v="2.0360698709691998"/>
    <n v="3.0360698709691998"/>
  </r>
  <r>
    <s v="CMP849"/>
    <s v="Seasonal Steals"/>
    <x v="0"/>
    <x v="234"/>
    <d v="2024-09-13T00:00:00"/>
    <n v="8528"/>
    <n v="8249.6"/>
    <n v="2976"/>
    <n v="6164.48"/>
    <n v="15199.727999999999"/>
    <x v="4"/>
    <x v="3"/>
    <x v="0"/>
    <n v="0.96735459662288903"/>
    <n v="0.36074476338246703"/>
    <n v="0.74724592707525195"/>
    <n v="2.0713978494623699"/>
    <n v="1.46569507890365"/>
    <n v="2.46569507890365"/>
  </r>
  <r>
    <s v="CMP850"/>
    <s v="Seasonal Steals"/>
    <x v="1"/>
    <x v="213"/>
    <d v="2024-06-08T00:00:00"/>
    <n v="64244.800000000003"/>
    <n v="31208"/>
    <n v="9633.6"/>
    <n v="4346.5280000000002"/>
    <n v="11950.688"/>
    <x v="0"/>
    <x v="1"/>
    <x v="0"/>
    <n v="0.48576694144895799"/>
    <n v="0.30869007946680299"/>
    <n v="0.139276083055627"/>
    <n v="0.45118418867297799"/>
    <n v="1.7494791244874099"/>
    <n v="2.7494791244874102"/>
  </r>
  <r>
    <s v="CMP851"/>
    <s v="Cart to Couch"/>
    <x v="3"/>
    <x v="43"/>
    <d v="2024-03-08T00:00:00"/>
    <n v="2955.2"/>
    <n v="915.2"/>
    <n v="574.4"/>
    <n v="1349.9839999999999"/>
    <n v="2160.096"/>
    <x v="3"/>
    <x v="3"/>
    <x v="0"/>
    <n v="0.30969139144558699"/>
    <n v="0.62762237762237805"/>
    <n v="1.4750699300699299"/>
    <n v="2.3502506963788301"/>
    <n v="0.60009007514163104"/>
    <n v="1.60009007514163"/>
  </r>
  <r>
    <s v="CMP852"/>
    <s v="Deal of the Day"/>
    <x v="3"/>
    <x v="112"/>
    <d v="2024-09-25T00:00:00"/>
    <n v="26934.400000000001"/>
    <n v="21772.799999999999"/>
    <n v="19625.599999999999"/>
    <n v="3544.3679999999999"/>
    <n v="8307.1039999999994"/>
    <x v="4"/>
    <x v="1"/>
    <x v="0"/>
    <n v="0.80836402518712103"/>
    <n v="0.90138154027042905"/>
    <n v="0.162788800705467"/>
    <n v="0.18059921734876899"/>
    <n v="1.3437476018291601"/>
    <n v="2.3437476018291599"/>
  </r>
  <r>
    <s v="CMP853"/>
    <s v="Deal of the Day"/>
    <x v="0"/>
    <x v="287"/>
    <d v="2024-05-17T00:00:00"/>
    <n v="70646.399999999994"/>
    <n v="30521.599999999999"/>
    <n v="681.6"/>
    <n v="3513.616"/>
    <n v="9632.1280000000006"/>
    <x v="2"/>
    <x v="0"/>
    <x v="0"/>
    <n v="0.43203333786293402"/>
    <n v="2.2331725728664299E-2"/>
    <n v="0.115118997693437"/>
    <n v="5.1549530516431901"/>
    <n v="1.74137185167645"/>
    <n v="2.7413718516764498"/>
  </r>
  <r>
    <s v="CMP854"/>
    <s v="Wishlist Wonders"/>
    <x v="2"/>
    <x v="249"/>
    <d v="2024-03-14T00:00:00"/>
    <n v="33587.199999999997"/>
    <n v="25576"/>
    <n v="14324.8"/>
    <n v="5498"/>
    <n v="14459.712"/>
    <x v="1"/>
    <x v="1"/>
    <x v="0"/>
    <n v="0.76148056402439002"/>
    <n v="0.56008758210822596"/>
    <n v="0.21496715670941499"/>
    <n v="0.38380989612420402"/>
    <n v="1.6299949072390001"/>
    <n v="2.6299949072389999"/>
  </r>
  <r>
    <s v="CMP855"/>
    <s v="Seasonal Steals"/>
    <x v="1"/>
    <x v="125"/>
    <d v="2024-01-14T00:00:00"/>
    <n v="66057.600000000006"/>
    <n v="23148.799999999999"/>
    <n v="363.2"/>
    <n v="3514.6880000000001"/>
    <n v="12246.8"/>
    <x v="4"/>
    <x v="0"/>
    <x v="1"/>
    <n v="0.35043356101341899"/>
    <n v="1.56897981752834E-2"/>
    <n v="0.15183024606027101"/>
    <n v="9.6770044052863398"/>
    <n v="2.4844629167652998"/>
    <n v="3.4844629167652998"/>
  </r>
  <r>
    <s v="CMP856"/>
    <s v="Wishlist Wonders"/>
    <x v="2"/>
    <x v="287"/>
    <d v="2024-05-24T00:00:00"/>
    <n v="32196.799999999999"/>
    <n v="23459.200000000001"/>
    <n v="1731.2"/>
    <n v="5680.64"/>
    <n v="10940.592000000001"/>
    <x v="1"/>
    <x v="3"/>
    <x v="0"/>
    <n v="0.72861899319186996"/>
    <n v="7.3796207884326795E-2"/>
    <n v="0.24214977492838599"/>
    <n v="3.2813308687615499"/>
    <n v="0.92594355565570097"/>
    <n v="1.9259435556557001"/>
  </r>
  <r>
    <s v="CMP857"/>
    <s v="Cart to Couch"/>
    <x v="0"/>
    <x v="178"/>
    <d v="2024-03-27T00:00:00"/>
    <n v="22403.200000000001"/>
    <n v="19076.8"/>
    <n v="9539.2000000000007"/>
    <n v="3977.9679999999998"/>
    <n v="11821.968000000001"/>
    <x v="3"/>
    <x v="4"/>
    <x v="1"/>
    <n v="0.85152121125553504"/>
    <n v="0.50004193575442402"/>
    <n v="0.20852386144426699"/>
    <n v="0.417012747400201"/>
    <n v="1.9718610104455301"/>
    <n v="2.9718610104455299"/>
  </r>
  <r>
    <s v="CMP858"/>
    <s v="Deal of the Day"/>
    <x v="3"/>
    <x v="289"/>
    <d v="2024-09-07T00:00:00"/>
    <n v="44163.199999999997"/>
    <n v="18724.8"/>
    <n v="13960"/>
    <n v="5607.28"/>
    <n v="8013.0879999999997"/>
    <x v="1"/>
    <x v="2"/>
    <x v="0"/>
    <n v="0.42399101514382997"/>
    <n v="0.74553533282064399"/>
    <n v="0.29945740408442301"/>
    <n v="0.401667621776504"/>
    <n v="0.42905080538157497"/>
    <n v="1.42905080538158"/>
  </r>
  <r>
    <s v="CMP859"/>
    <s v="Seasonal Steals"/>
    <x v="1"/>
    <x v="96"/>
    <d v="2024-02-09T00:00:00"/>
    <n v="23601.599999999999"/>
    <n v="5580.8"/>
    <n v="561.6"/>
    <n v="2549.3919999999998"/>
    <n v="9526.8639999999996"/>
    <x v="2"/>
    <x v="3"/>
    <x v="1"/>
    <n v="0.236458545183377"/>
    <n v="0.100630733944954"/>
    <n v="0.45681479357798199"/>
    <n v="4.5395156695156702"/>
    <n v="2.7369160960731"/>
    <n v="3.7369160960731"/>
  </r>
  <r>
    <s v="CMP860"/>
    <s v="Wishlist Wonders"/>
    <x v="0"/>
    <x v="83"/>
    <d v="2024-07-12T00:00:00"/>
    <n v="67172.800000000003"/>
    <n v="24398.400000000001"/>
    <n v="24049.599999999999"/>
    <n v="4478.9279999999999"/>
    <n v="8558.848"/>
    <x v="1"/>
    <x v="2"/>
    <x v="0"/>
    <n v="0.36321844556129901"/>
    <n v="0.98570398058889097"/>
    <n v="0.18357466063348399"/>
    <n v="0.186237109972723"/>
    <n v="0.91091439737365698"/>
    <n v="1.91091439737366"/>
  </r>
  <r>
    <s v="CMP861"/>
    <s v="Shop &amp; Share"/>
    <x v="0"/>
    <x v="0"/>
    <d v="2024-03-31T00:00:00"/>
    <n v="67419.199999999997"/>
    <n v="4100.8"/>
    <n v="3265.6"/>
    <n v="173.96799999999999"/>
    <n v="341.47199999999998"/>
    <x v="1"/>
    <x v="3"/>
    <x v="0"/>
    <n v="6.0825402852599901E-2"/>
    <n v="0.79633242294186501"/>
    <n v="4.2422941865001902E-2"/>
    <n v="5.3272905438510501E-2"/>
    <n v="0.96284374137772499"/>
    <n v="1.96284374137772"/>
  </r>
  <r>
    <s v="CMP862"/>
    <s v="Flash Sale Frenzy"/>
    <x v="2"/>
    <x v="153"/>
    <d v="2024-05-15T00:00:00"/>
    <n v="26985.599999999999"/>
    <n v="11988.8"/>
    <n v="3806.4"/>
    <n v="4667.1040000000003"/>
    <n v="13096.191999999999"/>
    <x v="4"/>
    <x v="1"/>
    <x v="1"/>
    <n v="0.444266571801257"/>
    <n v="0.31749632990791399"/>
    <n v="0.38928866942479701"/>
    <n v="1.2261202185792399"/>
    <n v="1.8060638888698399"/>
    <n v="2.8060638888698399"/>
  </r>
  <r>
    <s v="CMP863"/>
    <s v="Shop &amp; Share"/>
    <x v="1"/>
    <x v="41"/>
    <d v="2024-09-28T00:00:00"/>
    <n v="63638.400000000001"/>
    <n v="28224"/>
    <n v="23030.400000000001"/>
    <n v="994.48"/>
    <n v="1255.008"/>
    <x v="3"/>
    <x v="4"/>
    <x v="0"/>
    <n v="0.44350580781415"/>
    <n v="0.81598639455782296"/>
    <n v="3.5235260770975101E-2"/>
    <n v="4.3181186605530102E-2"/>
    <n v="0.26197409701552599"/>
    <n v="1.26197409701553"/>
  </r>
  <r>
    <s v="CMP864"/>
    <s v="Cart to Couch"/>
    <x v="3"/>
    <x v="213"/>
    <d v="2024-06-21T00:00:00"/>
    <n v="46916.800000000003"/>
    <n v="32843.199999999997"/>
    <n v="25726.400000000001"/>
    <n v="3221.52"/>
    <n v="9983.3279999999995"/>
    <x v="3"/>
    <x v="0"/>
    <x v="0"/>
    <n v="0.700030692630358"/>
    <n v="0.78330978710966104"/>
    <n v="9.8087884250012206E-2"/>
    <n v="0.12522233969774199"/>
    <n v="2.09894956418088"/>
    <n v="3.09894956418088"/>
  </r>
  <r>
    <s v="CMP865"/>
    <s v="Wishlist Wonders"/>
    <x v="2"/>
    <x v="116"/>
    <d v="2024-08-05T00:00:00"/>
    <n v="70089.600000000006"/>
    <n v="8836.7999999999993"/>
    <n v="6555.2"/>
    <n v="6999.1679999999997"/>
    <n v="25960.511999999999"/>
    <x v="0"/>
    <x v="1"/>
    <x v="0"/>
    <n v="0.12607861936720999"/>
    <n v="0.74180698895527797"/>
    <n v="0.79204780010863696"/>
    <n v="1.06772760556505"/>
    <n v="2.70908542272453"/>
    <n v="3.70908542272453"/>
  </r>
  <r>
    <s v="CMP866"/>
    <s v="Wishlist Wonders"/>
    <x v="2"/>
    <x v="226"/>
    <d v="2024-01-07T00:00:00"/>
    <n v="18710.400000000001"/>
    <n v="9992"/>
    <n v="1923.2"/>
    <n v="2604.2719999999999"/>
    <n v="4350.8639999999996"/>
    <x v="3"/>
    <x v="1"/>
    <x v="0"/>
    <n v="0.53403454763126401"/>
    <n v="0.19247397918334699"/>
    <n v="0.26063570856685297"/>
    <n v="1.35413477537438"/>
    <n v="0.67066420097439905"/>
    <n v="1.6706642009743999"/>
  </r>
  <r>
    <s v="CMP867"/>
    <s v="Flash Sale Frenzy"/>
    <x v="0"/>
    <x v="237"/>
    <d v="2024-05-13T00:00:00"/>
    <n v="10030.4"/>
    <n v="5332.8"/>
    <n v="3089.6"/>
    <n v="7894.768"/>
    <n v="27576.527999999998"/>
    <x v="4"/>
    <x v="4"/>
    <x v="0"/>
    <n v="0.53166374222363999"/>
    <n v="0.57935793579357897"/>
    <n v="1.48041704170417"/>
    <n v="2.5552718798549998"/>
    <n v="2.49301309424165"/>
    <n v="3.49301309424165"/>
  </r>
  <r>
    <s v="CMP868"/>
    <s v="Seasonal Steals"/>
    <x v="1"/>
    <x v="79"/>
    <d v="2024-06-17T00:00:00"/>
    <n v="70022.399999999994"/>
    <n v="47553.599999999999"/>
    <n v="42571.199999999997"/>
    <n v="1766.3679999999999"/>
    <n v="4557.6480000000001"/>
    <x v="1"/>
    <x v="0"/>
    <x v="0"/>
    <n v="0.679119824513299"/>
    <n v="0.89522559806197599"/>
    <n v="3.7144779785337E-2"/>
    <n v="4.1492088548126402E-2"/>
    <n v="1.5802369608145099"/>
    <n v="2.5802369608145099"/>
  </r>
  <r>
    <s v="CMP869"/>
    <s v="Seasonal Steals"/>
    <x v="3"/>
    <x v="16"/>
    <d v="2024-07-04T00:00:00"/>
    <n v="50760"/>
    <n v="35459.199999999997"/>
    <n v="26379.200000000001"/>
    <n v="972.88"/>
    <n v="3752.4160000000002"/>
    <x v="1"/>
    <x v="2"/>
    <x v="1"/>
    <n v="0.69856579984239597"/>
    <n v="0.74393105315404795"/>
    <n v="2.7436603194657499E-2"/>
    <n v="3.6880572572329698E-2"/>
    <n v="2.8570183373077902"/>
    <n v="3.8570183373077902"/>
  </r>
  <r>
    <s v="CMP870"/>
    <s v="Shop &amp; Share"/>
    <x v="1"/>
    <x v="196"/>
    <d v="2024-10-19T00:00:00"/>
    <n v="61355.199999999997"/>
    <n v="8329.6"/>
    <n v="6166.4"/>
    <n v="5349.76"/>
    <n v="13890.896000000001"/>
    <x v="0"/>
    <x v="2"/>
    <x v="0"/>
    <n v="0.135760294155997"/>
    <n v="0.74029965424510202"/>
    <n v="0.64225893200153705"/>
    <n v="0.86756616502335204"/>
    <n v="1.5965456394305499"/>
    <n v="2.5965456394305502"/>
  </r>
  <r>
    <s v="CMP871"/>
    <s v="Shop &amp; Share"/>
    <x v="0"/>
    <x v="277"/>
    <d v="2024-02-29T00:00:00"/>
    <n v="60865.599999999999"/>
    <n v="44700.800000000003"/>
    <n v="30028.799999999999"/>
    <n v="7514.0959999999995"/>
    <n v="17948.016"/>
    <x v="0"/>
    <x v="2"/>
    <x v="1"/>
    <n v="0.73441812780946902"/>
    <n v="0.67177321211253505"/>
    <n v="0.168097573197795"/>
    <n v="0.250229646206309"/>
    <n v="1.3885795443656801"/>
    <n v="2.3885795443656801"/>
  </r>
  <r>
    <s v="CMP872"/>
    <s v="Seasonal Steals"/>
    <x v="0"/>
    <x v="237"/>
    <d v="2024-05-25T00:00:00"/>
    <n v="32723.200000000001"/>
    <n v="19692.8"/>
    <n v="9171.2000000000007"/>
    <n v="206.864"/>
    <n v="290.59199999999998"/>
    <x v="3"/>
    <x v="0"/>
    <x v="0"/>
    <n v="0.60179933502835903"/>
    <n v="0.46571335716607098"/>
    <n v="1.05045498862528E-2"/>
    <n v="2.2555826936496898E-2"/>
    <n v="0.40474901384484502"/>
    <n v="1.40474901384484"/>
  </r>
  <r>
    <s v="CMP873"/>
    <s v="Seasonal Steals"/>
    <x v="2"/>
    <x v="86"/>
    <d v="2024-08-25T00:00:00"/>
    <n v="20475.2"/>
    <n v="1641.6"/>
    <n v="1504"/>
    <n v="2546.944"/>
    <n v="3954.9920000000002"/>
    <x v="1"/>
    <x v="4"/>
    <x v="0"/>
    <n v="8.0175041025240298E-2"/>
    <n v="0.91617933723196898"/>
    <n v="1.5515009746588699"/>
    <n v="1.69344680851064"/>
    <n v="0.55283822494723101"/>
    <n v="1.5528382249472299"/>
  </r>
  <r>
    <s v="CMP874"/>
    <s v="Cart to Couch"/>
    <x v="0"/>
    <x v="42"/>
    <d v="2024-04-07T00:00:00"/>
    <n v="31060.799999999999"/>
    <n v="1756.8"/>
    <n v="1064"/>
    <n v="4573.5839999999998"/>
    <n v="16095.856"/>
    <x v="3"/>
    <x v="1"/>
    <x v="0"/>
    <n v="5.6560037088548898E-2"/>
    <n v="0.60564663023679399"/>
    <n v="2.6033606557377"/>
    <n v="4.2984812030075199"/>
    <n v="2.5193091457377799"/>
    <n v="3.5193091457377799"/>
  </r>
  <r>
    <s v="CMP875"/>
    <s v="Cart to Couch"/>
    <x v="1"/>
    <x v="139"/>
    <d v="2024-05-19T00:00:00"/>
    <n v="28120"/>
    <n v="2006.4"/>
    <n v="897.6"/>
    <n v="5209.5039999999999"/>
    <n v="17725.12"/>
    <x v="1"/>
    <x v="3"/>
    <x v="1"/>
    <n v="7.13513513513514E-2"/>
    <n v="0.44736842105263203"/>
    <n v="2.5964433811802201"/>
    <n v="5.8038146167557896"/>
    <n v="2.4024582762581601"/>
    <n v="3.4024582762581601"/>
  </r>
  <r>
    <s v="CMP876"/>
    <s v="Cart to Couch"/>
    <x v="0"/>
    <x v="23"/>
    <d v="2024-10-22T00:00:00"/>
    <n v="77278.399999999994"/>
    <n v="63281.599999999999"/>
    <n v="57947.199999999997"/>
    <n v="7869.1840000000002"/>
    <n v="15696.464"/>
    <x v="4"/>
    <x v="4"/>
    <x v="1"/>
    <n v="0.81887823764467205"/>
    <n v="0.91570377487294896"/>
    <n v="0.12435184951075801"/>
    <n v="0.135799210315598"/>
    <n v="0.99467492436318705"/>
    <n v="1.99467492436319"/>
  </r>
  <r>
    <s v="CMP877"/>
    <s v="Wishlist Wonders"/>
    <x v="3"/>
    <x v="287"/>
    <d v="2024-05-14T00:00:00"/>
    <n v="44064"/>
    <n v="25227.200000000001"/>
    <n v="5648"/>
    <n v="6861.5519999999997"/>
    <n v="18501.04"/>
    <x v="3"/>
    <x v="3"/>
    <x v="0"/>
    <n v="0.57251270878721905"/>
    <n v="0.223885330119871"/>
    <n v="0.27199023276463502"/>
    <n v="1.21486402266289"/>
    <n v="1.6963345901918401"/>
    <n v="2.6963345901918401"/>
  </r>
  <r>
    <s v="CMP878"/>
    <s v="Seasonal Steals"/>
    <x v="2"/>
    <x v="84"/>
    <d v="2024-07-03T00:00:00"/>
    <n v="24744"/>
    <n v="20105.599999999999"/>
    <n v="11134.4"/>
    <n v="5649.5680000000002"/>
    <n v="10042.768"/>
    <x v="0"/>
    <x v="2"/>
    <x v="0"/>
    <n v="0.81254445522146801"/>
    <n v="0.55379595734521703"/>
    <n v="0.28099474773197503"/>
    <n v="0.50739761459979904"/>
    <n v="0.777616978855728"/>
    <n v="1.7776169788557299"/>
  </r>
  <r>
    <s v="CMP879"/>
    <s v="Deal of the Day"/>
    <x v="2"/>
    <x v="223"/>
    <d v="2024-07-23T00:00:00"/>
    <n v="55148.800000000003"/>
    <n v="21950.400000000001"/>
    <n v="15988.8"/>
    <n v="856.99199999999996"/>
    <n v="1526.2719999999999"/>
    <x v="0"/>
    <x v="0"/>
    <x v="1"/>
    <n v="0.398021353139144"/>
    <n v="0.72840586048545797"/>
    <n v="3.9042204242291698E-2"/>
    <n v="5.3599519663764597E-2"/>
    <n v="0.78096411635114404"/>
    <n v="1.78096411635114"/>
  </r>
  <r>
    <s v="CMP880"/>
    <s v="Deal of the Day"/>
    <x v="1"/>
    <x v="258"/>
    <d v="2024-03-31T00:00:00"/>
    <n v="23462.400000000001"/>
    <n v="4643.2"/>
    <n v="2168"/>
    <n v="7434.384"/>
    <n v="16383.456"/>
    <x v="1"/>
    <x v="3"/>
    <x v="0"/>
    <n v="0.19789961811238399"/>
    <n v="0.466919365954514"/>
    <n v="1.6011337008959301"/>
    <n v="3.4291439114391098"/>
    <n v="1.20374088828341"/>
    <n v="2.2037408882834102"/>
  </r>
  <r>
    <s v="CMP881"/>
    <s v="Wishlist Wonders"/>
    <x v="0"/>
    <x v="264"/>
    <d v="2024-08-06T00:00:00"/>
    <n v="55092.800000000003"/>
    <n v="40027.199999999997"/>
    <n v="20627.2"/>
    <n v="3874.5279999999998"/>
    <n v="5021.3919999999998"/>
    <x v="2"/>
    <x v="4"/>
    <x v="1"/>
    <n v="0.72654139923910199"/>
    <n v="0.51532957588839601"/>
    <n v="9.6797377783107499E-2"/>
    <n v="0.18783586720446799"/>
    <n v="0.29600095805218102"/>
    <n v="1.2960009580521801"/>
  </r>
  <r>
    <s v="CMP882"/>
    <s v="Deal of the Day"/>
    <x v="2"/>
    <x v="46"/>
    <d v="2024-06-02T00:00:00"/>
    <n v="49619.199999999997"/>
    <n v="38940.800000000003"/>
    <n v="18172.8"/>
    <n v="7399.8720000000003"/>
    <n v="16451.648000000001"/>
    <x v="0"/>
    <x v="2"/>
    <x v="0"/>
    <n v="0.78479298336128001"/>
    <n v="0.466677623469472"/>
    <n v="0.19002876160736301"/>
    <n v="0.40719492868462798"/>
    <n v="1.22323413161741"/>
    <n v="2.22323413161741"/>
  </r>
  <r>
    <s v="CMP883"/>
    <s v="Seasonal Steals"/>
    <x v="3"/>
    <x v="67"/>
    <d v="2024-04-15T00:00:00"/>
    <n v="64926.400000000001"/>
    <n v="31467.200000000001"/>
    <n v="25214.400000000001"/>
    <n v="1152.56"/>
    <n v="3314.3679999999999"/>
    <x v="2"/>
    <x v="3"/>
    <x v="0"/>
    <n v="0.48465955297074798"/>
    <n v="0.80129150353383805"/>
    <n v="3.66273452992322E-2"/>
    <n v="4.5710387714956502E-2"/>
    <n v="1.87565766641216"/>
    <n v="2.87565766641216"/>
  </r>
  <r>
    <s v="CMP884"/>
    <s v="Cart to Couch"/>
    <x v="3"/>
    <x v="55"/>
    <d v="2024-08-12T00:00:00"/>
    <n v="41723.199999999997"/>
    <n v="30560"/>
    <n v="1193.5999999999999"/>
    <n v="6652.8959999999997"/>
    <n v="9341.6640000000007"/>
    <x v="0"/>
    <x v="4"/>
    <x v="0"/>
    <n v="0.73244621697281098"/>
    <n v="3.9057591623036597E-2"/>
    <n v="0.21769947643979101"/>
    <n v="5.5738069705093798"/>
    <n v="0.40415001226533498"/>
    <n v="1.4041500122653401"/>
  </r>
  <r>
    <s v="CMP885"/>
    <s v="Seasonal Steals"/>
    <x v="0"/>
    <x v="223"/>
    <d v="2024-08-11T00:00:00"/>
    <n v="48907.199999999997"/>
    <n v="29627.200000000001"/>
    <n v="29609.599999999999"/>
    <n v="6494.32"/>
    <n v="22744.944"/>
    <x v="4"/>
    <x v="1"/>
    <x v="0"/>
    <n v="0.60578401544148897"/>
    <n v="0.99940595128800602"/>
    <n v="0.21920127450450899"/>
    <n v="0.21933156814006299"/>
    <n v="2.5022826100346101"/>
    <n v="3.5022826100346101"/>
  </r>
  <r>
    <s v="CMP886"/>
    <s v="Shop &amp; Share"/>
    <x v="0"/>
    <x v="164"/>
    <d v="2024-03-12T00:00:00"/>
    <n v="46889.599999999999"/>
    <n v="43622.400000000001"/>
    <n v="31443.200000000001"/>
    <n v="2031.5360000000001"/>
    <n v="7220.848"/>
    <x v="4"/>
    <x v="4"/>
    <x v="0"/>
    <n v="0.93032143588343696"/>
    <n v="0.72080399061032896"/>
    <n v="4.6570936032863899E-2"/>
    <n v="6.4609708935477295E-2"/>
    <n v="2.5543785588835202"/>
    <n v="3.5543785588835202"/>
  </r>
  <r>
    <s v="CMP887"/>
    <s v="Wishlist Wonders"/>
    <x v="1"/>
    <x v="200"/>
    <d v="2024-07-11T00:00:00"/>
    <n v="4443.2"/>
    <n v="1012.8"/>
    <n v="280"/>
    <n v="3290"/>
    <n v="5614.9759999999997"/>
    <x v="4"/>
    <x v="1"/>
    <x v="0"/>
    <n v="0.22794382427079601"/>
    <n v="0.27646129541864101"/>
    <n v="3.2484202211690398"/>
    <n v="11.75"/>
    <n v="0.70667963525835897"/>
    <n v="1.70667963525836"/>
  </r>
  <r>
    <s v="CMP888"/>
    <s v="Wishlist Wonders"/>
    <x v="0"/>
    <x v="185"/>
    <d v="2024-10-29T00:00:00"/>
    <n v="30724.799999999999"/>
    <n v="9656"/>
    <n v="8366.4"/>
    <n v="5502"/>
    <n v="14684.368"/>
    <x v="3"/>
    <x v="3"/>
    <x v="0"/>
    <n v="0.31427381138363802"/>
    <n v="0.866445733222867"/>
    <n v="0.56980115990058"/>
    <n v="0.65763052208835304"/>
    <n v="1.6689145765176301"/>
    <n v="2.6689145765176301"/>
  </r>
  <r>
    <s v="CMP889"/>
    <s v="Wishlist Wonders"/>
    <x v="3"/>
    <x v="208"/>
    <d v="2024-06-10T00:00:00"/>
    <n v="64235.199999999997"/>
    <n v="23489.599999999999"/>
    <n v="4536"/>
    <n v="961.16800000000001"/>
    <n v="1790.6880000000001"/>
    <x v="0"/>
    <x v="4"/>
    <x v="0"/>
    <n v="0.365681121877102"/>
    <n v="0.193106736598324"/>
    <n v="4.09188747360534E-2"/>
    <n v="0.21189770723104101"/>
    <n v="0.86303330947347401"/>
    <n v="1.8630333094734699"/>
  </r>
  <r>
    <s v="CMP890"/>
    <s v="Seasonal Steals"/>
    <x v="2"/>
    <x v="97"/>
    <d v="2024-10-01T00:00:00"/>
    <n v="9206.4"/>
    <n v="9132.7999999999993"/>
    <n v="6996.8"/>
    <n v="7851.0240000000003"/>
    <n v="17795.599999999999"/>
    <x v="3"/>
    <x v="3"/>
    <x v="0"/>
    <n v="0.99200556134862705"/>
    <n v="0.76611772950245305"/>
    <n v="0.85965136650315399"/>
    <n v="1.122087811571"/>
    <n v="1.2666597376342199"/>
    <n v="2.2666597376342201"/>
  </r>
  <r>
    <s v="CMP891"/>
    <s v="Deal of the Day"/>
    <x v="2"/>
    <x v="140"/>
    <d v="2024-09-08T00:00:00"/>
    <n v="12806.4"/>
    <n v="10742.4"/>
    <n v="3.2"/>
    <n v="7395.0879999999997"/>
    <n v="25683.727999999999"/>
    <x v="2"/>
    <x v="1"/>
    <x v="1"/>
    <n v="0.83883058470764604"/>
    <n v="2.97885016383676E-4"/>
    <n v="0.68840184688710204"/>
    <n v="2310.9650000000001"/>
    <n v="2.4730794278580599"/>
    <n v="3.4730794278580599"/>
  </r>
  <r>
    <s v="CMP892"/>
    <s v="Deal of the Day"/>
    <x v="1"/>
    <x v="289"/>
    <d v="2024-08-16T00:00:00"/>
    <n v="39728"/>
    <n v="12387.2"/>
    <n v="9355.2000000000007"/>
    <n v="2443.04"/>
    <n v="8753.9519999999993"/>
    <x v="0"/>
    <x v="1"/>
    <x v="0"/>
    <n v="0.31180024164317399"/>
    <n v="0.75523120640661301"/>
    <n v="0.19722293980883501"/>
    <n v="0.261142466221994"/>
    <n v="2.58322090510184"/>
    <n v="3.58322090510184"/>
  </r>
  <r>
    <s v="CMP893"/>
    <s v="Deal of the Day"/>
    <x v="2"/>
    <x v="290"/>
    <d v="2024-03-20T00:00:00"/>
    <n v="8964.7999999999993"/>
    <n v="1182.4000000000001"/>
    <n v="228.8"/>
    <n v="6042.768"/>
    <n v="17824.240000000002"/>
    <x v="1"/>
    <x v="0"/>
    <x v="0"/>
    <n v="0.13189362841335001"/>
    <n v="0.19350473612990499"/>
    <n v="5.1105953991880897"/>
    <n v="26.410699300699299"/>
    <n v="1.9496813380887701"/>
    <n v="2.9496813380887699"/>
  </r>
  <r>
    <s v="CMP894"/>
    <s v="Deal of the Day"/>
    <x v="0"/>
    <x v="168"/>
    <d v="2024-06-20T00:00:00"/>
    <n v="75297.600000000006"/>
    <n v="25339.200000000001"/>
    <n v="6724.8"/>
    <n v="1528.2239999999999"/>
    <n v="2930"/>
    <x v="0"/>
    <x v="0"/>
    <x v="1"/>
    <n v="0.336520685918276"/>
    <n v="0.26539117257056299"/>
    <n v="6.0310664898654998E-2"/>
    <n v="0.22725196288365501"/>
    <n v="0.91725820298594996"/>
    <n v="1.91725820298595"/>
  </r>
  <r>
    <s v="CMP895"/>
    <s v="Seasonal Steals"/>
    <x v="1"/>
    <x v="143"/>
    <d v="2024-08-04T00:00:00"/>
    <n v="8905.6"/>
    <n v="5633.6"/>
    <n v="4094.4"/>
    <n v="6020.0320000000002"/>
    <n v="15268.752"/>
    <x v="2"/>
    <x v="1"/>
    <x v="1"/>
    <n v="0.632590729428674"/>
    <n v="0.72678216415790997"/>
    <n v="1.06859414938938"/>
    <n v="1.4703087143415401"/>
    <n v="1.53632405940699"/>
    <n v="2.53632405940699"/>
  </r>
  <r>
    <s v="CMP896"/>
    <s v="Shop &amp; Share"/>
    <x v="3"/>
    <x v="268"/>
    <d v="2024-10-04T00:00:00"/>
    <n v="17748.8"/>
    <n v="13156.8"/>
    <n v="11166.4"/>
    <n v="7110.2240000000002"/>
    <n v="19861.583999999999"/>
    <x v="0"/>
    <x v="0"/>
    <x v="0"/>
    <n v="0.74127828360227199"/>
    <n v="0.84871701325550297"/>
    <n v="0.54042198710932798"/>
    <n v="0.63675168362229595"/>
    <n v="1.79338372461965"/>
    <n v="2.79338372461965"/>
  </r>
  <r>
    <s v="CMP897"/>
    <s v="Wishlist Wonders"/>
    <x v="3"/>
    <x v="157"/>
    <d v="2024-10-03T00:00:00"/>
    <n v="61040"/>
    <n v="59059.199999999997"/>
    <n v="33902.400000000001"/>
    <n v="2774.3519999999999"/>
    <n v="6283.04"/>
    <x v="0"/>
    <x v="1"/>
    <x v="0"/>
    <n v="0.96754914809960701"/>
    <n v="0.57404096228868695"/>
    <n v="4.6975780234070202E-2"/>
    <n v="8.1833498513379593E-2"/>
    <n v="1.2646873936688601"/>
    <n v="2.2646873936688601"/>
  </r>
  <r>
    <s v="CMP898"/>
    <s v="Flash Sale Frenzy"/>
    <x v="3"/>
    <x v="167"/>
    <d v="2024-01-31T00:00:00"/>
    <n v="66475.199999999997"/>
    <n v="36988.800000000003"/>
    <n v="33891.199999999997"/>
    <n v="1967.904"/>
    <n v="4724.0479999999998"/>
    <x v="1"/>
    <x v="0"/>
    <x v="1"/>
    <n v="0.55643006715286303"/>
    <n v="0.916255731464659"/>
    <n v="5.32026991954321E-2"/>
    <n v="5.80653384949485E-2"/>
    <n v="1.4005479942111001"/>
    <n v="2.4005479942111001"/>
  </r>
  <r>
    <s v="CMP899"/>
    <s v="Deal of the Day"/>
    <x v="3"/>
    <x v="184"/>
    <d v="2024-08-22T00:00:00"/>
    <n v="42156.800000000003"/>
    <n v="26540.799999999999"/>
    <n v="18339.2"/>
    <n v="4489.0559999999996"/>
    <n v="7028.64"/>
    <x v="1"/>
    <x v="1"/>
    <x v="0"/>
    <n v="0.62957340215576096"/>
    <n v="0.69098143236074305"/>
    <n v="0.16913793103448299"/>
    <n v="0.24477927063339699"/>
    <n v="0.56572785013152005"/>
    <n v="1.5657278501315199"/>
  </r>
  <r>
    <s v="CMP900"/>
    <s v="Cart to Couch"/>
    <x v="3"/>
    <x v="235"/>
    <d v="2024-05-06T00:00:00"/>
    <n v="34304"/>
    <n v="6184"/>
    <n v="2590.4"/>
    <n v="5371.28"/>
    <n v="15394.608"/>
    <x v="1"/>
    <x v="3"/>
    <x v="1"/>
    <n v="0.18027052238805999"/>
    <n v="0.41888745148771001"/>
    <n v="0.86857697283311797"/>
    <n v="2.0735330450895599"/>
    <n v="1.8660967218242199"/>
    <n v="2.8660967218242202"/>
  </r>
  <r>
    <s v="CMP901"/>
    <s v="Flash Sale Frenzy"/>
    <x v="3"/>
    <x v="55"/>
    <d v="2024-08-14T00:00:00"/>
    <n v="32788.800000000003"/>
    <n v="1889.6"/>
    <n v="1489.6"/>
    <n v="7360.384"/>
    <n v="13560.528"/>
    <x v="3"/>
    <x v="4"/>
    <x v="0"/>
    <n v="5.7629434441028603E-2"/>
    <n v="0.78831498729889904"/>
    <n v="3.8952074513124502"/>
    <n v="4.9411815252416798"/>
    <n v="0.84236691998678304"/>
    <n v="1.84236691998678"/>
  </r>
  <r>
    <s v="CMP902"/>
    <s v="Cart to Couch"/>
    <x v="3"/>
    <x v="168"/>
    <d v="2024-07-12T00:00:00"/>
    <n v="18913.599999999999"/>
    <n v="16531.2"/>
    <n v="10545.6"/>
    <n v="6293.7920000000004"/>
    <n v="24550.592000000001"/>
    <x v="1"/>
    <x v="3"/>
    <x v="1"/>
    <n v="0.87403772946451197"/>
    <n v="0.63792102206736401"/>
    <n v="0.38072202864885801"/>
    <n v="0.59681687149142804"/>
    <n v="2.9007631647185002"/>
    <n v="3.9007631647185002"/>
  </r>
  <r>
    <s v="CMP903"/>
    <s v="Deal of the Day"/>
    <x v="0"/>
    <x v="54"/>
    <d v="2024-05-20T00:00:00"/>
    <n v="32836.800000000003"/>
    <n v="11364.8"/>
    <n v="11105.6"/>
    <n v="4135.5039999999999"/>
    <n v="11805.487999999999"/>
    <x v="2"/>
    <x v="3"/>
    <x v="0"/>
    <n v="0.34609949812405599"/>
    <n v="0.97719273546388896"/>
    <n v="0.36388708996198799"/>
    <n v="0.37238006051001299"/>
    <n v="1.8546672908549999"/>
    <n v="2.8546672908550002"/>
  </r>
  <r>
    <s v="CMP904"/>
    <s v="Wishlist Wonders"/>
    <x v="2"/>
    <x v="146"/>
    <d v="2024-03-30T00:00:00"/>
    <n v="55921.599999999999"/>
    <n v="18728"/>
    <n v="17979.2"/>
    <n v="4954.0479999999998"/>
    <n v="17157.648000000001"/>
    <x v="3"/>
    <x v="1"/>
    <x v="0"/>
    <n v="0.33489742782753001"/>
    <n v="0.96001708671507902"/>
    <n v="0.26452627082443397"/>
    <n v="0.27554329447361398"/>
    <n v="2.46335925691475"/>
    <n v="3.46335925691475"/>
  </r>
  <r>
    <s v="CMP905"/>
    <s v="Wishlist Wonders"/>
    <x v="0"/>
    <x v="153"/>
    <d v="2024-04-18T00:00:00"/>
    <n v="48190.400000000001"/>
    <n v="44473.599999999999"/>
    <n v="11492.8"/>
    <n v="6447.2"/>
    <n v="24470.256000000001"/>
    <x v="0"/>
    <x v="4"/>
    <x v="1"/>
    <n v="0.92287260533218196"/>
    <n v="0.258418477478774"/>
    <n v="0.144966901712477"/>
    <n v="0.56097730753167196"/>
    <n v="2.7954857922819198"/>
    <n v="3.7954857922819198"/>
  </r>
  <r>
    <s v="CMP906"/>
    <s v="Flash Sale Frenzy"/>
    <x v="2"/>
    <x v="12"/>
    <d v="2024-09-18T00:00:00"/>
    <n v="46107.199999999997"/>
    <n v="14272"/>
    <n v="7928"/>
    <n v="2358.48"/>
    <n v="5746.6559999999999"/>
    <x v="0"/>
    <x v="3"/>
    <x v="0"/>
    <n v="0.30953950792934698"/>
    <n v="0.55549327354260103"/>
    <n v="0.16525224215246601"/>
    <n v="0.29748738647830503"/>
    <n v="1.4365930599369101"/>
    <n v="2.4365930599369099"/>
  </r>
  <r>
    <s v="CMP907"/>
    <s v="Flash Sale Frenzy"/>
    <x v="1"/>
    <x v="45"/>
    <d v="2024-06-27T00:00:00"/>
    <n v="8787.2000000000007"/>
    <n v="652.79999999999995"/>
    <n v="96"/>
    <n v="7470.16"/>
    <n v="26921.200000000001"/>
    <x v="2"/>
    <x v="3"/>
    <x v="0"/>
    <n v="7.4289876183539702E-2"/>
    <n v="0.14705882352941199"/>
    <n v="11.443259803921601"/>
    <n v="77.814166666666694"/>
    <n v="2.6038317787035399"/>
    <n v="3.6038317787035399"/>
  </r>
  <r>
    <s v="CMP908"/>
    <s v="Flash Sale Frenzy"/>
    <x v="0"/>
    <x v="224"/>
    <d v="2024-10-03T00:00:00"/>
    <n v="2105.6"/>
    <n v="1628.8"/>
    <n v="494.4"/>
    <n v="2265.7600000000002"/>
    <n v="7626.1120000000001"/>
    <x v="0"/>
    <x v="0"/>
    <x v="0"/>
    <n v="0.77355623100303905"/>
    <n v="0.303536345776031"/>
    <n v="1.3910609037328101"/>
    <n v="4.5828478964401302"/>
    <n v="2.3658074994703799"/>
    <n v="3.3658074994703799"/>
  </r>
  <r>
    <s v="CMP909"/>
    <s v="Cart to Couch"/>
    <x v="3"/>
    <x v="125"/>
    <d v="2024-01-20T00:00:00"/>
    <n v="27656"/>
    <n v="26580.799999999999"/>
    <n v="2956.8"/>
    <n v="6949.28"/>
    <n v="14696.992"/>
    <x v="3"/>
    <x v="3"/>
    <x v="0"/>
    <n v="0.96112236042811705"/>
    <n v="0.111238186962018"/>
    <n v="0.26143983627279799"/>
    <n v="2.35027056277056"/>
    <n v="1.1148942048672701"/>
    <n v="2.1148942048672699"/>
  </r>
  <r>
    <s v="CMP910"/>
    <s v="Deal of the Day"/>
    <x v="0"/>
    <x v="66"/>
    <d v="2024-11-12T00:00:00"/>
    <n v="79398.399999999994"/>
    <n v="29177.599999999999"/>
    <n v="3763.2"/>
    <n v="5860.8959999999997"/>
    <n v="21806.495999999999"/>
    <x v="0"/>
    <x v="2"/>
    <x v="0"/>
    <n v="0.36748347573754597"/>
    <n v="0.12897565255538501"/>
    <n v="0.20086970826935699"/>
    <n v="1.55742346938776"/>
    <n v="2.72067615600072"/>
    <n v="3.72067615600072"/>
  </r>
  <r>
    <s v="CMP911"/>
    <s v="Shop &amp; Share"/>
    <x v="0"/>
    <x v="26"/>
    <d v="2024-09-02T00:00:00"/>
    <n v="20660.8"/>
    <n v="10627.2"/>
    <n v="7520"/>
    <n v="840.52800000000002"/>
    <n v="1043.6320000000001"/>
    <x v="2"/>
    <x v="0"/>
    <x v="0"/>
    <n v="0.51436536823356305"/>
    <n v="0.70761818729298398"/>
    <n v="7.9092140921409204E-2"/>
    <n v="0.111772340425532"/>
    <n v="0.24163858907734201"/>
    <n v="1.24163858907734"/>
  </r>
  <r>
    <s v="CMP912"/>
    <s v="Wishlist Wonders"/>
    <x v="0"/>
    <x v="38"/>
    <d v="2024-09-05T00:00:00"/>
    <n v="35908.800000000003"/>
    <n v="15724.8"/>
    <n v="9868.7999999999993"/>
    <n v="4545.8239999999996"/>
    <n v="17812.64"/>
    <x v="0"/>
    <x v="1"/>
    <x v="1"/>
    <n v="0.43790937040502598"/>
    <n v="0.62759462759462803"/>
    <n v="0.28908628408628401"/>
    <n v="0.46062581063553798"/>
    <n v="2.9184623073836602"/>
    <n v="3.9184623073836602"/>
  </r>
  <r>
    <s v="CMP913"/>
    <s v="Seasonal Steals"/>
    <x v="2"/>
    <x v="223"/>
    <d v="2024-07-30T00:00:00"/>
    <n v="7270.4"/>
    <n v="1520"/>
    <n v="457.6"/>
    <n v="6883.808"/>
    <n v="15454.031999999999"/>
    <x v="4"/>
    <x v="0"/>
    <x v="1"/>
    <n v="0.20906690140845099"/>
    <n v="0.30105263157894702"/>
    <n v="4.5288210526315797"/>
    <n v="15.043286713286699"/>
    <n v="1.2449830094040999"/>
    <n v="2.2449830094041001"/>
  </r>
  <r>
    <s v="CMP914"/>
    <s v="Seasonal Steals"/>
    <x v="2"/>
    <x v="43"/>
    <d v="2024-03-15T00:00:00"/>
    <n v="64009.599999999999"/>
    <n v="54659.199999999997"/>
    <n v="14366.4"/>
    <n v="693.88800000000003"/>
    <n v="2257.3919999999998"/>
    <x v="0"/>
    <x v="2"/>
    <x v="1"/>
    <n v="0.85392191171324305"/>
    <n v="0.26283589953749797"/>
    <n v="1.26948070956033E-2"/>
    <n v="4.8299365185432701E-2"/>
    <n v="2.25325124515772"/>
    <n v="3.25325124515772"/>
  </r>
  <r>
    <s v="CMP915"/>
    <s v="Cart to Couch"/>
    <x v="0"/>
    <x v="27"/>
    <d v="2024-03-15T00:00:00"/>
    <n v="50228.800000000003"/>
    <n v="22785.599999999999"/>
    <n v="14857.6"/>
    <n v="3313.8719999999998"/>
    <n v="9247.0400000000009"/>
    <x v="2"/>
    <x v="4"/>
    <x v="1"/>
    <n v="0.45363616092759501"/>
    <n v="0.65206095077592896"/>
    <n v="0.14543711817990301"/>
    <n v="0.22304221408572"/>
    <n v="1.7904034917462099"/>
    <n v="2.7904034917462099"/>
  </r>
  <r>
    <s v="CMP916"/>
    <s v="Wishlist Wonders"/>
    <x v="2"/>
    <x v="289"/>
    <d v="2024-09-04T00:00:00"/>
    <n v="41465.599999999999"/>
    <n v="39689.599999999999"/>
    <n v="9656"/>
    <n v="190.84800000000001"/>
    <n v="401.61599999999999"/>
    <x v="3"/>
    <x v="3"/>
    <x v="1"/>
    <n v="0.95716931625250801"/>
    <n v="0.24328791421430301"/>
    <n v="4.80851406917681E-3"/>
    <n v="1.97647058823529E-2"/>
    <n v="1.10437625754527"/>
    <n v="2.1043762575452698"/>
  </r>
  <r>
    <s v="CMP917"/>
    <s v="Wishlist Wonders"/>
    <x v="2"/>
    <x v="189"/>
    <d v="2024-10-07T00:00:00"/>
    <n v="45382.400000000001"/>
    <n v="12152"/>
    <n v="8660.7999999999993"/>
    <n v="6139.2960000000003"/>
    <n v="22700.335999999999"/>
    <x v="1"/>
    <x v="2"/>
    <x v="0"/>
    <n v="0.26776900296150002"/>
    <n v="0.71270572745227101"/>
    <n v="0.50520868992758405"/>
    <n v="0.70886015148716097"/>
    <n v="2.6975470803167001"/>
    <n v="3.6975470803167001"/>
  </r>
  <r>
    <s v="CMP918"/>
    <s v="Shop &amp; Share"/>
    <x v="0"/>
    <x v="123"/>
    <d v="2024-04-05T00:00:00"/>
    <n v="30440"/>
    <n v="12084.8"/>
    <n v="972.8"/>
    <n v="7789.4080000000004"/>
    <n v="26287.488000000001"/>
    <x v="4"/>
    <x v="3"/>
    <x v="0"/>
    <n v="0.39700394218134"/>
    <n v="8.0497815437574505E-2"/>
    <n v="0.64456242552628096"/>
    <n v="8.0072039473684207"/>
    <n v="2.3747735386309201"/>
    <n v="3.3747735386309201"/>
  </r>
  <r>
    <s v="CMP919"/>
    <s v="Shop &amp; Share"/>
    <x v="2"/>
    <x v="241"/>
    <d v="2024-01-20T00:00:00"/>
    <n v="48129.599999999999"/>
    <n v="32099.200000000001"/>
    <n v="6107.2"/>
    <n v="2759.9839999999999"/>
    <n v="5471.52"/>
    <x v="3"/>
    <x v="2"/>
    <x v="1"/>
    <n v="0.66693261527209902"/>
    <n v="0.19026019340045899"/>
    <n v="8.5982952846176894E-2"/>
    <n v="0.451922976159287"/>
    <n v="0.98244627505087001"/>
    <n v="1.98244627505087"/>
  </r>
  <r>
    <s v="CMP920"/>
    <s v="Seasonal Steals"/>
    <x v="0"/>
    <x v="243"/>
    <d v="2024-09-29T00:00:00"/>
    <n v="72051.199999999997"/>
    <n v="18084.8"/>
    <n v="14664"/>
    <n v="5535.2160000000003"/>
    <n v="13295.168"/>
    <x v="2"/>
    <x v="0"/>
    <x v="1"/>
    <n v="0.25099928939420901"/>
    <n v="0.81084667787313103"/>
    <n v="0.30607006989294899"/>
    <n v="0.37746972176759402"/>
    <n v="1.40192397189197"/>
    <n v="2.40192397189197"/>
  </r>
  <r>
    <s v="CMP921"/>
    <s v="Seasonal Steals"/>
    <x v="2"/>
    <x v="284"/>
    <d v="2024-09-27T00:00:00"/>
    <n v="58889.599999999999"/>
    <n v="21403.200000000001"/>
    <n v="5526.4"/>
    <n v="6258.4319999999998"/>
    <n v="16335.424000000001"/>
    <x v="0"/>
    <x v="4"/>
    <x v="1"/>
    <n v="0.36344617725370898"/>
    <n v="0.25820438065335999"/>
    <n v="0.29240636914106299"/>
    <n v="1.1324609148813001"/>
    <n v="1.6101464392359"/>
    <n v="2.6101464392359"/>
  </r>
  <r>
    <s v="CMP922"/>
    <s v="Flash Sale Frenzy"/>
    <x v="3"/>
    <x v="78"/>
    <d v="2024-09-11T00:00:00"/>
    <n v="71729.600000000006"/>
    <n v="48076.800000000003"/>
    <n v="33088"/>
    <n v="1804.992"/>
    <n v="2675.808"/>
    <x v="0"/>
    <x v="0"/>
    <x v="1"/>
    <n v="0.67025049630835798"/>
    <n v="0.688232161874334"/>
    <n v="3.7543929712460102E-2"/>
    <n v="5.4551257253384902E-2"/>
    <n v="0.48244867567280098"/>
    <n v="1.4824486756727999"/>
  </r>
  <r>
    <s v="CMP923"/>
    <s v="Flash Sale Frenzy"/>
    <x v="1"/>
    <x v="278"/>
    <d v="2024-03-12T00:00:00"/>
    <n v="78761.600000000006"/>
    <n v="25196.799999999999"/>
    <n v="24704"/>
    <n v="5202.4639999999999"/>
    <n v="16080.48"/>
    <x v="4"/>
    <x v="0"/>
    <x v="1"/>
    <n v="0.31991224149839498"/>
    <n v="0.98044196088392199"/>
    <n v="0.206473202946406"/>
    <n v="0.210591968911917"/>
    <n v="2.09093537216211"/>
    <n v="3.09093537216211"/>
  </r>
  <r>
    <s v="CMP924"/>
    <s v="Deal of the Day"/>
    <x v="1"/>
    <x v="200"/>
    <d v="2024-06-26T00:00:00"/>
    <n v="23664"/>
    <n v="2217.6"/>
    <n v="1528"/>
    <n v="4392.384"/>
    <n v="16523.439999999999"/>
    <x v="0"/>
    <x v="4"/>
    <x v="1"/>
    <n v="9.3711967545638902E-2"/>
    <n v="0.689033189033189"/>
    <n v="1.9806926406926399"/>
    <n v="2.87459685863874"/>
    <n v="2.7618386734857401"/>
    <n v="3.7618386734857401"/>
  </r>
  <r>
    <s v="CMP925"/>
    <s v="Flash Sale Frenzy"/>
    <x v="2"/>
    <x v="108"/>
    <d v="2024-07-05T00:00:00"/>
    <n v="34518.400000000001"/>
    <n v="27416"/>
    <n v="18328"/>
    <n v="5107.6319999999996"/>
    <n v="20375.12"/>
    <x v="3"/>
    <x v="2"/>
    <x v="0"/>
    <n v="0.79424307036247299"/>
    <n v="0.66851473592063004"/>
    <n v="0.18630113802159301"/>
    <n v="0.27867917939764297"/>
    <n v="2.9891519201070098"/>
    <n v="3.9891519201070098"/>
  </r>
  <r>
    <s v="CMP926"/>
    <s v="Flash Sale Frenzy"/>
    <x v="1"/>
    <x v="267"/>
    <d v="2024-04-16T00:00:00"/>
    <n v="77675.199999999997"/>
    <n v="41776"/>
    <n v="32977.599999999999"/>
    <n v="4730.576"/>
    <n v="13328.016"/>
    <x v="0"/>
    <x v="4"/>
    <x v="1"/>
    <n v="0.53782932004037298"/>
    <n v="0.789391037916507"/>
    <n v="0.113236690923018"/>
    <n v="0.14344815875018199"/>
    <n v="1.81741927410108"/>
    <n v="2.8174192741010802"/>
  </r>
  <r>
    <s v="CMP927"/>
    <s v="Seasonal Steals"/>
    <x v="3"/>
    <x v="281"/>
    <d v="2024-03-06T00:00:00"/>
    <n v="65611.199999999997"/>
    <n v="18484.8"/>
    <n v="11489.6"/>
    <n v="490.608"/>
    <n v="1619.568"/>
    <x v="1"/>
    <x v="4"/>
    <x v="0"/>
    <n v="0.28173238715341298"/>
    <n v="0.62157015493811096"/>
    <n v="2.6541158140742701E-2"/>
    <n v="4.2700181033282297E-2"/>
    <n v="2.3011447020839402"/>
    <n v="3.3011447020839402"/>
  </r>
  <r>
    <s v="CMP928"/>
    <s v="Cart to Couch"/>
    <x v="0"/>
    <x v="190"/>
    <d v="2024-05-02T00:00:00"/>
    <n v="4972.8"/>
    <n v="2632"/>
    <n v="675.2"/>
    <n v="2933.6640000000002"/>
    <n v="10916.656000000001"/>
    <x v="4"/>
    <x v="2"/>
    <x v="1"/>
    <n v="0.52927927927927898"/>
    <n v="0.25653495440729501"/>
    <n v="1.1146139817629199"/>
    <n v="4.3448815165876802"/>
    <n v="2.72116779563031"/>
    <n v="3.72116779563031"/>
  </r>
  <r>
    <s v="CMP929"/>
    <s v="Flash Sale Frenzy"/>
    <x v="3"/>
    <x v="17"/>
    <d v="2024-04-16T00:00:00"/>
    <n v="69555.199999999997"/>
    <n v="46289.599999999999"/>
    <n v="34592"/>
    <n v="417.6"/>
    <n v="983.29600000000005"/>
    <x v="0"/>
    <x v="0"/>
    <x v="1"/>
    <n v="0.66550883327199095"/>
    <n v="0.74729528879057106"/>
    <n v="9.0214648646780304E-3"/>
    <n v="1.20721554116559E-2"/>
    <n v="1.35463601532567"/>
    <n v="2.3546360153256698"/>
  </r>
  <r>
    <s v="CMP930"/>
    <s v="Wishlist Wonders"/>
    <x v="1"/>
    <x v="131"/>
    <d v="2024-05-18T00:00:00"/>
    <n v="32984"/>
    <n v="20812.8"/>
    <n v="5003.2"/>
    <n v="387.52"/>
    <n v="1536.096"/>
    <x v="2"/>
    <x v="4"/>
    <x v="0"/>
    <n v="0.63099684695610003"/>
    <n v="0.240390528905289"/>
    <n v="1.8619311193111901E-2"/>
    <n v="7.7454429165334196E-2"/>
    <n v="2.9639141205615198"/>
    <n v="3.9639141205615198"/>
  </r>
  <r>
    <s v="CMP931"/>
    <s v="Flash Sale Frenzy"/>
    <x v="0"/>
    <x v="149"/>
    <d v="2024-04-28T00:00:00"/>
    <n v="9654.4"/>
    <n v="6916.8"/>
    <n v="3273.6"/>
    <n v="6539.5680000000002"/>
    <n v="26033.632000000001"/>
    <x v="0"/>
    <x v="1"/>
    <x v="0"/>
    <n v="0.71644017235664603"/>
    <n v="0.473282442748092"/>
    <n v="0.94546148507980599"/>
    <n v="1.9976686217008801"/>
    <n v="2.9809406370573699"/>
    <n v="3.9809406370573699"/>
  </r>
  <r>
    <s v="CMP932"/>
    <s v="Wishlist Wonders"/>
    <x v="3"/>
    <x v="111"/>
    <d v="2024-09-08T00:00:00"/>
    <n v="27624"/>
    <n v="17672"/>
    <n v="6840"/>
    <n v="4544.4319999999998"/>
    <n v="14630.624"/>
    <x v="3"/>
    <x v="0"/>
    <x v="1"/>
    <n v="0.63973356501592804"/>
    <n v="0.38705296514259802"/>
    <n v="0.25715436849253098"/>
    <n v="0.66439064327485398"/>
    <n v="2.2194615300658"/>
    <n v="3.2194615300658"/>
  </r>
  <r>
    <s v="CMP933"/>
    <s v="Cart to Couch"/>
    <x v="2"/>
    <x v="199"/>
    <d v="2024-06-23T00:00:00"/>
    <n v="25560"/>
    <n v="12142.4"/>
    <n v="11436.8"/>
    <n v="1554.576"/>
    <n v="2724.32"/>
    <x v="3"/>
    <x v="1"/>
    <x v="0"/>
    <n v="0.47505477308294197"/>
    <n v="0.94188957701937004"/>
    <n v="0.12802872578732399"/>
    <n v="0.13592753217683301"/>
    <n v="0.75245211556076996"/>
    <n v="1.75245211556077"/>
  </r>
  <r>
    <s v="CMP934"/>
    <s v="Wishlist Wonders"/>
    <x v="2"/>
    <x v="131"/>
    <d v="2024-05-17T00:00:00"/>
    <n v="41176"/>
    <n v="33681.599999999999"/>
    <n v="14948.8"/>
    <n v="417.952"/>
    <n v="546.06399999999996"/>
    <x v="2"/>
    <x v="3"/>
    <x v="1"/>
    <n v="0.817991062755003"/>
    <n v="0.44382689658448499"/>
    <n v="1.2408911690655999E-2"/>
    <n v="2.7958899711013601E-2"/>
    <n v="0.306523237118138"/>
    <n v="1.3065232371181399"/>
  </r>
  <r>
    <s v="CMP935"/>
    <s v="Deal of the Day"/>
    <x v="1"/>
    <x v="40"/>
    <d v="2024-02-13T00:00:00"/>
    <n v="21172.799999999999"/>
    <n v="15384"/>
    <n v="7676.8"/>
    <n v="5491.152"/>
    <n v="16631.536"/>
    <x v="4"/>
    <x v="2"/>
    <x v="0"/>
    <n v="0.72659260938562698"/>
    <n v="0.499011960478419"/>
    <n v="0.35693915756630301"/>
    <n v="0.71529178824510198"/>
    <n v="2.02878813043238"/>
    <n v="3.02878813043238"/>
  </r>
  <r>
    <s v="CMP936"/>
    <s v="Deal of the Day"/>
    <x v="1"/>
    <x v="15"/>
    <d v="2024-03-03T00:00:00"/>
    <n v="16329.6"/>
    <n v="9174.4"/>
    <n v="9020.7999999999993"/>
    <n v="6950.0320000000002"/>
    <n v="12366.208000000001"/>
    <x v="0"/>
    <x v="3"/>
    <x v="0"/>
    <n v="0.56182637664119095"/>
    <n v="0.98325776072549698"/>
    <n v="0.75754621555633095"/>
    <n v="0.77044519333096895"/>
    <n v="0.77930231112604997"/>
    <n v="1.77930231112605"/>
  </r>
  <r>
    <s v="CMP937"/>
    <s v="Wishlist Wonders"/>
    <x v="0"/>
    <x v="9"/>
    <d v="2024-05-22T00:00:00"/>
    <n v="73246.399999999994"/>
    <n v="56176"/>
    <n v="40761.599999999999"/>
    <n v="4049.28"/>
    <n v="15115.183999999999"/>
    <x v="3"/>
    <x v="4"/>
    <x v="1"/>
    <n v="0.76694554271609305"/>
    <n v="0.72560524067217302"/>
    <n v="7.2082027912275706E-2"/>
    <n v="9.9340555817239801E-2"/>
    <n v="2.7328078078078102"/>
    <n v="3.7328078078078102"/>
  </r>
  <r>
    <s v="CMP938"/>
    <s v="Cart to Couch"/>
    <x v="0"/>
    <x v="133"/>
    <d v="2024-09-13T00:00:00"/>
    <n v="12364.8"/>
    <n v="2112"/>
    <n v="966.4"/>
    <n v="3444.7359999999999"/>
    <n v="9590.3680000000004"/>
    <x v="3"/>
    <x v="4"/>
    <x v="0"/>
    <n v="0.170807453416149"/>
    <n v="0.45757575757575802"/>
    <n v="1.6310303030302999"/>
    <n v="3.5645033112582798"/>
    <n v="1.7840647294887"/>
    <n v="2.7840647294887"/>
  </r>
  <r>
    <s v="CMP939"/>
    <s v="Flash Sale Frenzy"/>
    <x v="2"/>
    <x v="81"/>
    <d v="2024-01-14T00:00:00"/>
    <n v="48596.800000000003"/>
    <n v="45974.400000000001"/>
    <n v="33622.400000000001"/>
    <n v="7855.7280000000001"/>
    <n v="18487.552"/>
    <x v="1"/>
    <x v="1"/>
    <x v="1"/>
    <n v="0.94603759918348496"/>
    <n v="0.73132873947240196"/>
    <n v="0.17087178951764501"/>
    <n v="0.23364566479489901"/>
    <n v="1.35338494408157"/>
    <n v="2.35338494408157"/>
  </r>
  <r>
    <s v="CMP940"/>
    <s v="Deal of the Day"/>
    <x v="1"/>
    <x v="221"/>
    <d v="2024-03-10T00:00:00"/>
    <n v="61166.400000000001"/>
    <n v="22512"/>
    <n v="19131.2"/>
    <n v="3037.3119999999999"/>
    <n v="11149.984"/>
    <x v="1"/>
    <x v="2"/>
    <x v="0"/>
    <n v="0.36804520128698098"/>
    <n v="0.84982231698649602"/>
    <n v="0.13491968727789599"/>
    <n v="0.158762231328929"/>
    <n v="2.6710038349698699"/>
    <n v="3.6710038349698699"/>
  </r>
  <r>
    <s v="CMP941"/>
    <s v="Seasonal Steals"/>
    <x v="3"/>
    <x v="73"/>
    <d v="2024-10-24T00:00:00"/>
    <n v="56752"/>
    <n v="2185.6"/>
    <n v="1705.6"/>
    <n v="1749.184"/>
    <n v="4055.904"/>
    <x v="4"/>
    <x v="1"/>
    <x v="0"/>
    <n v="3.8511418099802699E-2"/>
    <n v="0.78038067349926798"/>
    <n v="0.80032210834553397"/>
    <n v="1.0255534709193199"/>
    <n v="1.31874062419963"/>
    <n v="2.3187406241996298"/>
  </r>
  <r>
    <s v="CMP942"/>
    <s v="Shop &amp; Share"/>
    <x v="1"/>
    <x v="30"/>
    <d v="2024-08-12T00:00:00"/>
    <n v="71390.399999999994"/>
    <n v="609.6"/>
    <n v="230.4"/>
    <n v="1031.8720000000001"/>
    <n v="2729.0880000000002"/>
    <x v="4"/>
    <x v="1"/>
    <x v="0"/>
    <n v="8.5389632219458108E-3"/>
    <n v="0.37795275590551197"/>
    <n v="1.6927034120734901"/>
    <n v="4.4786111111111104"/>
    <n v="1.64479315263909"/>
    <n v="2.6447931526390902"/>
  </r>
  <r>
    <s v="CMP943"/>
    <s v="Seasonal Steals"/>
    <x v="1"/>
    <x v="117"/>
    <d v="2024-03-22T00:00:00"/>
    <n v="51348.800000000003"/>
    <n v="1075.2"/>
    <n v="934.4"/>
    <n v="1549.5360000000001"/>
    <n v="2052.5120000000002"/>
    <x v="4"/>
    <x v="3"/>
    <x v="0"/>
    <n v="2.0939145608076502E-2"/>
    <n v="0.86904761904761896"/>
    <n v="1.4411607142857099"/>
    <n v="1.65832191780822"/>
    <n v="0.324597815087871"/>
    <n v="1.3245978150878699"/>
  </r>
  <r>
    <s v="CMP944"/>
    <s v="Cart to Couch"/>
    <x v="0"/>
    <x v="51"/>
    <d v="2024-09-04T00:00:00"/>
    <n v="16649.599999999999"/>
    <n v="2190.4"/>
    <n v="608"/>
    <n v="512.83199999999999"/>
    <n v="716.38400000000001"/>
    <x v="4"/>
    <x v="1"/>
    <x v="0"/>
    <n v="0.131558716125312"/>
    <n v="0.27757487216946702"/>
    <n v="0.23412710007304599"/>
    <n v="0.84347368421052604"/>
    <n v="0.39691750904779699"/>
    <n v="1.3969175090478001"/>
  </r>
  <r>
    <s v="CMP945"/>
    <s v="Flash Sale Frenzy"/>
    <x v="2"/>
    <x v="289"/>
    <d v="2024-08-24T00:00:00"/>
    <n v="77718.399999999994"/>
    <n v="11955.2"/>
    <n v="5833.6"/>
    <n v="5577.7120000000004"/>
    <n v="12643.456"/>
    <x v="4"/>
    <x v="3"/>
    <x v="0"/>
    <n v="0.15382715032733599"/>
    <n v="0.48795503211991398"/>
    <n v="0.46655112419700201"/>
    <n v="0.95613549094898498"/>
    <n v="1.2667817915302899"/>
    <n v="2.2667817915302901"/>
  </r>
  <r>
    <s v="CMP946"/>
    <s v="Seasonal Steals"/>
    <x v="2"/>
    <x v="168"/>
    <d v="2024-06-22T00:00:00"/>
    <n v="56795.199999999997"/>
    <n v="23476.799999999999"/>
    <n v="19497.599999999999"/>
    <n v="4906.384"/>
    <n v="9639.3760000000002"/>
    <x v="1"/>
    <x v="2"/>
    <x v="0"/>
    <n v="0.41335887539792099"/>
    <n v="0.83050500920057202"/>
    <n v="0.20898861855108"/>
    <n v="0.251640407024454"/>
    <n v="0.96465992062586203"/>
    <n v="1.9646599206258599"/>
  </r>
  <r>
    <s v="CMP947"/>
    <s v="Shop &amp; Share"/>
    <x v="2"/>
    <x v="12"/>
    <d v="2024-09-05T00:00:00"/>
    <n v="75592"/>
    <n v="26748.799999999999"/>
    <n v="13617.6"/>
    <n v="2049.3760000000002"/>
    <n v="7990.3519999999999"/>
    <x v="2"/>
    <x v="1"/>
    <x v="0"/>
    <n v="0.353857551063605"/>
    <n v="0.50909199665031701"/>
    <n v="7.66156238784544E-2"/>
    <n v="0.15049465397720599"/>
    <n v="2.8989194759770802"/>
    <n v="3.8989194759770802"/>
  </r>
  <r>
    <s v="CMP948"/>
    <s v="Flash Sale Frenzy"/>
    <x v="2"/>
    <x v="0"/>
    <d v="2024-03-29T00:00:00"/>
    <n v="15025.6"/>
    <n v="4067.2"/>
    <n v="862.4"/>
    <n v="4473.3119999999999"/>
    <n v="8671.1200000000008"/>
    <x v="2"/>
    <x v="3"/>
    <x v="1"/>
    <n v="0.270684698115217"/>
    <n v="0.21203776553894599"/>
    <n v="1.0998505114083399"/>
    <n v="5.1870500927643803"/>
    <n v="0.938411628788692"/>
    <n v="1.9384116287886901"/>
  </r>
  <r>
    <s v="CMP949"/>
    <s v="Flash Sale Frenzy"/>
    <x v="0"/>
    <x v="80"/>
    <d v="2024-10-30T00:00:00"/>
    <n v="29240"/>
    <n v="5772.8"/>
    <n v="5430.4"/>
    <n v="4662.7359999999999"/>
    <n v="12544.816000000001"/>
    <x v="3"/>
    <x v="2"/>
    <x v="0"/>
    <n v="0.197428180574555"/>
    <n v="0.94068736141906895"/>
    <n v="0.80770787139689604"/>
    <n v="0.85863582793164395"/>
    <n v="1.69044097714303"/>
    <n v="2.6904409771430302"/>
  </r>
  <r>
    <s v="CMP950"/>
    <s v="Seasonal Steals"/>
    <x v="3"/>
    <x v="64"/>
    <d v="2024-02-25T00:00:00"/>
    <n v="66588.800000000003"/>
    <n v="20788.8"/>
    <n v="5908.8"/>
    <n v="3265.3440000000001"/>
    <n v="8635.2479999999996"/>
    <x v="0"/>
    <x v="1"/>
    <x v="0"/>
    <n v="0.31219664568215699"/>
    <n v="0.28422996998383698"/>
    <n v="0.15707226968367599"/>
    <n v="0.55262388302193299"/>
    <n v="1.6445140236373299"/>
    <n v="2.6445140236373299"/>
  </r>
  <r>
    <s v="CMP951"/>
    <s v="Deal of the Day"/>
    <x v="0"/>
    <x v="280"/>
    <d v="2024-07-28T00:00:00"/>
    <n v="47513.599999999999"/>
    <n v="31219.200000000001"/>
    <n v="19379.2"/>
    <n v="6537.4560000000001"/>
    <n v="14534.88"/>
    <x v="1"/>
    <x v="1"/>
    <x v="1"/>
    <n v="0.65705818965517204"/>
    <n v="0.62074620746207498"/>
    <n v="0.20940498154981499"/>
    <n v="0.33734395640686898"/>
    <n v="1.22332356806684"/>
    <n v="2.22332356806684"/>
  </r>
  <r>
    <s v="CMP952"/>
    <s v="Flash Sale Frenzy"/>
    <x v="0"/>
    <x v="112"/>
    <d v="2024-09-26T00:00:00"/>
    <n v="5982.4"/>
    <n v="5084.8"/>
    <n v="1620.8"/>
    <n v="631.82399999999996"/>
    <n v="1263.856"/>
    <x v="1"/>
    <x v="0"/>
    <x v="1"/>
    <n v="0.84995988232147601"/>
    <n v="0.31875393329137802"/>
    <n v="0.124257394587791"/>
    <n v="0.38982230997038497"/>
    <n v="1.00032920560156"/>
    <n v="2.00032920560156"/>
  </r>
  <r>
    <s v="CMP953"/>
    <s v="Cart to Couch"/>
    <x v="1"/>
    <x v="55"/>
    <d v="2024-08-16T00:00:00"/>
    <n v="79004.800000000003"/>
    <n v="47764.800000000003"/>
    <n v="36078.400000000001"/>
    <n v="7402.5119999999997"/>
    <n v="23855.295999999998"/>
    <x v="4"/>
    <x v="0"/>
    <x v="0"/>
    <n v="0.604580987484305"/>
    <n v="0.75533447224734496"/>
    <n v="0.15497839413124301"/>
    <n v="0.20517850015521799"/>
    <n v="2.2225947083908801"/>
    <n v="3.2225947083908801"/>
  </r>
  <r>
    <s v="CMP954"/>
    <s v="Cart to Couch"/>
    <x v="1"/>
    <x v="136"/>
    <d v="2024-03-25T00:00:00"/>
    <n v="68718.399999999994"/>
    <n v="27768"/>
    <n v="1041.5999999999999"/>
    <n v="3810.752"/>
    <n v="7172.9920000000002"/>
    <x v="4"/>
    <x v="2"/>
    <x v="0"/>
    <n v="0.40408391347877698"/>
    <n v="3.75108038029386E-2"/>
    <n v="0.13723537885335599"/>
    <n v="3.65855606758833"/>
    <n v="0.88230354533698296"/>
    <n v="1.8823035453369801"/>
  </r>
  <r>
    <s v="CMP955"/>
    <s v="Deal of the Day"/>
    <x v="3"/>
    <x v="96"/>
    <d v="2024-03-03T00:00:00"/>
    <n v="59396.800000000003"/>
    <n v="1393.6"/>
    <n v="256"/>
    <n v="2631.248"/>
    <n v="9269.1200000000008"/>
    <x v="3"/>
    <x v="0"/>
    <x v="0"/>
    <n v="2.3462543436683501E-2"/>
    <n v="0.18369690011481099"/>
    <n v="1.88809414466131"/>
    <n v="10.2783125"/>
    <n v="2.5227086158355299"/>
    <n v="3.5227086158355299"/>
  </r>
  <r>
    <s v="CMP956"/>
    <s v="Cart to Couch"/>
    <x v="3"/>
    <x v="86"/>
    <d v="2024-09-20T00:00:00"/>
    <n v="63716.800000000003"/>
    <n v="61574.400000000001"/>
    <n v="54054.400000000001"/>
    <n v="5082.2879999999996"/>
    <n v="20187.455999999998"/>
    <x v="3"/>
    <x v="4"/>
    <x v="0"/>
    <n v="0.96637621475027002"/>
    <n v="0.877871323147282"/>
    <n v="8.2538977237293407E-2"/>
    <n v="9.4021726260951899E-2"/>
    <n v="2.9721196437509998"/>
    <n v="3.9721196437509998"/>
  </r>
  <r>
    <s v="CMP957"/>
    <s v="Cart to Couch"/>
    <x v="0"/>
    <x v="170"/>
    <d v="2024-04-16T00:00:00"/>
    <n v="64265.599999999999"/>
    <n v="44209.599999999999"/>
    <n v="27672"/>
    <n v="7652.4160000000002"/>
    <n v="13624.976000000001"/>
    <x v="0"/>
    <x v="0"/>
    <x v="0"/>
    <n v="0.68792013145446396"/>
    <n v="0.62592740038362704"/>
    <n v="0.17309398863595199"/>
    <n v="0.276540040474126"/>
    <n v="0.78048030844115102"/>
    <n v="1.78048030844115"/>
  </r>
  <r>
    <s v="CMP958"/>
    <s v="Flash Sale Frenzy"/>
    <x v="1"/>
    <x v="130"/>
    <d v="2024-04-09T00:00:00"/>
    <n v="65680"/>
    <n v="12952"/>
    <n v="11299.2"/>
    <n v="3819.1840000000002"/>
    <n v="7774.0159999999996"/>
    <x v="0"/>
    <x v="0"/>
    <x v="1"/>
    <n v="0.19719853836784401"/>
    <n v="0.87239036442248297"/>
    <n v="0.294872143298332"/>
    <n v="0.33800481450014203"/>
    <n v="1.03551753463567"/>
    <n v="2.03551753463567"/>
  </r>
  <r>
    <s v="CMP959"/>
    <s v="Seasonal Steals"/>
    <x v="3"/>
    <x v="242"/>
    <d v="2024-02-13T00:00:00"/>
    <n v="62872"/>
    <n v="18400"/>
    <n v="9955.2000000000007"/>
    <n v="343.05599999999998"/>
    <n v="1204.2080000000001"/>
    <x v="0"/>
    <x v="4"/>
    <x v="1"/>
    <n v="0.29265809899478301"/>
    <n v="0.54104347826086996"/>
    <n v="1.8644347826087E-2"/>
    <n v="3.4459980713596898E-2"/>
    <n v="2.5102373956438599"/>
    <n v="3.5102373956438599"/>
  </r>
  <r>
    <s v="CMP960"/>
    <s v="Seasonal Steals"/>
    <x v="0"/>
    <x v="151"/>
    <d v="2024-09-07T00:00:00"/>
    <n v="64720"/>
    <n v="62073.599999999999"/>
    <n v="20440"/>
    <n v="4091.248"/>
    <n v="7822.6080000000002"/>
    <x v="0"/>
    <x v="0"/>
    <x v="0"/>
    <n v="0.95911001236093896"/>
    <n v="0.329286524383957"/>
    <n v="6.5909629858748306E-2"/>
    <n v="0.200158904109589"/>
    <n v="0.912034665217068"/>
    <n v="1.9120346652170701"/>
  </r>
  <r>
    <s v="CMP961"/>
    <s v="Shop &amp; Share"/>
    <x v="0"/>
    <x v="122"/>
    <d v="2024-02-24T00:00:00"/>
    <n v="50878.400000000001"/>
    <n v="48564.800000000003"/>
    <n v="30019.200000000001"/>
    <n v="6306.384"/>
    <n v="15927.023999999999"/>
    <x v="0"/>
    <x v="1"/>
    <x v="0"/>
    <n v="0.95452687191421104"/>
    <n v="0.61812670905676503"/>
    <n v="0.12985503904062201"/>
    <n v="0.210078349856092"/>
    <n v="1.5255398339206701"/>
    <n v="2.5255398339206701"/>
  </r>
  <r>
    <s v="CMP962"/>
    <s v="Flash Sale Frenzy"/>
    <x v="0"/>
    <x v="130"/>
    <d v="2024-04-06T00:00:00"/>
    <n v="66852.800000000003"/>
    <n v="1969.6"/>
    <n v="406.4"/>
    <n v="623.67999999999995"/>
    <n v="2009.28"/>
    <x v="3"/>
    <x v="3"/>
    <x v="1"/>
    <n v="2.9461742814063101E-2"/>
    <n v="0.206336311941511"/>
    <n v="0.31665312753858599"/>
    <n v="1.5346456692913399"/>
    <n v="2.2216521292970799"/>
    <n v="3.2216521292970799"/>
  </r>
  <r>
    <s v="CMP963"/>
    <s v="Deal of the Day"/>
    <x v="1"/>
    <x v="239"/>
    <d v="2024-08-07T00:00:00"/>
    <n v="77171.199999999997"/>
    <n v="58131.199999999997"/>
    <n v="36521.599999999999"/>
    <n v="7131.7920000000004"/>
    <n v="24179.439999999999"/>
    <x v="2"/>
    <x v="3"/>
    <x v="1"/>
    <n v="0.75327583347155402"/>
    <n v="0.62826158758119599"/>
    <n v="0.12268441043708"/>
    <n v="0.195276001051433"/>
    <n v="2.3903736956994801"/>
    <n v="3.3903736956994801"/>
  </r>
  <r>
    <s v="CMP964"/>
    <s v="Flash Sale Frenzy"/>
    <x v="1"/>
    <x v="81"/>
    <d v="2024-01-12T00:00:00"/>
    <n v="43588.800000000003"/>
    <n v="27297.599999999999"/>
    <n v="12003.2"/>
    <n v="3432.672"/>
    <n v="4364.1120000000001"/>
    <x v="0"/>
    <x v="4"/>
    <x v="0"/>
    <n v="0.62625261535073196"/>
    <n v="0.439716312056738"/>
    <n v="0.12574995604009101"/>
    <n v="0.28597973873633697"/>
    <n v="0.27134547081690302"/>
    <n v="1.2713454708169001"/>
  </r>
  <r>
    <s v="CMP965"/>
    <s v="Seasonal Steals"/>
    <x v="3"/>
    <x v="232"/>
    <d v="2024-10-22T00:00:00"/>
    <n v="4080"/>
    <n v="2640"/>
    <n v="1848"/>
    <n v="1876.096"/>
    <n v="2817.5680000000002"/>
    <x v="3"/>
    <x v="0"/>
    <x v="0"/>
    <n v="0.64705882352941202"/>
    <n v="0.7"/>
    <n v="0.71064242424242396"/>
    <n v="1.0152034632034601"/>
    <n v="0.50182506652111603"/>
    <n v="1.5018250665211199"/>
  </r>
  <r>
    <s v="CMP966"/>
    <s v="Seasonal Steals"/>
    <x v="3"/>
    <x v="175"/>
    <d v="2024-04-17T00:00:00"/>
    <n v="68049.600000000006"/>
    <n v="42416"/>
    <n v="21067.200000000001"/>
    <n v="6682.3040000000001"/>
    <n v="22678.047999999999"/>
    <x v="2"/>
    <x v="3"/>
    <x v="0"/>
    <n v="0.62331005619430502"/>
    <n v="0.49668049792531099"/>
    <n v="0.157542059600151"/>
    <n v="0.31718994455836602"/>
    <n v="2.3937468274415501"/>
    <n v="3.3937468274415501"/>
  </r>
  <r>
    <s v="CMP967"/>
    <s v="Flash Sale Frenzy"/>
    <x v="1"/>
    <x v="18"/>
    <d v="2024-08-14T00:00:00"/>
    <n v="76928"/>
    <n v="20099.2"/>
    <n v="3897.6"/>
    <n v="5313.9520000000002"/>
    <n v="7781.76"/>
    <x v="2"/>
    <x v="2"/>
    <x v="1"/>
    <n v="0.26127287853577402"/>
    <n v="0.19391816589715"/>
    <n v="0.264386244228626"/>
    <n v="1.3633908045976999"/>
    <n v="0.46440163554356501"/>
    <n v="1.4644016355435701"/>
  </r>
  <r>
    <s v="CMP968"/>
    <s v="Deal of the Day"/>
    <x v="0"/>
    <x v="59"/>
    <d v="2024-04-28T00:00:00"/>
    <n v="45643.199999999997"/>
    <n v="37369.599999999999"/>
    <n v="23243.200000000001"/>
    <n v="2472.5120000000002"/>
    <n v="7432.4319999999998"/>
    <x v="3"/>
    <x v="1"/>
    <x v="0"/>
    <n v="0.81873313001717696"/>
    <n v="0.621981503682137"/>
    <n v="6.6163726665524905E-2"/>
    <n v="0.106375714187375"/>
    <n v="2.0060246421453201"/>
    <n v="3.0060246421453201"/>
  </r>
  <r>
    <s v="CMP969"/>
    <s v="Shop &amp; Share"/>
    <x v="3"/>
    <x v="173"/>
    <d v="2024-07-14T00:00:00"/>
    <n v="36467.199999999997"/>
    <n v="12724.8"/>
    <n v="11395.2"/>
    <n v="6042.7520000000004"/>
    <n v="20963.68"/>
    <x v="0"/>
    <x v="1"/>
    <x v="0"/>
    <n v="0.34893822393822399"/>
    <n v="0.89551112787627296"/>
    <n v="0.47487991952722203"/>
    <n v="0.530289244594215"/>
    <n v="2.4692272659874202"/>
    <n v="3.4692272659874202"/>
  </r>
  <r>
    <s v="CMP970"/>
    <s v="Deal of the Day"/>
    <x v="3"/>
    <x v="196"/>
    <d v="2024-11-03T00:00:00"/>
    <n v="56728"/>
    <n v="47633.599999999999"/>
    <n v="18164.8"/>
    <n v="5907.4080000000004"/>
    <n v="15555.567999999999"/>
    <x v="1"/>
    <x v="2"/>
    <x v="0"/>
    <n v="0.83968410661401804"/>
    <n v="0.38134426119377901"/>
    <n v="0.12401766820059799"/>
    <n v="0.32521183828063099"/>
    <n v="1.6332306825599301"/>
    <n v="2.6332306825599301"/>
  </r>
  <r>
    <s v="CMP971"/>
    <s v="Flash Sale Frenzy"/>
    <x v="3"/>
    <x v="153"/>
    <d v="2024-05-10T00:00:00"/>
    <n v="38577.599999999999"/>
    <n v="3238.4"/>
    <n v="996.8"/>
    <n v="1111.68"/>
    <n v="2183.4560000000001"/>
    <x v="2"/>
    <x v="1"/>
    <x v="0"/>
    <n v="8.3945087304549804E-2"/>
    <n v="0.30780632411067199"/>
    <n v="0.34328063241106699"/>
    <n v="1.11524879614767"/>
    <n v="0.96410477835348296"/>
    <n v="1.96410477835348"/>
  </r>
  <r>
    <s v="CMP972"/>
    <s v="Wishlist Wonders"/>
    <x v="2"/>
    <x v="127"/>
    <d v="2024-09-23T00:00:00"/>
    <n v="41798.400000000001"/>
    <n v="38152"/>
    <n v="7230.4"/>
    <n v="2197.0079999999998"/>
    <n v="3283.3440000000001"/>
    <x v="3"/>
    <x v="3"/>
    <x v="1"/>
    <n v="0.91276221099372201"/>
    <n v="0.18951562172363201"/>
    <n v="5.75856573705179E-2"/>
    <n v="0.303857048019473"/>
    <n v="0.49446155862882601"/>
    <n v="1.4944615586288299"/>
  </r>
  <r>
    <s v="CMP973"/>
    <s v="Wishlist Wonders"/>
    <x v="0"/>
    <x v="117"/>
    <d v="2024-04-01T00:00:00"/>
    <n v="78662.399999999994"/>
    <n v="28644.799999999999"/>
    <n v="25883.200000000001"/>
    <n v="4870.16"/>
    <n v="14415.072"/>
    <x v="3"/>
    <x v="0"/>
    <x v="0"/>
    <n v="0.36414856398991102"/>
    <n v="0.90359157683069902"/>
    <n v="0.17001899123052"/>
    <n v="0.188159114792607"/>
    <n v="1.9598764722308899"/>
    <n v="2.9598764722308899"/>
  </r>
  <r>
    <s v="CMP974"/>
    <s v="Seasonal Steals"/>
    <x v="3"/>
    <x v="148"/>
    <d v="2024-01-17T00:00:00"/>
    <n v="40995.199999999997"/>
    <n v="36528"/>
    <n v="27236.799999999999"/>
    <n v="2787.28"/>
    <n v="4683.3919999999998"/>
    <x v="0"/>
    <x v="2"/>
    <x v="0"/>
    <n v="0.89103114510967096"/>
    <n v="0.74564169951817805"/>
    <n v="7.6305300043801996E-2"/>
    <n v="0.102335076073548"/>
    <n v="0.68027324129617395"/>
    <n v="1.6802732412961701"/>
  </r>
  <r>
    <s v="CMP975"/>
    <s v="Deal of the Day"/>
    <x v="3"/>
    <x v="249"/>
    <d v="2024-03-26T00:00:00"/>
    <n v="35206.400000000001"/>
    <n v="6704"/>
    <n v="3918.4"/>
    <n v="305.52"/>
    <n v="531.77599999999995"/>
    <x v="4"/>
    <x v="2"/>
    <x v="0"/>
    <n v="0.19041992365024499"/>
    <n v="0.58448687350835304"/>
    <n v="4.5572792362768497E-2"/>
    <n v="7.7970600244997995E-2"/>
    <n v="0.74056035611416604"/>
    <n v="1.74056035611417"/>
  </r>
  <r>
    <s v="CMP976"/>
    <s v="Deal of the Day"/>
    <x v="2"/>
    <x v="189"/>
    <d v="2024-10-02T00:00:00"/>
    <n v="17201.599999999999"/>
    <n v="9659.2000000000007"/>
    <n v="8150.4"/>
    <n v="6093.424"/>
    <n v="20586.063999999998"/>
    <x v="2"/>
    <x v="0"/>
    <x v="0"/>
    <n v="0.56152916007813203"/>
    <n v="0.84379658770912702"/>
    <n v="0.63084147755507702"/>
    <n v="0.74762269336474296"/>
    <n v="2.3784066232712502"/>
    <n v="3.3784066232712502"/>
  </r>
  <r>
    <s v="CMP977"/>
    <s v="Wishlist Wonders"/>
    <x v="1"/>
    <x v="124"/>
    <d v="2024-07-13T00:00:00"/>
    <n v="57865.599999999999"/>
    <n v="46460.800000000003"/>
    <n v="25561.599999999999"/>
    <n v="983.12"/>
    <n v="2064.1439999999998"/>
    <x v="1"/>
    <x v="0"/>
    <x v="0"/>
    <n v="0.80290880937897502"/>
    <n v="0.55017563193057395"/>
    <n v="2.1160203870790002E-2"/>
    <n v="3.8460816224336503E-2"/>
    <n v="1.0995849947107199"/>
    <n v="2.0995849947107201"/>
  </r>
  <r>
    <s v="CMP978"/>
    <s v="Shop &amp; Share"/>
    <x v="3"/>
    <x v="168"/>
    <d v="2024-07-15T00:00:00"/>
    <n v="67422.399999999994"/>
    <n v="24214.400000000001"/>
    <n v="18657.599999999999"/>
    <n v="4900.32"/>
    <n v="11642.464"/>
    <x v="2"/>
    <x v="0"/>
    <x v="1"/>
    <n v="0.359144735280856"/>
    <n v="0.77051671732522797"/>
    <n v="0.202372142196379"/>
    <n v="0.26264471314638499"/>
    <n v="1.3758579031573499"/>
    <n v="2.3758579031573399"/>
  </r>
  <r>
    <s v="CMP979"/>
    <s v="Cart to Couch"/>
    <x v="3"/>
    <x v="126"/>
    <d v="2024-04-16T00:00:00"/>
    <n v="16915.2"/>
    <n v="16036.8"/>
    <n v="2601.6"/>
    <n v="2466.6880000000001"/>
    <n v="5767.92"/>
    <x v="0"/>
    <x v="2"/>
    <x v="0"/>
    <n v="0.94807037457434695"/>
    <n v="0.162226878180186"/>
    <n v="0.15381422727726199"/>
    <n v="0.94814268142681402"/>
    <n v="1.33832572258835"/>
    <n v="2.33832572258834"/>
  </r>
  <r>
    <s v="CMP980"/>
    <s v="Wishlist Wonders"/>
    <x v="3"/>
    <x v="3"/>
    <d v="2024-04-22T00:00:00"/>
    <n v="47982.400000000001"/>
    <n v="47209.599999999999"/>
    <n v="7193.6"/>
    <n v="3607.6480000000001"/>
    <n v="11327.136"/>
    <x v="2"/>
    <x v="0"/>
    <x v="0"/>
    <n v="0.98389409450131704"/>
    <n v="0.152375787975327"/>
    <n v="7.6417677760455494E-2"/>
    <n v="0.50150800711743804"/>
    <n v="2.1397564285650899"/>
    <n v="3.1397564285650899"/>
  </r>
  <r>
    <s v="CMP981"/>
    <s v="Wishlist Wonders"/>
    <x v="2"/>
    <x v="244"/>
    <d v="2024-04-27T00:00:00"/>
    <n v="16705.599999999999"/>
    <n v="1779.2"/>
    <n v="144"/>
    <n v="3053.7919999999999"/>
    <n v="9074.4"/>
    <x v="1"/>
    <x v="0"/>
    <x v="0"/>
    <n v="0.106503208504932"/>
    <n v="8.0935251798561106E-2"/>
    <n v="1.71638489208633"/>
    <n v="21.206888888888901"/>
    <n v="1.97151868889564"/>
    <n v="2.9715186888956402"/>
  </r>
  <r>
    <s v="CMP982"/>
    <s v="Shop &amp; Share"/>
    <x v="2"/>
    <x v="255"/>
    <d v="2024-06-09T00:00:00"/>
    <n v="12772.8"/>
    <n v="5086.3999999999996"/>
    <n v="4408"/>
    <n v="1629.9839999999999"/>
    <n v="3532.4"/>
    <x v="0"/>
    <x v="2"/>
    <x v="0"/>
    <n v="0.398221220092697"/>
    <n v="0.86662472475621299"/>
    <n v="0.32045926391947199"/>
    <n v="0.369778584392014"/>
    <n v="1.1671378369358201"/>
    <n v="2.1671378369358201"/>
  </r>
  <r>
    <s v="CMP983"/>
    <s v="Flash Sale Frenzy"/>
    <x v="3"/>
    <x v="124"/>
    <d v="2024-08-03T00:00:00"/>
    <n v="61187.199999999997"/>
    <n v="52648"/>
    <n v="51252.800000000003"/>
    <n v="2427.1039999999998"/>
    <n v="4672.1440000000002"/>
    <x v="3"/>
    <x v="0"/>
    <x v="1"/>
    <n v="0.86044139950839404"/>
    <n v="0.97349946816593202"/>
    <n v="4.6100592615104102E-2"/>
    <n v="4.7355539599787701E-2"/>
    <n v="0.92498714517383696"/>
    <n v="1.9249871451738401"/>
  </r>
  <r>
    <s v="CMP984"/>
    <s v="Shop &amp; Share"/>
    <x v="0"/>
    <x v="195"/>
    <d v="2024-04-12T00:00:00"/>
    <n v="24211.200000000001"/>
    <n v="10649.6"/>
    <n v="1163.2"/>
    <n v="3126.288"/>
    <n v="7473.5519999999997"/>
    <x v="0"/>
    <x v="1"/>
    <x v="1"/>
    <n v="0.43986254295532601"/>
    <n v="0.109224759615385"/>
    <n v="0.29355919471153802"/>
    <n v="2.6876616231086699"/>
    <n v="1.3905513503554401"/>
    <n v="2.3905513503554401"/>
  </r>
  <r>
    <s v="CMP985"/>
    <s v="Wishlist Wonders"/>
    <x v="3"/>
    <x v="114"/>
    <d v="2024-01-23T00:00:00"/>
    <n v="60700.800000000003"/>
    <n v="54923.199999999997"/>
    <n v="21844.799999999999"/>
    <n v="7472.6719999999996"/>
    <n v="27816.335999999999"/>
    <x v="4"/>
    <x v="0"/>
    <x v="0"/>
    <n v="0.90481838789604097"/>
    <n v="0.39773356250182101"/>
    <n v="0.13605674833221701"/>
    <n v="0.34208012890939699"/>
    <n v="2.7224082630684201"/>
    <n v="3.7224082630684201"/>
  </r>
  <r>
    <s v="CMP986"/>
    <s v="Shop &amp; Share"/>
    <x v="0"/>
    <x v="170"/>
    <d v="2024-05-01T00:00:00"/>
    <n v="39945.599999999999"/>
    <n v="20953.599999999999"/>
    <n v="7904"/>
    <n v="3043.1039999999998"/>
    <n v="11485.664000000001"/>
    <x v="0"/>
    <x v="1"/>
    <x v="0"/>
    <n v="0.52455339261395495"/>
    <n v="0.37721441661576099"/>
    <n v="0.145230604764814"/>
    <n v="0.38500809716599199"/>
    <n v="2.7743251627285801"/>
    <n v="3.7743251627285801"/>
  </r>
  <r>
    <s v="CMP987"/>
    <s v="Cart to Couch"/>
    <x v="3"/>
    <x v="123"/>
    <d v="2024-03-19T00:00:00"/>
    <n v="33809.599999999999"/>
    <n v="24587.200000000001"/>
    <n v="8318.4"/>
    <n v="1401.7760000000001"/>
    <n v="1973.808"/>
    <x v="4"/>
    <x v="1"/>
    <x v="0"/>
    <n v="0.72722540343571096"/>
    <n v="0.33832237912409702"/>
    <n v="5.7012429231469999E-2"/>
    <n v="0.168515099057511"/>
    <n v="0.40807661138441498"/>
    <n v="1.4080766113844201"/>
  </r>
  <r>
    <s v="CMP988"/>
    <s v="Shop &amp; Share"/>
    <x v="1"/>
    <x v="145"/>
    <d v="2024-08-07T00:00:00"/>
    <n v="45096"/>
    <n v="31545.599999999999"/>
    <n v="26513.599999999999"/>
    <n v="3713.328"/>
    <n v="14692.672"/>
    <x v="4"/>
    <x v="3"/>
    <x v="1"/>
    <n v="0.69952102182011699"/>
    <n v="0.84048488537228605"/>
    <n v="0.117713024954352"/>
    <n v="0.14005370828555899"/>
    <n v="2.9567396147068101"/>
    <n v="3.9567396147068101"/>
  </r>
  <r>
    <s v="CMP989"/>
    <s v="Wishlist Wonders"/>
    <x v="1"/>
    <x v="152"/>
    <d v="2024-07-21T00:00:00"/>
    <n v="72124.800000000003"/>
    <n v="58737.599999999999"/>
    <n v="31792"/>
    <n v="4623.68"/>
    <n v="13659.712"/>
    <x v="0"/>
    <x v="4"/>
    <x v="0"/>
    <n v="0.81438839345135094"/>
    <n v="0.54125466481436102"/>
    <n v="7.8717550597913397E-2"/>
    <n v="0.145435329642677"/>
    <n v="1.9542944148384001"/>
    <n v="2.9542944148384001"/>
  </r>
  <r>
    <s v="CMP990"/>
    <s v="Flash Sale Frenzy"/>
    <x v="1"/>
    <x v="244"/>
    <d v="2024-04-21T00:00:00"/>
    <n v="39561.599999999999"/>
    <n v="7616"/>
    <n v="3804.8"/>
    <n v="1395.28"/>
    <n v="2515.12"/>
    <x v="0"/>
    <x v="2"/>
    <x v="0"/>
    <n v="0.192509908598237"/>
    <n v="0.499579831932773"/>
    <n v="0.183203781512605"/>
    <n v="0.36671572750210302"/>
    <n v="0.80259159451866302"/>
    <n v="1.8025915945186599"/>
  </r>
  <r>
    <s v="CMP991"/>
    <s v="Flash Sale Frenzy"/>
    <x v="0"/>
    <x v="192"/>
    <d v="2024-01-29T00:00:00"/>
    <n v="35641.599999999999"/>
    <n v="34942.400000000001"/>
    <n v="28425.599999999999"/>
    <n v="2861.8879999999999"/>
    <n v="9734.4639999999999"/>
    <x v="1"/>
    <x v="2"/>
    <x v="0"/>
    <n v="0.98038247441192305"/>
    <n v="0.81349878657447705"/>
    <n v="8.1903017537432996E-2"/>
    <n v="0.100679950467185"/>
    <n v="2.4014133327369902"/>
    <n v="3.4014133327369902"/>
  </r>
  <r>
    <s v="CMP992"/>
    <s v="Flash Sale Frenzy"/>
    <x v="2"/>
    <x v="284"/>
    <d v="2024-09-26T00:00:00"/>
    <n v="34953.599999999999"/>
    <n v="22059.200000000001"/>
    <n v="1777.6"/>
    <n v="2991.0079999999998"/>
    <n v="9339.8559999999998"/>
    <x v="3"/>
    <x v="1"/>
    <x v="1"/>
    <n v="0.63109951478531501"/>
    <n v="8.0583158047436002E-2"/>
    <n v="0.135590048596504"/>
    <n v="1.6826102610261"/>
    <n v="2.12264494110347"/>
    <n v="3.12264494110347"/>
  </r>
  <r>
    <s v="CMP993"/>
    <s v="Flash Sale Frenzy"/>
    <x v="1"/>
    <x v="107"/>
    <d v="2024-02-02T00:00:00"/>
    <n v="63240"/>
    <n v="24950.400000000001"/>
    <n v="8353.6"/>
    <n v="7672.3519999999999"/>
    <n v="24524.848000000002"/>
    <x v="1"/>
    <x v="4"/>
    <x v="1"/>
    <n v="0.39453510436432598"/>
    <n v="0.33480825958702098"/>
    <n v="0.307504168269847"/>
    <n v="0.91844857307029304"/>
    <n v="2.1965227872756601"/>
    <n v="3.1965227872756601"/>
  </r>
  <r>
    <s v="CMP994"/>
    <s v="Cart to Couch"/>
    <x v="2"/>
    <x v="198"/>
    <d v="2024-04-21T00:00:00"/>
    <n v="11158.4"/>
    <n v="7892.8"/>
    <n v="5251.2"/>
    <n v="2976.9920000000002"/>
    <n v="7296.3040000000001"/>
    <x v="3"/>
    <x v="4"/>
    <x v="1"/>
    <n v="0.70734155434470902"/>
    <n v="0.66531522400162202"/>
    <n v="0.37717818771538603"/>
    <n v="0.56691651432053602"/>
    <n v="1.4508980877341999"/>
    <n v="2.4508980877341999"/>
  </r>
  <r>
    <s v="CMP995"/>
    <s v="Seasonal Steals"/>
    <x v="2"/>
    <x v="231"/>
    <d v="2024-02-28T00:00:00"/>
    <n v="63576"/>
    <n v="28724.799999999999"/>
    <n v="947.2"/>
    <n v="2849.6640000000002"/>
    <n v="9186.0159999999996"/>
    <x v="3"/>
    <x v="3"/>
    <x v="0"/>
    <n v="0.45181829621240699"/>
    <n v="3.2974990252325503E-2"/>
    <n v="9.9205703782097698E-2"/>
    <n v="3.0085135135135102"/>
    <n v="2.2235435475901699"/>
    <n v="3.2235435475901699"/>
  </r>
  <r>
    <s v="CMP996"/>
    <s v="Cart to Couch"/>
    <x v="3"/>
    <x v="256"/>
    <d v="2024-07-18T00:00:00"/>
    <n v="12412.8"/>
    <n v="8326.4"/>
    <n v="7569.6"/>
    <n v="3751.52"/>
    <n v="6125.2640000000001"/>
    <x v="2"/>
    <x v="0"/>
    <x v="0"/>
    <n v="0.67079144109306499"/>
    <n v="0.90910837817063805"/>
    <n v="0.45055726364335102"/>
    <n v="0.49560346649756898"/>
    <n v="0.63274192860493905"/>
    <n v="1.6327419286049401"/>
  </r>
  <r>
    <s v="CMP997"/>
    <s v="Shop &amp; Share"/>
    <x v="1"/>
    <x v="260"/>
    <d v="2024-08-17T00:00:00"/>
    <n v="8524.7999999999993"/>
    <n v="531.20000000000005"/>
    <n v="384"/>
    <n v="7536.5919999999996"/>
    <n v="13921.68"/>
    <x v="4"/>
    <x v="0"/>
    <x v="0"/>
    <n v="6.2312312312312303E-2"/>
    <n v="0.72289156626506001"/>
    <n v="14.187861445783099"/>
    <n v="19.6265416666667"/>
    <n v="0.84721157785906398"/>
    <n v="1.8472115778590601"/>
  </r>
  <r>
    <s v="CMP998"/>
    <s v="Deal of the Day"/>
    <x v="0"/>
    <x v="57"/>
    <d v="2024-10-16T00:00:00"/>
    <n v="41552"/>
    <n v="40816"/>
    <n v="16340.8"/>
    <n v="2519.904"/>
    <n v="4979.9359999999997"/>
    <x v="3"/>
    <x v="3"/>
    <x v="1"/>
    <n v="0.98228725452445098"/>
    <n v="0.40035280282242303"/>
    <n v="6.1738141905135199E-2"/>
    <n v="0.154209341035935"/>
    <n v="0.97624036471230602"/>
    <n v="1.9762403647123099"/>
  </r>
  <r>
    <s v="CMP999"/>
    <s v="Flash Sale Frenzy"/>
    <x v="1"/>
    <x v="287"/>
    <d v="2024-05-24T00:00:00"/>
    <n v="54254.400000000001"/>
    <n v="3395.2"/>
    <n v="972.8"/>
    <n v="4183.616"/>
    <n v="7469.3919999999998"/>
    <x v="0"/>
    <x v="1"/>
    <x v="0"/>
    <n v="6.2579256244654796E-2"/>
    <n v="0.28652214891611699"/>
    <n v="1.23221489161169"/>
    <n v="4.3005921052631599"/>
    <n v="0.78539139347397102"/>
    <n v="1.78539139347397"/>
  </r>
  <r>
    <s v="CMP1000"/>
    <s v="Seasonal Steals"/>
    <x v="1"/>
    <x v="145"/>
    <d v="2024-08-09T00:00:00"/>
    <n v="50904"/>
    <n v="5796.8"/>
    <n v="633.6"/>
    <n v="1667.712"/>
    <n v="2299.92"/>
    <x v="3"/>
    <x v="3"/>
    <x v="0"/>
    <n v="0.113877101995914"/>
    <n v="0.109301683687552"/>
    <n v="0.28769528015456802"/>
    <n v="2.6321212121212101"/>
    <n v="0.37908703661063797"/>
    <n v="1.37908703661064"/>
  </r>
  <r>
    <s v="CMP1001"/>
    <s v="Shop &amp; Share"/>
    <x v="2"/>
    <x v="286"/>
    <d v="2024-06-09T00:00:00"/>
    <n v="5635.2"/>
    <n v="1334.4"/>
    <n v="1137.5999999999999"/>
    <n v="775.68"/>
    <n v="3059.8719999999998"/>
    <x v="2"/>
    <x v="1"/>
    <x v="0"/>
    <n v="0.23679727427597999"/>
    <n v="0.85251798561151104"/>
    <n v="0.58129496402877701"/>
    <n v="0.68185654008438801"/>
    <n v="2.9447607260726101"/>
    <n v="3.9447607260726101"/>
  </r>
  <r>
    <s v="CMP1002"/>
    <s v="Cart to Couch"/>
    <x v="1"/>
    <x v="200"/>
    <d v="2024-07-08T00:00:00"/>
    <n v="53360"/>
    <n v="13934.4"/>
    <n v="6169.6"/>
    <n v="4807.3280000000004"/>
    <n v="18430.975999999999"/>
    <x v="2"/>
    <x v="4"/>
    <x v="0"/>
    <n v="0.26113943028485798"/>
    <n v="0.44276036284303599"/>
    <n v="0.34499712940636101"/>
    <n v="0.779196058091286"/>
    <n v="2.8339335281470301"/>
    <n v="3.8339335281470301"/>
  </r>
  <r>
    <s v="CMP1003"/>
    <s v="Flash Sale Frenzy"/>
    <x v="1"/>
    <x v="8"/>
    <d v="2024-09-24T00:00:00"/>
    <n v="20716.8"/>
    <n v="15374.4"/>
    <n v="4035.2"/>
    <n v="1688.288"/>
    <n v="4524.4480000000003"/>
    <x v="0"/>
    <x v="0"/>
    <x v="1"/>
    <n v="0.74212233549582995"/>
    <n v="0.26246227495056701"/>
    <n v="0.109811634925591"/>
    <n v="0.41839016653449601"/>
    <n v="1.67990295494608"/>
    <n v="2.6799029549460802"/>
  </r>
  <r>
    <s v="CMP1004"/>
    <s v="Cart to Couch"/>
    <x v="0"/>
    <x v="95"/>
    <d v="2024-01-23T00:00:00"/>
    <n v="55547.199999999997"/>
    <n v="51289.599999999999"/>
    <n v="24812.799999999999"/>
    <n v="4545.2"/>
    <n v="13659.407999999999"/>
    <x v="2"/>
    <x v="2"/>
    <x v="0"/>
    <n v="0.92335167209148294"/>
    <n v="0.48377838782131299"/>
    <n v="8.8618355378088307E-2"/>
    <n v="0.18317964921330901"/>
    <n v="2.0052380533309901"/>
    <n v="3.0052380533309901"/>
  </r>
  <r>
    <s v="CMP1005"/>
    <s v="Shop &amp; Share"/>
    <x v="2"/>
    <x v="118"/>
    <d v="2024-08-14T00:00:00"/>
    <n v="14873.6"/>
    <n v="4480"/>
    <n v="3529.6"/>
    <n v="4864.8"/>
    <n v="16498.351999999999"/>
    <x v="2"/>
    <x v="1"/>
    <x v="0"/>
    <n v="0.30120481927710802"/>
    <n v="0.78785714285714303"/>
    <n v="1.0858928571428601"/>
    <n v="1.37828649138713"/>
    <n v="2.3913731294195002"/>
    <n v="3.3913731294195002"/>
  </r>
  <r>
    <s v="CMP1006"/>
    <s v="Wishlist Wonders"/>
    <x v="1"/>
    <x v="150"/>
    <d v="2024-09-15T00:00:00"/>
    <n v="36112"/>
    <n v="23009.599999999999"/>
    <n v="13638.4"/>
    <n v="2936.4"/>
    <n v="8987.7759999999998"/>
    <x v="3"/>
    <x v="1"/>
    <x v="0"/>
    <n v="0.63717323881258303"/>
    <n v="0.59272651415061495"/>
    <n v="0.12761629928377699"/>
    <n v="0.215303847958705"/>
    <n v="2.06081460291513"/>
    <n v="3.06081460291513"/>
  </r>
  <r>
    <s v="CMP1007"/>
    <s v="Cart to Couch"/>
    <x v="3"/>
    <x v="118"/>
    <d v="2024-08-10T00:00:00"/>
    <n v="58308.800000000003"/>
    <n v="1267.2"/>
    <n v="1144"/>
    <n v="1473.7760000000001"/>
    <n v="5871.616"/>
    <x v="2"/>
    <x v="0"/>
    <x v="0"/>
    <n v="2.1732568668880198E-2"/>
    <n v="0.90277777777777801"/>
    <n v="1.1630176767676801"/>
    <n v="1.28826573426573"/>
    <n v="2.9840627069513999"/>
    <n v="3.9840627069513999"/>
  </r>
  <r>
    <s v="CMP1008"/>
    <s v="Shop &amp; Share"/>
    <x v="0"/>
    <x v="90"/>
    <d v="2024-08-09T00:00:00"/>
    <n v="71401.600000000006"/>
    <n v="30844.799999999999"/>
    <n v="5289.6"/>
    <n v="2170.4"/>
    <n v="4623.7280000000001"/>
    <x v="4"/>
    <x v="0"/>
    <x v="0"/>
    <n v="0.43199031954466"/>
    <n v="0.17149081854964199"/>
    <n v="7.0365183110281199E-2"/>
    <n v="0.41031457955232897"/>
    <n v="1.13035753778105"/>
    <n v="2.13035753778105"/>
  </r>
  <r>
    <s v="CMP1009"/>
    <s v="Cart to Couch"/>
    <x v="1"/>
    <x v="78"/>
    <d v="2024-09-11T00:00:00"/>
    <n v="10844.8"/>
    <n v="4739.2"/>
    <n v="4318.3999999999996"/>
    <n v="7129.1040000000003"/>
    <n v="14789.328"/>
    <x v="1"/>
    <x v="3"/>
    <x v="0"/>
    <n v="0.43700206550604898"/>
    <n v="0.91120864280891301"/>
    <n v="1.5042842673868999"/>
    <n v="1.65086698777325"/>
    <n v="1.07450024575318"/>
    <n v="2.07450024575318"/>
  </r>
  <r>
    <s v="CMP1010"/>
    <s v="Cart to Couch"/>
    <x v="1"/>
    <x v="118"/>
    <d v="2024-08-17T00:00:00"/>
    <n v="7854.4"/>
    <n v="1491.2"/>
    <n v="6.4"/>
    <n v="1884.3520000000001"/>
    <n v="3162.1120000000001"/>
    <x v="1"/>
    <x v="1"/>
    <x v="1"/>
    <n v="0.18985536769199399"/>
    <n v="4.29184549356223E-3"/>
    <n v="1.2636480686695299"/>
    <n v="294.43"/>
    <n v="0.67808986855958997"/>
    <n v="1.67808986855959"/>
  </r>
  <r>
    <s v="CMP1011"/>
    <s v="Cart to Couch"/>
    <x v="1"/>
    <x v="65"/>
    <d v="2024-04-04T00:00:00"/>
    <n v="64689.599999999999"/>
    <n v="61350.400000000001"/>
    <n v="20267.2"/>
    <n v="419.44"/>
    <n v="892.52800000000002"/>
    <x v="3"/>
    <x v="4"/>
    <x v="0"/>
    <n v="0.94838119264920495"/>
    <n v="0.330351554350094"/>
    <n v="6.8367932401418698E-3"/>
    <n v="2.0695508012946999E-2"/>
    <n v="1.1279038718291099"/>
    <n v="2.1279038718291101"/>
  </r>
  <r>
    <s v="CMP1012"/>
    <s v="Cart to Couch"/>
    <x v="1"/>
    <x v="69"/>
    <d v="2024-11-11T00:00:00"/>
    <n v="36945.599999999999"/>
    <n v="14752"/>
    <n v="2774.4"/>
    <n v="2876.0320000000002"/>
    <n v="9063.7440000000006"/>
    <x v="3"/>
    <x v="1"/>
    <x v="0"/>
    <n v="0.39928976657572202"/>
    <n v="0.18806941431670299"/>
    <n v="0.19495878524945801"/>
    <n v="1.03663206459054"/>
    <n v="2.1514753660599002"/>
    <n v="3.1514753660599002"/>
  </r>
  <r>
    <s v="CMP1013"/>
    <s v="Wishlist Wonders"/>
    <x v="2"/>
    <x v="57"/>
    <d v="2024-10-05T00:00:00"/>
    <n v="49683.199999999997"/>
    <n v="10979.2"/>
    <n v="8180.8"/>
    <n v="616.78399999999999"/>
    <n v="2432.4960000000001"/>
    <x v="2"/>
    <x v="3"/>
    <x v="0"/>
    <n v="0.220984155609945"/>
    <n v="0.74511804138735105"/>
    <n v="5.6177499271349497E-2"/>
    <n v="7.5394093487189506E-2"/>
    <n v="2.94383771304055"/>
    <n v="3.94383771304055"/>
  </r>
  <r>
    <s v="CMP1014"/>
    <s v="Shop &amp; Share"/>
    <x v="3"/>
    <x v="147"/>
    <d v="2024-07-13T00:00:00"/>
    <n v="13428.8"/>
    <n v="1497.6"/>
    <n v="550.4"/>
    <n v="4523.5519999999997"/>
    <n v="13765.472"/>
    <x v="0"/>
    <x v="3"/>
    <x v="0"/>
    <n v="0.111521506016919"/>
    <n v="0.36752136752136799"/>
    <n v="3.02053418803419"/>
    <n v="8.2186627906976693"/>
    <n v="2.0430670411216698"/>
    <n v="3.0430670411216698"/>
  </r>
  <r>
    <s v="CMP1015"/>
    <s v="Seasonal Steals"/>
    <x v="0"/>
    <x v="153"/>
    <d v="2024-05-06T00:00:00"/>
    <n v="15278.4"/>
    <n v="10254.4"/>
    <n v="6812.8"/>
    <n v="1819.664"/>
    <n v="7032.1760000000004"/>
    <x v="2"/>
    <x v="3"/>
    <x v="0"/>
    <n v="0.67116975599539197"/>
    <n v="0.66437821813075404"/>
    <n v="0.17745202059603701"/>
    <n v="0.26709488022545802"/>
    <n v="2.8645464217569798"/>
    <n v="3.8645464217569798"/>
  </r>
  <r>
    <s v="CMP1016"/>
    <s v="Shop &amp; Share"/>
    <x v="1"/>
    <x v="91"/>
    <d v="2024-06-15T00:00:00"/>
    <n v="25171.200000000001"/>
    <n v="16889.599999999999"/>
    <n v="2944"/>
    <n v="6382.32"/>
    <n v="8403.9680000000008"/>
    <x v="4"/>
    <x v="4"/>
    <x v="1"/>
    <n v="0.67098906687007398"/>
    <n v="0.17430845017051899"/>
    <n v="0.37788461538461499"/>
    <n v="2.1679076086956499"/>
    <n v="0.316757542711741"/>
    <n v="1.3167575427117399"/>
  </r>
  <r>
    <s v="CMP1017"/>
    <s v="Deal of the Day"/>
    <x v="2"/>
    <x v="204"/>
    <d v="2024-11-01T00:00:00"/>
    <n v="58496"/>
    <n v="52862.400000000001"/>
    <n v="8070.4"/>
    <n v="1263.328"/>
    <n v="3433.0720000000001"/>
    <x v="1"/>
    <x v="3"/>
    <x v="0"/>
    <n v="0.90369256017505495"/>
    <n v="0.15266805896062199"/>
    <n v="2.3898423075758901E-2"/>
    <n v="0.15653846153846199"/>
    <n v="1.71748271232807"/>
    <n v="2.7174827123280698"/>
  </r>
  <r>
    <s v="CMP1018"/>
    <s v="Shop &amp; Share"/>
    <x v="2"/>
    <x v="70"/>
    <d v="2024-03-24T00:00:00"/>
    <n v="6022.4"/>
    <n v="2726.4"/>
    <n v="1073.5999999999999"/>
    <n v="6272.08"/>
    <n v="14560.048000000001"/>
    <x v="3"/>
    <x v="2"/>
    <x v="1"/>
    <n v="0.45270988310308202"/>
    <n v="0.39377934272300502"/>
    <n v="2.3004988262910802"/>
    <n v="5.84210134128167"/>
    <n v="1.32140661471155"/>
    <n v="2.3214066147115502"/>
  </r>
  <r>
    <s v="CMP1019"/>
    <s v="Cart to Couch"/>
    <x v="2"/>
    <x v="238"/>
    <d v="2024-08-14T00:00:00"/>
    <n v="14985.6"/>
    <n v="9966.4"/>
    <n v="681.6"/>
    <n v="5093.9840000000004"/>
    <n v="10823.696"/>
    <x v="1"/>
    <x v="2"/>
    <x v="0"/>
    <n v="0.66506512919069005"/>
    <n v="6.8389789693369701E-2"/>
    <n v="0.51111574891635903"/>
    <n v="7.4735680751173703"/>
    <n v="1.1247997637998099"/>
    <n v="2.1247997637998099"/>
  </r>
  <r>
    <s v="CMP1020"/>
    <s v="Shop &amp; Share"/>
    <x v="0"/>
    <x v="214"/>
    <d v="2024-07-10T00:00:00"/>
    <n v="2163.1999999999998"/>
    <n v="619.20000000000005"/>
    <n v="284.8"/>
    <n v="1669.856"/>
    <n v="6674.6239999999998"/>
    <x v="4"/>
    <x v="0"/>
    <x v="1"/>
    <n v="0.28624260355029602"/>
    <n v="0.45994832041343697"/>
    <n v="2.6967958656330699"/>
    <n v="5.86325842696629"/>
    <n v="2.9971255006419701"/>
    <n v="3.9971255006419701"/>
  </r>
  <r>
    <s v="CMP1021"/>
    <s v="Cart to Couch"/>
    <x v="1"/>
    <x v="289"/>
    <d v="2024-08-30T00:00:00"/>
    <n v="16355.2"/>
    <n v="3748.8"/>
    <n v="1332.8"/>
    <n v="6507.4080000000004"/>
    <n v="23523.328000000001"/>
    <x v="1"/>
    <x v="3"/>
    <x v="1"/>
    <n v="0.229211504597926"/>
    <n v="0.35552710200597498"/>
    <n v="1.7358642765685"/>
    <n v="4.8825090036014398"/>
    <n v="2.61485371748629"/>
    <n v="3.61485371748629"/>
  </r>
  <r>
    <s v="CMP1022"/>
    <s v="Flash Sale Frenzy"/>
    <x v="0"/>
    <x v="287"/>
    <d v="2024-05-17T00:00:00"/>
    <n v="10910.4"/>
    <n v="8755.2000000000007"/>
    <n v="1425.6"/>
    <n v="5247.7920000000004"/>
    <n v="11830.72"/>
    <x v="0"/>
    <x v="0"/>
    <x v="1"/>
    <n v="0.80246370435547698"/>
    <n v="0.16282894736842099"/>
    <n v="0.59939144736842098"/>
    <n v="3.6811111111111101"/>
    <n v="1.2544186202501899"/>
    <n v="2.2544186202501901"/>
  </r>
  <r>
    <s v="CMP1023"/>
    <s v="Wishlist Wonders"/>
    <x v="2"/>
    <x v="155"/>
    <d v="2024-05-16T00:00:00"/>
    <n v="71686.399999999994"/>
    <n v="3321.6"/>
    <n v="2188.8000000000002"/>
    <n v="2997.1840000000002"/>
    <n v="4761.0720000000001"/>
    <x v="3"/>
    <x v="1"/>
    <x v="0"/>
    <n v="4.6335148647442197E-2"/>
    <n v="0.65895953757225401"/>
    <n v="0.90233140655106003"/>
    <n v="1.3693274853801201"/>
    <n v="0.588515086160876"/>
    <n v="1.5885150861608801"/>
  </r>
  <r>
    <s v="CMP1024"/>
    <s v="Seasonal Steals"/>
    <x v="1"/>
    <x v="39"/>
    <d v="2024-05-15T00:00:00"/>
    <n v="35864"/>
    <n v="35796.800000000003"/>
    <n v="26936"/>
    <n v="6669.7280000000001"/>
    <n v="8805.52"/>
    <x v="2"/>
    <x v="4"/>
    <x v="0"/>
    <n v="0.99812625474012995"/>
    <n v="0.75246949447995304"/>
    <n v="0.186321905868681"/>
    <n v="0.24761389961390001"/>
    <n v="0.32022175417048498"/>
    <n v="1.3202217541704899"/>
  </r>
  <r>
    <s v="CMP1025"/>
    <s v="Shop &amp; Share"/>
    <x v="1"/>
    <x v="160"/>
    <d v="2024-08-19T00:00:00"/>
    <n v="23627.200000000001"/>
    <n v="14953.6"/>
    <n v="5136"/>
    <n v="2625.68"/>
    <n v="3321.232"/>
    <x v="4"/>
    <x v="1"/>
    <x v="1"/>
    <n v="0.63289767725333501"/>
    <n v="0.34346244382623597"/>
    <n v="0.175588487053285"/>
    <n v="0.51123052959501603"/>
    <n v="0.264903567837665"/>
    <n v="1.2649035678376599"/>
  </r>
  <r>
    <s v="CMP1026"/>
    <s v="Wishlist Wonders"/>
    <x v="0"/>
    <x v="189"/>
    <d v="2024-10-02T00:00:00"/>
    <n v="48430.400000000001"/>
    <n v="33712"/>
    <n v="5516.8"/>
    <n v="4611.6639999999998"/>
    <n v="16278.768"/>
    <x v="0"/>
    <x v="0"/>
    <x v="1"/>
    <n v="0.69609171099144296"/>
    <n v="0.163644992880873"/>
    <n v="0.136795918367347"/>
    <n v="0.83593097447795806"/>
    <n v="2.52991197971058"/>
    <n v="3.52991197971058"/>
  </r>
  <r>
    <s v="CMP1027"/>
    <s v="Cart to Couch"/>
    <x v="1"/>
    <x v="156"/>
    <d v="2024-10-17T00:00:00"/>
    <n v="76963.199999999997"/>
    <n v="64147.199999999997"/>
    <n v="21828.799999999999"/>
    <n v="5695.28"/>
    <n v="12624.736000000001"/>
    <x v="4"/>
    <x v="2"/>
    <x v="0"/>
    <n v="0.83347885742796601"/>
    <n v="0.34029232764641298"/>
    <n v="8.8784545545245896E-2"/>
    <n v="0.26090669207652301"/>
    <n v="1.2167015493531499"/>
    <n v="2.2167015493531501"/>
  </r>
  <r>
    <s v="CMP1028"/>
    <s v="Deal of the Day"/>
    <x v="0"/>
    <x v="68"/>
    <d v="2024-03-28T00:00:00"/>
    <n v="53105.599999999999"/>
    <n v="42360"/>
    <n v="38012.800000000003"/>
    <n v="5501.84"/>
    <n v="17608.544000000002"/>
    <x v="1"/>
    <x v="1"/>
    <x v="1"/>
    <n v="0.79765599108191998"/>
    <n v="0.89737488196411697"/>
    <n v="0.12988290840415501"/>
    <n v="0.144736509807223"/>
    <n v="2.2004827475898998"/>
    <n v="3.2004827475898998"/>
  </r>
  <r>
    <s v="CMP1029"/>
    <s v="Shop &amp; Share"/>
    <x v="2"/>
    <x v="128"/>
    <d v="2024-10-04T00:00:00"/>
    <n v="31614.400000000001"/>
    <n v="18313.599999999999"/>
    <n v="10409.6"/>
    <n v="630.20799999999997"/>
    <n v="2143.4879999999998"/>
    <x v="0"/>
    <x v="2"/>
    <x v="0"/>
    <n v="0.57928032795181905"/>
    <n v="0.56840817752926798"/>
    <n v="3.44120216669579E-2"/>
    <n v="6.05410390408853E-2"/>
    <n v="2.4012389560272198"/>
    <n v="3.4012389560272198"/>
  </r>
  <r>
    <s v="CMP1030"/>
    <s v="Seasonal Steals"/>
    <x v="0"/>
    <x v="18"/>
    <d v="2024-08-03T00:00:00"/>
    <n v="42400"/>
    <n v="18737.599999999999"/>
    <n v="16139.2"/>
    <n v="1836.8"/>
    <n v="2712.8"/>
    <x v="4"/>
    <x v="1"/>
    <x v="0"/>
    <n v="0.441924528301887"/>
    <n v="0.86132695756126698"/>
    <n v="9.8027495517035296E-2"/>
    <n v="0.11380985426787001"/>
    <n v="0.47691637630661998"/>
    <n v="1.47691637630662"/>
  </r>
  <r>
    <s v="CMP1031"/>
    <s v="Seasonal Steals"/>
    <x v="3"/>
    <x v="201"/>
    <d v="2024-03-14T00:00:00"/>
    <n v="43772.800000000003"/>
    <n v="29051.200000000001"/>
    <n v="1364.8"/>
    <n v="1744.32"/>
    <n v="5052.2560000000003"/>
    <x v="1"/>
    <x v="2"/>
    <x v="0"/>
    <n v="0.663681555669274"/>
    <n v="4.6979126507683003E-2"/>
    <n v="6.0042958638541602E-2"/>
    <n v="1.27807737397421"/>
    <n v="1.8964043294808299"/>
    <n v="2.8964043294808302"/>
  </r>
  <r>
    <s v="CMP1032"/>
    <s v="Shop &amp; Share"/>
    <x v="1"/>
    <x v="104"/>
    <d v="2024-05-18T00:00:00"/>
    <n v="70460.800000000003"/>
    <n v="25934.400000000001"/>
    <n v="21633.599999999999"/>
    <n v="1474.624"/>
    <n v="5615.6959999999999"/>
    <x v="4"/>
    <x v="3"/>
    <x v="1"/>
    <n v="0.36806848630728001"/>
    <n v="0.83416620396076202"/>
    <n v="5.6859769263989099E-2"/>
    <n v="6.8163597367058695E-2"/>
    <n v="2.80822229937937"/>
    <n v="3.80822229937937"/>
  </r>
  <r>
    <s v="CMP1033"/>
    <s v="Deal of the Day"/>
    <x v="2"/>
    <x v="21"/>
    <d v="2024-06-26T00:00:00"/>
    <n v="28619.200000000001"/>
    <n v="21419.200000000001"/>
    <n v="7937.6"/>
    <n v="1046.096"/>
    <n v="2276.2399999999998"/>
    <x v="3"/>
    <x v="4"/>
    <x v="1"/>
    <n v="0.74842064068876801"/>
    <n v="0.37058340180772398"/>
    <n v="4.8839172331366199E-2"/>
    <n v="0.13178996170127"/>
    <n v="1.1759379636285801"/>
    <n v="2.1759379636285798"/>
  </r>
  <r>
    <s v="CMP1034"/>
    <s v="Deal of the Day"/>
    <x v="3"/>
    <x v="106"/>
    <d v="2024-09-08T00:00:00"/>
    <n v="27515.200000000001"/>
    <n v="27086.400000000001"/>
    <n v="356.8"/>
    <n v="4890.576"/>
    <n v="15314.896000000001"/>
    <x v="1"/>
    <x v="0"/>
    <x v="0"/>
    <n v="0.98441588649182998"/>
    <n v="1.31726622954693E-2"/>
    <n v="0.180554669502038"/>
    <n v="13.7067713004484"/>
    <n v="2.1315117074144201"/>
    <n v="3.1315117074144201"/>
  </r>
  <r>
    <s v="CMP1035"/>
    <s v="Seasonal Steals"/>
    <x v="2"/>
    <x v="10"/>
    <d v="2024-01-29T00:00:00"/>
    <n v="66118.399999999994"/>
    <n v="46544"/>
    <n v="35721.599999999999"/>
    <n v="7695.0240000000003"/>
    <n v="14986.352000000001"/>
    <x v="4"/>
    <x v="4"/>
    <x v="0"/>
    <n v="0.70394927886942205"/>
    <n v="0.76748023375730501"/>
    <n v="0.16532794774836701"/>
    <n v="0.2154165546896"/>
    <n v="0.94753804536542097"/>
    <n v="1.9475380453654201"/>
  </r>
  <r>
    <s v="CMP1036"/>
    <s v="Deal of the Day"/>
    <x v="3"/>
    <x v="82"/>
    <d v="2024-08-11T00:00:00"/>
    <n v="73212.800000000003"/>
    <n v="32147.200000000001"/>
    <n v="5452.8"/>
    <n v="6795.3119999999999"/>
    <n v="10637.023999999999"/>
    <x v="0"/>
    <x v="3"/>
    <x v="0"/>
    <n v="0.43909261768433899"/>
    <n v="0.169619749153892"/>
    <n v="0.211381146725065"/>
    <n v="1.2462059859154899"/>
    <n v="0.56534740421043195"/>
    <n v="1.5653474042104301"/>
  </r>
  <r>
    <s v="CMP1037"/>
    <s v="Wishlist Wonders"/>
    <x v="1"/>
    <x v="291"/>
    <d v="2024-02-26T00:00:00"/>
    <n v="54872"/>
    <n v="14075.2"/>
    <n v="1092.8"/>
    <n v="6094.0479999999998"/>
    <n v="16701.52"/>
    <x v="4"/>
    <x v="1"/>
    <x v="1"/>
    <n v="0.25650969529085899"/>
    <n v="7.7640104581107205E-2"/>
    <n v="0.432963510287598"/>
    <n v="5.5765446559297196"/>
    <n v="1.7406282326624301"/>
    <n v="2.7406282326624298"/>
  </r>
  <r>
    <s v="CMP1038"/>
    <s v="Wishlist Wonders"/>
    <x v="0"/>
    <x v="67"/>
    <d v="2024-04-24T00:00:00"/>
    <n v="40881.599999999999"/>
    <n v="4609.6000000000004"/>
    <n v="3284.8"/>
    <n v="4409.3119999999999"/>
    <n v="12939.328"/>
    <x v="4"/>
    <x v="1"/>
    <x v="1"/>
    <n v="0.11275488239207899"/>
    <n v="0.71259979173897903"/>
    <n v="0.95654980909406495"/>
    <n v="1.34233804188992"/>
    <n v="1.9345457976210301"/>
    <n v="2.9345457976210301"/>
  </r>
  <r>
    <s v="CMP1039"/>
    <s v="Cart to Couch"/>
    <x v="0"/>
    <x v="33"/>
    <d v="2024-05-30T00:00:00"/>
    <n v="29440"/>
    <n v="18460.8"/>
    <n v="7224"/>
    <n v="1808.24"/>
    <n v="2714.0479999999998"/>
    <x v="0"/>
    <x v="1"/>
    <x v="0"/>
    <n v="0.62706521739130405"/>
    <n v="0.39131565262610501"/>
    <n v="9.7950251343387099E-2"/>
    <n v="0.25031007751938"/>
    <n v="0.50093350440206996"/>
    <n v="1.50093350440207"/>
  </r>
  <r>
    <s v="CMP1040"/>
    <s v="Wishlist Wonders"/>
    <x v="2"/>
    <x v="133"/>
    <d v="2024-09-17T00:00:00"/>
    <n v="19190.400000000001"/>
    <n v="14910.4"/>
    <n v="10158.4"/>
    <n v="3619.4720000000002"/>
    <n v="12565.552"/>
    <x v="3"/>
    <x v="1"/>
    <x v="0"/>
    <n v="0.776971819242955"/>
    <n v="0.68129627642450896"/>
    <n v="0.24274814894301999"/>
    <n v="0.35630335485903297"/>
    <n v="2.4716533240207399"/>
    <n v="3.4716533240207399"/>
  </r>
  <r>
    <s v="CMP1041"/>
    <s v="Deal of the Day"/>
    <x v="2"/>
    <x v="71"/>
    <d v="2024-07-08T00:00:00"/>
    <n v="72441.600000000006"/>
    <n v="36862.400000000001"/>
    <n v="15816"/>
    <n v="1569.3119999999999"/>
    <n v="5346.08"/>
    <x v="2"/>
    <x v="2"/>
    <x v="0"/>
    <n v="0.50885678946903401"/>
    <n v="0.429055080515647"/>
    <n v="4.2572160250010899E-2"/>
    <n v="9.9223065250379397E-2"/>
    <n v="2.4066393425908901"/>
    <n v="3.4066393425908901"/>
  </r>
  <r>
    <s v="CMP1042"/>
    <s v="Wishlist Wonders"/>
    <x v="0"/>
    <x v="110"/>
    <d v="2024-06-04T00:00:00"/>
    <n v="68022.399999999994"/>
    <n v="12633.6"/>
    <n v="4168"/>
    <n v="1677.9680000000001"/>
    <n v="3927.712"/>
    <x v="4"/>
    <x v="2"/>
    <x v="0"/>
    <n v="0.18572705461730299"/>
    <n v="0.329913880445795"/>
    <n v="0.13281788247213799"/>
    <n v="0.40258349328214998"/>
    <n v="1.34075500843878"/>
    <n v="2.34075500843878"/>
  </r>
  <r>
    <s v="CMP1043"/>
    <s v="Cart to Couch"/>
    <x v="2"/>
    <x v="280"/>
    <d v="2024-07-17T00:00:00"/>
    <n v="33374.400000000001"/>
    <n v="23208"/>
    <n v="8262.4"/>
    <n v="3326.384"/>
    <n v="8537.2479999999996"/>
    <x v="0"/>
    <x v="4"/>
    <x v="0"/>
    <n v="0.69538328778944303"/>
    <n v="0.35601516718373"/>
    <n v="0.14332919682868001"/>
    <n v="0.40259295120062"/>
    <n v="1.56652509151078"/>
    <n v="2.5665250915107798"/>
  </r>
  <r>
    <s v="CMP1044"/>
    <s v="Flash Sale Frenzy"/>
    <x v="2"/>
    <x v="173"/>
    <d v="2024-07-13T00:00:00"/>
    <n v="26587.200000000001"/>
    <n v="21438.400000000001"/>
    <n v="3478.4"/>
    <n v="2883.2640000000001"/>
    <n v="3976.4319999999998"/>
    <x v="0"/>
    <x v="3"/>
    <x v="1"/>
    <n v="0.80634290184750601"/>
    <n v="0.16225091424733201"/>
    <n v="0.13449063362937499"/>
    <n v="0.82890524379024799"/>
    <n v="0.37914252735788301"/>
    <n v="1.3791425273578799"/>
  </r>
  <r>
    <s v="CMP1045"/>
    <s v="Seasonal Steals"/>
    <x v="0"/>
    <x v="250"/>
    <d v="2024-07-21T00:00:00"/>
    <n v="72876.800000000003"/>
    <n v="53488"/>
    <n v="39390.400000000001"/>
    <n v="6600.88"/>
    <n v="14403.248"/>
    <x v="0"/>
    <x v="2"/>
    <x v="0"/>
    <n v="0.73395099675068098"/>
    <n v="0.73643434041280298"/>
    <n v="0.12340861501645201"/>
    <n v="0.167575856046143"/>
    <n v="1.1820193671146899"/>
    <n v="2.1820193671146901"/>
  </r>
  <r>
    <s v="CMP1046"/>
    <s v="Wishlist Wonders"/>
    <x v="2"/>
    <x v="142"/>
    <d v="2024-01-29T00:00:00"/>
    <n v="7006.4"/>
    <n v="3158.4"/>
    <n v="2534.4"/>
    <n v="4399.6000000000004"/>
    <n v="8514.2240000000002"/>
    <x v="0"/>
    <x v="0"/>
    <x v="0"/>
    <n v="0.45078785110755898"/>
    <n v="0.80243161094224902"/>
    <n v="1.39298378926039"/>
    <n v="1.73595328282828"/>
    <n v="0.93522683880352697"/>
    <n v="1.9352268388035301"/>
  </r>
  <r>
    <s v="CMP1047"/>
    <s v="Seasonal Steals"/>
    <x v="3"/>
    <x v="94"/>
    <d v="2024-05-15T00:00:00"/>
    <n v="76286.399999999994"/>
    <n v="50638.400000000001"/>
    <n v="39886.400000000001"/>
    <n v="217.04"/>
    <n v="764.03200000000004"/>
    <x v="0"/>
    <x v="3"/>
    <x v="1"/>
    <n v="0.66379328425512296"/>
    <n v="0.78767101646181603"/>
    <n v="4.2860753894277898E-3"/>
    <n v="5.4414537285891896E-3"/>
    <n v="2.52023590121637"/>
    <n v="3.52023590121637"/>
  </r>
  <r>
    <s v="CMP1048"/>
    <s v="Deal of the Day"/>
    <x v="3"/>
    <x v="116"/>
    <d v="2024-07-28T00:00:00"/>
    <n v="60579.199999999997"/>
    <n v="44712"/>
    <n v="30123.200000000001"/>
    <n v="6987.3919999999998"/>
    <n v="11356.24"/>
    <x v="1"/>
    <x v="1"/>
    <x v="1"/>
    <n v="0.73807511489092004"/>
    <n v="0.67371622830559996"/>
    <n v="0.15627554124172499"/>
    <n v="0.23196048228607799"/>
    <n v="0.62524730257011496"/>
    <n v="1.62524730257011"/>
  </r>
  <r>
    <s v="CMP1049"/>
    <s v="Wishlist Wonders"/>
    <x v="1"/>
    <x v="221"/>
    <d v="2024-03-14T00:00:00"/>
    <n v="9377.6"/>
    <n v="1916.8"/>
    <n v="432"/>
    <n v="6154.0159999999996"/>
    <n v="16907.936000000002"/>
    <x v="4"/>
    <x v="0"/>
    <x v="0"/>
    <n v="0.20440197918444"/>
    <n v="0.225375626043406"/>
    <n v="3.21056761268781"/>
    <n v="14.2454074074074"/>
    <n v="1.74746376999995"/>
    <n v="2.7474637699999498"/>
  </r>
  <r>
    <s v="CMP1050"/>
    <s v="Wishlist Wonders"/>
    <x v="0"/>
    <x v="292"/>
    <d v="2024-10-10T00:00:00"/>
    <n v="20131.2"/>
    <n v="18416"/>
    <n v="5390.4"/>
    <n v="1388.3679999999999"/>
    <n v="4514.2240000000002"/>
    <x v="2"/>
    <x v="2"/>
    <x v="0"/>
    <n v="0.91479891909076505"/>
    <n v="0.29270199826238102"/>
    <n v="7.5389226759339706E-2"/>
    <n v="0.25756307509646797"/>
    <n v="2.2514607078238602"/>
    <n v="3.2514607078238602"/>
  </r>
  <r>
    <s v="CMP1051"/>
    <s v="Cart to Couch"/>
    <x v="2"/>
    <x v="8"/>
    <d v="2024-09-11T00:00:00"/>
    <n v="79641.600000000006"/>
    <n v="49016"/>
    <n v="23929.599999999999"/>
    <n v="379.31200000000001"/>
    <n v="573.58399999999995"/>
    <x v="0"/>
    <x v="0"/>
    <x v="0"/>
    <n v="0.61545724847315997"/>
    <n v="0.488199771503183"/>
    <n v="7.7385343561286101E-3"/>
    <n v="1.5851163412677199E-2"/>
    <n v="0.51216940144261203"/>
    <n v="1.5121694014426099"/>
  </r>
  <r>
    <s v="CMP1052"/>
    <s v="Deal of the Day"/>
    <x v="2"/>
    <x v="189"/>
    <d v="2024-09-16T00:00:00"/>
    <n v="67230.399999999994"/>
    <n v="44344"/>
    <n v="17006.400000000001"/>
    <n v="5705.04"/>
    <n v="9124.4"/>
    <x v="2"/>
    <x v="2"/>
    <x v="1"/>
    <n v="0.65958256978985697"/>
    <n v="0.383510734259426"/>
    <n v="0.128654158397979"/>
    <n v="0.33546429579452403"/>
    <n v="0.59935776085706705"/>
    <n v="1.5993577608570699"/>
  </r>
  <r>
    <s v="CMP1053"/>
    <s v="Cart to Couch"/>
    <x v="2"/>
    <x v="84"/>
    <d v="2024-07-11T00:00:00"/>
    <n v="68542.399999999994"/>
    <n v="60745.599999999999"/>
    <n v="30692.799999999999"/>
    <n v="5175.1840000000002"/>
    <n v="20458.784"/>
    <x v="1"/>
    <x v="1"/>
    <x v="0"/>
    <n v="0.88624851187002496"/>
    <n v="0.50526787125322703"/>
    <n v="8.5194384449244098E-2"/>
    <n v="0.16861231298545601"/>
    <n v="2.9532476526438498"/>
    <n v="3.9532476526438498"/>
  </r>
  <r>
    <s v="CMP1054"/>
    <s v="Seasonal Steals"/>
    <x v="3"/>
    <x v="260"/>
    <d v="2024-09-06T00:00:00"/>
    <n v="31054.400000000001"/>
    <n v="4054.4"/>
    <n v="3700.8"/>
    <n v="1055.5840000000001"/>
    <n v="3805.6"/>
    <x v="4"/>
    <x v="3"/>
    <x v="0"/>
    <n v="0.13055798856200701"/>
    <n v="0.91278610891870604"/>
    <n v="0.26035516969218597"/>
    <n v="0.28523130134025099"/>
    <n v="2.6052081122866602"/>
    <n v="3.6052081122866602"/>
  </r>
  <r>
    <s v="CMP1055"/>
    <s v="Cart to Couch"/>
    <x v="1"/>
    <x v="188"/>
    <d v="2024-01-25T00:00:00"/>
    <n v="45561.599999999999"/>
    <n v="16216"/>
    <n v="3328"/>
    <n v="4759.7759999999998"/>
    <n v="6799.3119999999999"/>
    <x v="2"/>
    <x v="1"/>
    <x v="0"/>
    <n v="0.35591375193145097"/>
    <n v="0.20522940305870699"/>
    <n v="0.29352343364578198"/>
    <n v="1.43022115384615"/>
    <n v="0.428494114008727"/>
    <n v="1.4284941140087299"/>
  </r>
  <r>
    <s v="CMP1056"/>
    <s v="Wishlist Wonders"/>
    <x v="0"/>
    <x v="2"/>
    <d v="2024-04-06T00:00:00"/>
    <n v="11081.6"/>
    <n v="3952"/>
    <n v="257.60000000000002"/>
    <n v="1161.3440000000001"/>
    <n v="3772.16"/>
    <x v="1"/>
    <x v="1"/>
    <x v="0"/>
    <n v="0.35662720184810898"/>
    <n v="6.5182186234817793E-2"/>
    <n v="0.293862348178138"/>
    <n v="4.5083229813664598"/>
    <n v="2.2480987545464601"/>
    <n v="3.2480987545464601"/>
  </r>
  <r>
    <s v="CMP1057"/>
    <s v="Seasonal Steals"/>
    <x v="3"/>
    <x v="180"/>
    <d v="2024-09-30T00:00:00"/>
    <n v="66374.399999999994"/>
    <n v="29100.799999999999"/>
    <n v="304"/>
    <n v="2514.3679999999999"/>
    <n v="5917.68"/>
    <x v="1"/>
    <x v="2"/>
    <x v="0"/>
    <n v="0.43843409507279901"/>
    <n v="1.0446448207609401E-2"/>
    <n v="8.6402023312073903E-2"/>
    <n v="8.2709473684210497"/>
    <n v="1.3535457021406601"/>
    <n v="2.3535457021406598"/>
  </r>
  <r>
    <s v="CMP1058"/>
    <s v="Cart to Couch"/>
    <x v="2"/>
    <x v="84"/>
    <d v="2024-07-02T00:00:00"/>
    <n v="47729.599999999999"/>
    <n v="46825.599999999999"/>
    <n v="12374.4"/>
    <n v="3709.4720000000002"/>
    <n v="5300.32"/>
    <x v="0"/>
    <x v="2"/>
    <x v="0"/>
    <n v="0.98105997117093002"/>
    <n v="0.26426570081322998"/>
    <n v="7.9218888812956995E-2"/>
    <n v="0.29976984742694601"/>
    <n v="0.42886103467016301"/>
    <n v="1.42886103467016"/>
  </r>
  <r>
    <s v="CMP1059"/>
    <s v="Wishlist Wonders"/>
    <x v="2"/>
    <x v="35"/>
    <d v="2024-10-27T00:00:00"/>
    <n v="17152"/>
    <n v="13699.2"/>
    <n v="2664"/>
    <n v="2244.6559999999999"/>
    <n v="4644.4319999999998"/>
    <x v="1"/>
    <x v="4"/>
    <x v="0"/>
    <n v="0.798694029850746"/>
    <n v="0.19446391030133101"/>
    <n v="0.163853071712217"/>
    <n v="0.84258858858858898"/>
    <n v="1.0691063574997699"/>
    <n v="2.0691063574997699"/>
  </r>
  <r>
    <s v="CMP1060"/>
    <s v="Flash Sale Frenzy"/>
    <x v="2"/>
    <x v="289"/>
    <d v="2024-08-25T00:00:00"/>
    <n v="76014.399999999994"/>
    <n v="32417.599999999999"/>
    <n v="28806.400000000001"/>
    <n v="4115.8239999999996"/>
    <n v="6067.232"/>
    <x v="0"/>
    <x v="4"/>
    <x v="0"/>
    <n v="0.42646656422993501"/>
    <n v="0.88860372143527"/>
    <n v="0.12696263757958601"/>
    <n v="0.14287880471006401"/>
    <n v="0.47412328612690902"/>
    <n v="1.47412328612691"/>
  </r>
  <r>
    <s v="CMP1061"/>
    <s v="Flash Sale Frenzy"/>
    <x v="2"/>
    <x v="250"/>
    <d v="2024-07-20T00:00:00"/>
    <n v="53878.400000000001"/>
    <n v="24083.200000000001"/>
    <n v="10963.2"/>
    <n v="1202.752"/>
    <n v="3123.4560000000001"/>
    <x v="3"/>
    <x v="3"/>
    <x v="0"/>
    <n v="0.44699174437251299"/>
    <n v="0.45522189742226898"/>
    <n v="4.9941536008503901E-2"/>
    <n v="0.109708114419148"/>
    <n v="1.59692438673974"/>
    <n v="2.5969243867397398"/>
  </r>
  <r>
    <s v="CMP1062"/>
    <s v="Shop &amp; Share"/>
    <x v="0"/>
    <x v="173"/>
    <d v="2024-07-22T00:00:00"/>
    <n v="2924.8"/>
    <n v="2208"/>
    <n v="24"/>
    <n v="7345.9520000000002"/>
    <n v="12941.056"/>
    <x v="0"/>
    <x v="0"/>
    <x v="0"/>
    <n v="0.75492341356673998"/>
    <n v="1.0869565217391301E-2"/>
    <n v="3.32697101449275"/>
    <n v="306.08133333333302"/>
    <n v="0.76165812137079003"/>
    <n v="1.76165812137079"/>
  </r>
  <r>
    <s v="CMP1063"/>
    <s v="Flash Sale Frenzy"/>
    <x v="3"/>
    <x v="293"/>
    <d v="2024-02-10T00:00:00"/>
    <n v="2635.2"/>
    <n v="2580.8000000000002"/>
    <n v="2286.4"/>
    <n v="4163.4399999999996"/>
    <n v="15581.84"/>
    <x v="0"/>
    <x v="4"/>
    <x v="0"/>
    <n v="0.97935640558591397"/>
    <n v="0.885926844389337"/>
    <n v="1.6132362058276499"/>
    <n v="1.82095871238628"/>
    <n v="2.7425398228388098"/>
    <n v="3.7425398228388098"/>
  </r>
  <r>
    <s v="CMP1064"/>
    <s v="Deal of the Day"/>
    <x v="0"/>
    <x v="93"/>
    <d v="2024-04-24T00:00:00"/>
    <n v="24302.400000000001"/>
    <n v="1256"/>
    <n v="745.6"/>
    <n v="3027.5839999999998"/>
    <n v="8897.4079999999994"/>
    <x v="3"/>
    <x v="4"/>
    <x v="1"/>
    <n v="5.1682138389624099E-2"/>
    <n v="0.59363057324840796"/>
    <n v="2.4104968152866202"/>
    <n v="4.0606008583691002"/>
    <n v="1.9387815499090999"/>
    <n v="2.9387815499091001"/>
  </r>
  <r>
    <s v="CMP1065"/>
    <s v="Deal of the Day"/>
    <x v="0"/>
    <x v="161"/>
    <d v="2024-09-07T00:00:00"/>
    <n v="3932.8"/>
    <n v="2824"/>
    <n v="92.8"/>
    <n v="7153.2640000000001"/>
    <n v="22454.383999999998"/>
    <x v="2"/>
    <x v="4"/>
    <x v="0"/>
    <n v="0.718063466232709"/>
    <n v="3.2861189801699699E-2"/>
    <n v="2.5330254957507101"/>
    <n v="77.082586206896593"/>
    <n v="2.1390403038389199"/>
    <n v="3.1390403038389199"/>
  </r>
  <r>
    <s v="CMP1066"/>
    <s v="Flash Sale Frenzy"/>
    <x v="2"/>
    <x v="18"/>
    <d v="2024-08-06T00:00:00"/>
    <n v="78347.199999999997"/>
    <n v="25238.400000000001"/>
    <n v="18932.8"/>
    <n v="3149.9679999999998"/>
    <n v="6778.3360000000002"/>
    <x v="1"/>
    <x v="0"/>
    <x v="1"/>
    <n v="0.32213531562072401"/>
    <n v="0.75015848865221202"/>
    <n v="0.12480854570812699"/>
    <n v="0.16637623595030801"/>
    <n v="1.15187455872568"/>
    <n v="2.1518745587256798"/>
  </r>
  <r>
    <s v="CMP1067"/>
    <s v="Cart to Couch"/>
    <x v="3"/>
    <x v="294"/>
    <d v="2024-09-04T00:00:00"/>
    <n v="37534.400000000001"/>
    <n v="32056"/>
    <n v="20273.599999999999"/>
    <n v="5085.3599999999997"/>
    <n v="9127.1039999999994"/>
    <x v="4"/>
    <x v="3"/>
    <x v="0"/>
    <n v="0.85404322434886404"/>
    <n v="0.63244322435737499"/>
    <n v="0.15863988020963299"/>
    <n v="0.25083655591508203"/>
    <n v="0.79478031053848697"/>
    <n v="1.7947803105384901"/>
  </r>
  <r>
    <s v="CMP1068"/>
    <s v="Wishlist Wonders"/>
    <x v="0"/>
    <x v="277"/>
    <d v="2024-03-05T00:00:00"/>
    <n v="70755.199999999997"/>
    <n v="34366.400000000001"/>
    <n v="3923.2"/>
    <n v="627.12"/>
    <n v="1145.0239999999999"/>
    <x v="0"/>
    <x v="0"/>
    <x v="1"/>
    <n v="0.485708470896839"/>
    <n v="0.114158014805159"/>
    <n v="1.8248056240979599E-2"/>
    <n v="0.15984910277324599"/>
    <n v="0.82584513330781995"/>
    <n v="1.8258451333078201"/>
  </r>
  <r>
    <s v="CMP1069"/>
    <s v="Seasonal Steals"/>
    <x v="1"/>
    <x v="19"/>
    <d v="2024-08-17T00:00:00"/>
    <n v="18464"/>
    <n v="15083.2"/>
    <n v="9116.7999999999993"/>
    <n v="575.85599999999999"/>
    <n v="2141.5839999999998"/>
    <x v="4"/>
    <x v="4"/>
    <x v="0"/>
    <n v="0.81689774696707096"/>
    <n v="0.60443407234539104"/>
    <n v="3.8178635833244899E-2"/>
    <n v="6.3164268164268206E-2"/>
    <n v="2.7189575171570701"/>
    <n v="3.7189575171570701"/>
  </r>
  <r>
    <s v="CMP1070"/>
    <s v="Deal of the Day"/>
    <x v="3"/>
    <x v="271"/>
    <d v="2024-05-03T00:00:00"/>
    <n v="15617.6"/>
    <n v="7710.4"/>
    <n v="7081.6"/>
    <n v="3675.136"/>
    <n v="6854.6080000000002"/>
    <x v="0"/>
    <x v="2"/>
    <x v="0"/>
    <n v="0.49369941604343798"/>
    <n v="0.91844781074911797"/>
    <n v="0.47664660717991297"/>
    <n v="0.51896972435607802"/>
    <n v="0.86513043326831995"/>
    <n v="1.8651304332683201"/>
  </r>
  <r>
    <s v="CMP1071"/>
    <s v="Cart to Couch"/>
    <x v="2"/>
    <x v="86"/>
    <d v="2024-09-19T00:00:00"/>
    <n v="60580.800000000003"/>
    <n v="19980.8"/>
    <n v="6395.2"/>
    <n v="5312.384"/>
    <n v="17893.04"/>
    <x v="0"/>
    <x v="3"/>
    <x v="0"/>
    <n v="0.32982066925494502"/>
    <n v="0.32006726457399098"/>
    <n v="0.26587443946188299"/>
    <n v="0.83068301225919405"/>
    <n v="2.36817519215478"/>
    <n v="3.36817519215478"/>
  </r>
  <r>
    <s v="CMP1072"/>
    <s v="Cart to Couch"/>
    <x v="3"/>
    <x v="196"/>
    <d v="2024-10-19T00:00:00"/>
    <n v="51867.199999999997"/>
    <n v="21608"/>
    <n v="3891.2"/>
    <n v="6942.72"/>
    <n v="18143.36"/>
    <x v="0"/>
    <x v="1"/>
    <x v="0"/>
    <n v="0.416602399975322"/>
    <n v="0.18008145131432801"/>
    <n v="0.32130322102924802"/>
    <n v="1.7842105263157899"/>
    <n v="1.61329277286136"/>
    <n v="2.6132927728613602"/>
  </r>
  <r>
    <s v="CMP1073"/>
    <s v="Shop &amp; Share"/>
    <x v="3"/>
    <x v="171"/>
    <d v="2024-05-22T00:00:00"/>
    <n v="47652.800000000003"/>
    <n v="11334.4"/>
    <n v="6867.2"/>
    <n v="6700.8320000000003"/>
    <n v="19421.168000000001"/>
    <x v="2"/>
    <x v="0"/>
    <x v="1"/>
    <n v="0.237853809220025"/>
    <n v="0.60587238848108405"/>
    <n v="0.59119424054206704"/>
    <n v="0.97577353215284302"/>
    <n v="1.8983218800292301"/>
    <n v="2.8983218800292301"/>
  </r>
  <r>
    <s v="CMP1074"/>
    <s v="Flash Sale Frenzy"/>
    <x v="2"/>
    <x v="255"/>
    <d v="2024-06-21T00:00:00"/>
    <n v="15153.6"/>
    <n v="2992"/>
    <n v="795.2"/>
    <n v="480.096"/>
    <n v="1328.5119999999999"/>
    <x v="0"/>
    <x v="0"/>
    <x v="1"/>
    <n v="0.19744483159117299"/>
    <n v="0.26577540106951902"/>
    <n v="0.16045989304812799"/>
    <n v="0.60374245472836996"/>
    <n v="1.7671798973538599"/>
    <n v="2.7671798973538602"/>
  </r>
  <r>
    <s v="CMP1075"/>
    <s v="Cart to Couch"/>
    <x v="3"/>
    <x v="204"/>
    <d v="2024-11-20T00:00:00"/>
    <n v="57073.599999999999"/>
    <n v="18272"/>
    <n v="3148.8"/>
    <n v="5120.0159999999996"/>
    <n v="12012.832"/>
    <x v="1"/>
    <x v="0"/>
    <x v="0"/>
    <n v="0.32014801939951198"/>
    <n v="0.17232924693520099"/>
    <n v="0.280211033274956"/>
    <n v="1.6260213414634099"/>
    <n v="1.34624891797213"/>
    <n v="2.34624891797213"/>
  </r>
  <r>
    <s v="CMP1076"/>
    <s v="Cart to Couch"/>
    <x v="3"/>
    <x v="201"/>
    <d v="2024-03-27T00:00:00"/>
    <n v="9750.4"/>
    <n v="4729.6000000000004"/>
    <n v="3224"/>
    <n v="3645.0720000000001"/>
    <n v="13489.888000000001"/>
    <x v="0"/>
    <x v="3"/>
    <x v="1"/>
    <n v="0.48506727929110599"/>
    <n v="0.68166441136671196"/>
    <n v="0.77069350473612996"/>
    <n v="1.13060545905707"/>
    <n v="2.7008563891193398"/>
    <n v="3.7008563891193398"/>
  </r>
  <r>
    <s v="CMP1077"/>
    <s v="Wishlist Wonders"/>
    <x v="0"/>
    <x v="277"/>
    <d v="2024-02-27T00:00:00"/>
    <n v="19123.2"/>
    <n v="15089.6"/>
    <n v="11083.2"/>
    <n v="6122.848"/>
    <n v="15679.616"/>
    <x v="2"/>
    <x v="2"/>
    <x v="1"/>
    <n v="0.78907295850066905"/>
    <n v="0.73449263068603499"/>
    <n v="0.40576609055243301"/>
    <n v="0.55244405947740705"/>
    <n v="1.5608370483801"/>
    <n v="2.5608370483801002"/>
  </r>
  <r>
    <s v="CMP1078"/>
    <s v="Cart to Couch"/>
    <x v="3"/>
    <x v="57"/>
    <d v="2024-10-26T00:00:00"/>
    <n v="59030.400000000001"/>
    <n v="32483.200000000001"/>
    <n v="13068.8"/>
    <n v="3028.576"/>
    <n v="11599.152"/>
    <x v="1"/>
    <x v="2"/>
    <x v="0"/>
    <n v="0.55027917818615502"/>
    <n v="0.40232489409910299"/>
    <n v="9.3235149246379698E-2"/>
    <n v="0.231740940254652"/>
    <n v="2.82990289825978"/>
    <n v="3.82990289825978"/>
  </r>
  <r>
    <s v="CMP1079"/>
    <s v="Deal of the Day"/>
    <x v="2"/>
    <x v="69"/>
    <d v="2024-10-28T00:00:00"/>
    <n v="46224"/>
    <n v="8225.6"/>
    <n v="2187.1999999999998"/>
    <n v="7958.2240000000002"/>
    <n v="19829.712"/>
    <x v="1"/>
    <x v="1"/>
    <x v="1"/>
    <n v="0.177950848044306"/>
    <n v="0.265901575568955"/>
    <n v="0.96749465084613895"/>
    <n v="3.6385442574981699"/>
    <n v="1.4917257920862701"/>
    <n v="2.4917257920862701"/>
  </r>
  <r>
    <s v="CMP1080"/>
    <s v="Shop &amp; Share"/>
    <x v="3"/>
    <x v="65"/>
    <d v="2024-03-12T00:00:00"/>
    <n v="3164.8"/>
    <n v="3089.6"/>
    <n v="2187.1999999999998"/>
    <n v="2737.9520000000002"/>
    <n v="3696.6239999999998"/>
    <x v="4"/>
    <x v="4"/>
    <x v="0"/>
    <n v="0.97623862487361002"/>
    <n v="0.70792335577420995"/>
    <n v="0.88618332470222705"/>
    <n v="1.2518068763716199"/>
    <n v="0.35014200395039802"/>
    <n v="1.3501420039504"/>
  </r>
  <r>
    <s v="CMP1081"/>
    <s v="Cart to Couch"/>
    <x v="2"/>
    <x v="268"/>
    <d v="2024-09-29T00:00:00"/>
    <n v="13292.8"/>
    <n v="11876.8"/>
    <n v="2008"/>
    <n v="448"/>
    <n v="1771.0239999999999"/>
    <x v="0"/>
    <x v="2"/>
    <x v="1"/>
    <n v="0.89347616754935"/>
    <n v="0.16906910952445101"/>
    <n v="3.77205981409134E-2"/>
    <n v="0.22310756972111601"/>
    <n v="2.9531785714285701"/>
    <n v="3.9531785714285701"/>
  </r>
  <r>
    <s v="CMP1082"/>
    <s v="Seasonal Steals"/>
    <x v="2"/>
    <x v="284"/>
    <d v="2024-09-12T00:00:00"/>
    <n v="44499.199999999997"/>
    <n v="4952"/>
    <n v="504"/>
    <n v="1344.624"/>
    <n v="3800.864"/>
    <x v="0"/>
    <x v="4"/>
    <x v="1"/>
    <n v="0.11128289946785599"/>
    <n v="0.101777059773829"/>
    <n v="0.27153150242326302"/>
    <n v="2.6679047619047598"/>
    <n v="1.8267114077987601"/>
    <n v="2.8267114077987601"/>
  </r>
  <r>
    <s v="CMP1083"/>
    <s v="Shop &amp; Share"/>
    <x v="2"/>
    <x v="22"/>
    <d v="2024-09-27T00:00:00"/>
    <n v="13028.8"/>
    <n v="6673.6"/>
    <n v="884.8"/>
    <n v="6124.9759999999997"/>
    <n v="20333.455999999998"/>
    <x v="0"/>
    <x v="0"/>
    <x v="0"/>
    <n v="0.51221908387572201"/>
    <n v="0.13258211460081501"/>
    <n v="0.91779189642771497"/>
    <n v="6.9224412296564202"/>
    <n v="2.3197609264101602"/>
    <n v="3.3197609264101602"/>
  </r>
  <r>
    <s v="CMP1084"/>
    <s v="Shop &amp; Share"/>
    <x v="1"/>
    <x v="197"/>
    <d v="2024-08-07T00:00:00"/>
    <n v="67456"/>
    <n v="32796.800000000003"/>
    <n v="11963.2"/>
    <n v="2563.7440000000001"/>
    <n v="6111.2960000000003"/>
    <x v="0"/>
    <x v="2"/>
    <x v="0"/>
    <n v="0.486195445920304"/>
    <n v="0.36476729437018202"/>
    <n v="7.81705532247048E-2"/>
    <n v="0.214302527751772"/>
    <n v="1.3837387820312801"/>
    <n v="2.3837387820312799"/>
  </r>
  <r>
    <s v="CMP1085"/>
    <s v="Deal of the Day"/>
    <x v="3"/>
    <x v="253"/>
    <d v="2024-09-05T00:00:00"/>
    <n v="62404.800000000003"/>
    <n v="41939.199999999997"/>
    <n v="41648"/>
    <n v="7721.7120000000004"/>
    <n v="12783.487999999999"/>
    <x v="0"/>
    <x v="0"/>
    <x v="0"/>
    <n v="0.672050867881958"/>
    <n v="0.99305661529070699"/>
    <n v="0.184116816725164"/>
    <n v="0.185404149058778"/>
    <n v="0.65552509598907605"/>
    <n v="1.6555250959890799"/>
  </r>
  <r>
    <s v="CMP1086"/>
    <s v="Cart to Couch"/>
    <x v="0"/>
    <x v="35"/>
    <d v="2024-10-22T00:00:00"/>
    <n v="57316.800000000003"/>
    <n v="49825.599999999999"/>
    <n v="7155.2"/>
    <n v="5952.7520000000004"/>
    <n v="7959.9679999999998"/>
    <x v="0"/>
    <x v="0"/>
    <x v="1"/>
    <n v="0.86930184518326203"/>
    <n v="0.14360489386981801"/>
    <n v="0.11947175749012599"/>
    <n v="0.83194767441860495"/>
    <n v="0.33719126884506501"/>
    <n v="1.33719126884507"/>
  </r>
  <r>
    <s v="CMP1087"/>
    <s v="Seasonal Steals"/>
    <x v="0"/>
    <x v="147"/>
    <d v="2024-07-01T00:00:00"/>
    <n v="37374.400000000001"/>
    <n v="25963.200000000001"/>
    <n v="19364.8"/>
    <n v="949.10400000000004"/>
    <n v="2249.5839999999998"/>
    <x v="4"/>
    <x v="1"/>
    <x v="1"/>
    <n v="0.69467871056123998"/>
    <n v="0.74585567264435804"/>
    <n v="3.6555740432612303E-2"/>
    <n v="4.9011815252416803E-2"/>
    <n v="1.3702186483251599"/>
    <n v="2.3702186483251602"/>
  </r>
  <r>
    <s v="CMP1088"/>
    <s v="Flash Sale Frenzy"/>
    <x v="2"/>
    <x v="232"/>
    <d v="2024-10-24T00:00:00"/>
    <n v="42593.599999999999"/>
    <n v="35921.599999999999"/>
    <n v="7334.4"/>
    <n v="615.34400000000005"/>
    <n v="1936.4159999999999"/>
    <x v="0"/>
    <x v="2"/>
    <x v="0"/>
    <n v="0.84335674843168895"/>
    <n v="0.20417798761747799"/>
    <n v="1.7130194646118199E-2"/>
    <n v="8.38983420593368E-2"/>
    <n v="2.1468836943238201"/>
    <n v="3.1468836943238201"/>
  </r>
  <r>
    <s v="CMP1089"/>
    <s v="Flash Sale Frenzy"/>
    <x v="3"/>
    <x v="227"/>
    <d v="2024-10-25T00:00:00"/>
    <n v="20004.8"/>
    <n v="17036.8"/>
    <n v="4443.2"/>
    <n v="3919.8879999999999"/>
    <n v="12787.407999999999"/>
    <x v="3"/>
    <x v="3"/>
    <x v="0"/>
    <n v="0.85163560745421096"/>
    <n v="0.26080015026296"/>
    <n v="0.23008358377159999"/>
    <n v="0.88222182211019096"/>
    <n v="2.2621870828962498"/>
    <n v="3.2621870828962498"/>
  </r>
  <r>
    <s v="CMP1090"/>
    <s v="Cart to Couch"/>
    <x v="1"/>
    <x v="73"/>
    <d v="2024-10-24T00:00:00"/>
    <n v="42561.599999999999"/>
    <n v="41548.800000000003"/>
    <n v="29774.400000000001"/>
    <n v="3757.6320000000001"/>
    <n v="10839.152"/>
    <x v="2"/>
    <x v="4"/>
    <x v="0"/>
    <n v="0.97620390210894303"/>
    <n v="0.71661275415896497"/>
    <n v="9.0439001848428804E-2"/>
    <n v="0.12620344994357599"/>
    <n v="1.88456985676085"/>
    <n v="2.8845698567608502"/>
  </r>
  <r>
    <s v="CMP1091"/>
    <s v="Seasonal Steals"/>
    <x v="2"/>
    <x v="90"/>
    <d v="2024-08-06T00:00:00"/>
    <n v="20891.2"/>
    <n v="18043.2"/>
    <n v="9612.7999999999993"/>
    <n v="537.952"/>
    <n v="1482.0640000000001"/>
    <x v="2"/>
    <x v="4"/>
    <x v="1"/>
    <n v="0.86367465727196102"/>
    <n v="0.53276580650882299"/>
    <n v="2.9814667021370901E-2"/>
    <n v="5.5962050599201098E-2"/>
    <n v="1.7550115995479201"/>
    <n v="2.7550115995479199"/>
  </r>
  <r>
    <s v="CMP1092"/>
    <s v="Deal of the Day"/>
    <x v="0"/>
    <x v="131"/>
    <d v="2024-05-19T00:00:00"/>
    <n v="22073.599999999999"/>
    <n v="18561.599999999999"/>
    <n v="2860.8"/>
    <n v="7826.72"/>
    <n v="9640.2080000000005"/>
    <x v="4"/>
    <x v="2"/>
    <x v="0"/>
    <n v="0.84089591185850998"/>
    <n v="0.154124644427205"/>
    <n v="0.42166192569606098"/>
    <n v="2.7358501118568199"/>
    <n v="0.23170472432896499"/>
    <n v="1.23170472432897"/>
  </r>
  <r>
    <s v="CMP1093"/>
    <s v="Flash Sale Frenzy"/>
    <x v="1"/>
    <x v="154"/>
    <d v="2024-02-23T00:00:00"/>
    <n v="43376"/>
    <n v="427.2"/>
    <n v="12.8"/>
    <n v="916.89599999999996"/>
    <n v="2511.8719999999998"/>
    <x v="0"/>
    <x v="4"/>
    <x v="1"/>
    <n v="9.8487642936185907E-3"/>
    <n v="2.9962546816479401E-2"/>
    <n v="2.1462921348314601"/>
    <n v="71.632499999999993"/>
    <n v="1.73953861724776"/>
    <n v="2.73953861724776"/>
  </r>
  <r>
    <s v="CMP1094"/>
    <s v="Seasonal Steals"/>
    <x v="3"/>
    <x v="110"/>
    <d v="2024-06-04T00:00:00"/>
    <n v="13300.8"/>
    <n v="12614.4"/>
    <n v="6144"/>
    <n v="815.05600000000004"/>
    <n v="1755.52"/>
    <x v="3"/>
    <x v="3"/>
    <x v="1"/>
    <n v="0.94839408155900395"/>
    <n v="0.48706240487062402"/>
    <n v="6.4613140537798097E-2"/>
    <n v="0.13265885416666701"/>
    <n v="1.1538642743566101"/>
    <n v="2.1538642743566099"/>
  </r>
  <r>
    <s v="CMP1095"/>
    <s v="Cart to Couch"/>
    <x v="2"/>
    <x v="101"/>
    <d v="2024-06-07T00:00:00"/>
    <n v="11936"/>
    <n v="4676.8"/>
    <n v="2841.6"/>
    <n v="6560.3519999999999"/>
    <n v="18211.936000000002"/>
    <x v="1"/>
    <x v="1"/>
    <x v="1"/>
    <n v="0.39182305630026798"/>
    <n v="0.607594936708861"/>
    <n v="1.4027437564146401"/>
    <n v="2.30868243243243"/>
    <n v="1.77606079673774"/>
    <n v="2.77606079673774"/>
  </r>
  <r>
    <s v="CMP1096"/>
    <s v="Cart to Couch"/>
    <x v="0"/>
    <x v="24"/>
    <d v="2024-03-15T00:00:00"/>
    <n v="74964.800000000003"/>
    <n v="40460.800000000003"/>
    <n v="21012.799999999999"/>
    <n v="4649.424"/>
    <n v="17986.223999999998"/>
    <x v="0"/>
    <x v="4"/>
    <x v="1"/>
    <n v="0.53973064691695305"/>
    <n v="0.51933723505219898"/>
    <n v="0.11491181588105"/>
    <n v="0.22126627579380201"/>
    <n v="2.8684843541909699"/>
    <n v="3.8684843541909699"/>
  </r>
  <r>
    <s v="CMP1097"/>
    <s v="Cart to Couch"/>
    <x v="3"/>
    <x v="209"/>
    <d v="2024-04-15T00:00:00"/>
    <n v="74500.800000000003"/>
    <n v="55768"/>
    <n v="22699.200000000001"/>
    <n v="5764.56"/>
    <n v="9440.1119999999992"/>
    <x v="4"/>
    <x v="0"/>
    <x v="1"/>
    <n v="0.74855572020703098"/>
    <n v="0.407029120642662"/>
    <n v="0.103366805336394"/>
    <n v="0.25395432438147603"/>
    <n v="0.63761189058661905"/>
    <n v="1.6376118905866199"/>
  </r>
  <r>
    <s v="CMP1098"/>
    <s v="Shop &amp; Share"/>
    <x v="3"/>
    <x v="166"/>
    <d v="2024-05-10T00:00:00"/>
    <n v="33840"/>
    <n v="26552"/>
    <n v="17494.400000000001"/>
    <n v="6288.0479999999998"/>
    <n v="24471.871999999999"/>
    <x v="3"/>
    <x v="0"/>
    <x v="1"/>
    <n v="0.78463356973995302"/>
    <n v="0.65887315456462803"/>
    <n v="0.23682012654414"/>
    <n v="0.359432046826413"/>
    <n v="2.8918074416734698"/>
    <n v="3.8918074416734698"/>
  </r>
  <r>
    <s v="CMP1099"/>
    <s v="Deal of the Day"/>
    <x v="0"/>
    <x v="104"/>
    <d v="2024-05-14T00:00:00"/>
    <n v="43438.400000000001"/>
    <n v="42588.800000000003"/>
    <n v="4032"/>
    <n v="910.81600000000003"/>
    <n v="1743.4880000000001"/>
    <x v="1"/>
    <x v="3"/>
    <x v="1"/>
    <n v="0.98044126855501101"/>
    <n v="9.4672777819520604E-2"/>
    <n v="2.1386279960928699E-2"/>
    <n v="0.22589682539682501"/>
    <n v="0.91420440571970596"/>
    <n v="1.9142044057197101"/>
  </r>
  <r>
    <s v="CMP1100"/>
    <s v="Seasonal Steals"/>
    <x v="2"/>
    <x v="177"/>
    <d v="2024-06-10T00:00:00"/>
    <n v="46112"/>
    <n v="3200"/>
    <n v="1139.2"/>
    <n v="4415.76"/>
    <n v="16234.4"/>
    <x v="4"/>
    <x v="0"/>
    <x v="1"/>
    <n v="6.9396252602359501E-2"/>
    <n v="0.35599999999999998"/>
    <n v="1.3799250000000001"/>
    <n v="3.8761938202247199"/>
    <n v="2.67646792398138"/>
    <n v="3.67646792398138"/>
  </r>
  <r>
    <s v="CMP1101"/>
    <s v="Deal of the Day"/>
    <x v="2"/>
    <x v="102"/>
    <d v="2024-02-06T00:00:00"/>
    <n v="27752"/>
    <n v="17224"/>
    <n v="4193.6000000000004"/>
    <n v="6056.2879999999996"/>
    <n v="10785.296"/>
    <x v="3"/>
    <x v="3"/>
    <x v="1"/>
    <n v="0.62063995387719795"/>
    <n v="0.243474222015792"/>
    <n v="0.351619136089178"/>
    <n v="1.44417397939718"/>
    <n v="0.78084265477467396"/>
    <n v="1.7808426547746701"/>
  </r>
  <r>
    <s v="CMP1102"/>
    <s v="Wishlist Wonders"/>
    <x v="2"/>
    <x v="193"/>
    <d v="2024-05-29T00:00:00"/>
    <n v="12435.2"/>
    <n v="1659.2"/>
    <n v="1392"/>
    <n v="4913.4399999999996"/>
    <n v="10386.912"/>
    <x v="2"/>
    <x v="2"/>
    <x v="1"/>
    <n v="0.13342768914050401"/>
    <n v="0.83895853423336497"/>
    <n v="2.9613307618129201"/>
    <n v="3.5297701149425298"/>
    <n v="1.11397961509655"/>
    <n v="2.1139796150965502"/>
  </r>
  <r>
    <s v="CMP1103"/>
    <s v="Seasonal Steals"/>
    <x v="1"/>
    <x v="179"/>
    <d v="2024-04-12T00:00:00"/>
    <n v="39310.400000000001"/>
    <n v="11857.6"/>
    <n v="7116.8"/>
    <n v="4833.9359999999997"/>
    <n v="17180.16"/>
    <x v="3"/>
    <x v="1"/>
    <x v="1"/>
    <n v="0.301640278399609"/>
    <n v="0.60018890837943595"/>
    <n v="0.40766563216839802"/>
    <n v="0.67922886690647499"/>
    <n v="2.5540727059688"/>
    <n v="3.5540727059688"/>
  </r>
  <r>
    <s v="CMP1104"/>
    <s v="Deal of the Day"/>
    <x v="1"/>
    <x v="10"/>
    <d v="2024-01-14T00:00:00"/>
    <n v="45225.599999999999"/>
    <n v="43222.400000000001"/>
    <n v="9048"/>
    <n v="5580.0959999999995"/>
    <n v="12900.144"/>
    <x v="4"/>
    <x v="2"/>
    <x v="1"/>
    <n v="0.95570650251185196"/>
    <n v="0.20933589990375401"/>
    <n v="0.12910194713852099"/>
    <n v="0.61672148541114102"/>
    <n v="1.3118139902969399"/>
    <n v="2.3118139902969399"/>
  </r>
  <r>
    <s v="CMP1105"/>
    <s v="Shop &amp; Share"/>
    <x v="0"/>
    <x v="66"/>
    <d v="2024-10-31T00:00:00"/>
    <n v="47128"/>
    <n v="37840"/>
    <n v="23852.799999999999"/>
    <n v="3392.0639999999999"/>
    <n v="12316.575999999999"/>
    <x v="2"/>
    <x v="1"/>
    <x v="0"/>
    <n v="0.80291970802919699"/>
    <n v="0.63035940803382695"/>
    <n v="8.9642283298097203E-2"/>
    <n v="0.14220821035685499"/>
    <n v="2.6309975283485199"/>
    <n v="3.6309975283485199"/>
  </r>
  <r>
    <s v="CMP1106"/>
    <s v="Flash Sale Frenzy"/>
    <x v="1"/>
    <x v="278"/>
    <d v="2024-04-03T00:00:00"/>
    <n v="76937.600000000006"/>
    <n v="30947.200000000001"/>
    <n v="24328"/>
    <n v="6798.576"/>
    <n v="19398.768"/>
    <x v="4"/>
    <x v="0"/>
    <x v="1"/>
    <n v="0.40223765753025797"/>
    <n v="0.786113121704064"/>
    <n v="0.21968307310516"/>
    <n v="0.27945478461032602"/>
    <n v="1.85335752663499"/>
    <n v="2.8533575266349902"/>
  </r>
  <r>
    <s v="CMP1107"/>
    <s v="Cart to Couch"/>
    <x v="3"/>
    <x v="206"/>
    <d v="2024-03-01T00:00:00"/>
    <n v="28782.400000000001"/>
    <n v="2011.2"/>
    <n v="884.8"/>
    <n v="1724.32"/>
    <n v="6304.1760000000004"/>
    <x v="2"/>
    <x v="0"/>
    <x v="0"/>
    <n v="6.9876035354939095E-2"/>
    <n v="0.43993635640413697"/>
    <n v="0.85735879077167898"/>
    <n v="1.9488245931283901"/>
    <n v="2.65603600259813"/>
    <n v="3.65603600259813"/>
  </r>
  <r>
    <s v="CMP1108"/>
    <s v="Shop &amp; Share"/>
    <x v="2"/>
    <x v="245"/>
    <d v="2024-03-16T00:00:00"/>
    <n v="9897.6"/>
    <n v="8092.8"/>
    <n v="3449.6"/>
    <n v="4809.2"/>
    <n v="18186.72"/>
    <x v="1"/>
    <x v="2"/>
    <x v="0"/>
    <n v="0.81765276430649902"/>
    <n v="0.42625543693159401"/>
    <n v="0.59425662317121397"/>
    <n v="1.3941326530612199"/>
    <n v="2.7816518339848599"/>
    <n v="3.7816518339848599"/>
  </r>
  <r>
    <s v="CMP1109"/>
    <s v="Deal of the Day"/>
    <x v="2"/>
    <x v="279"/>
    <d v="2024-08-19T00:00:00"/>
    <n v="12235.2"/>
    <n v="10756.8"/>
    <n v="5481.6"/>
    <n v="5531.3440000000001"/>
    <n v="20998.544000000002"/>
    <x v="1"/>
    <x v="3"/>
    <x v="1"/>
    <n v="0.87916830129462498"/>
    <n v="0.50959393128067798"/>
    <n v="0.51421835490108603"/>
    <n v="1.0090747227087"/>
    <n v="2.7962824224998499"/>
    <n v="3.7962824224998499"/>
  </r>
  <r>
    <s v="CMP1110"/>
    <s v="Deal of the Day"/>
    <x v="1"/>
    <x v="16"/>
    <d v="2024-06-19T00:00:00"/>
    <n v="30195.200000000001"/>
    <n v="22448"/>
    <n v="1188.8"/>
    <n v="1928.2239999999999"/>
    <n v="5181.9520000000002"/>
    <x v="3"/>
    <x v="3"/>
    <x v="0"/>
    <n v="0.74342941924544304"/>
    <n v="5.2957947255880301E-2"/>
    <n v="8.5897362794012805E-2"/>
    <n v="1.62199192462988"/>
    <n v="1.68742220820818"/>
    <n v="2.6874222082081798"/>
  </r>
  <r>
    <s v="CMP1111"/>
    <s v="Flash Sale Frenzy"/>
    <x v="0"/>
    <x v="170"/>
    <d v="2024-05-01T00:00:00"/>
    <n v="39702.400000000001"/>
    <n v="27963.200000000001"/>
    <n v="19150.400000000001"/>
    <n v="1992.72"/>
    <n v="5747.6639999999998"/>
    <x v="1"/>
    <x v="4"/>
    <x v="1"/>
    <n v="0.70432014185540404"/>
    <n v="0.68484293643073801"/>
    <n v="7.1262230359901604E-2"/>
    <n v="0.104056312139694"/>
    <n v="1.88433096471155"/>
    <n v="2.88433096471155"/>
  </r>
  <r>
    <s v="CMP1112"/>
    <s v="Shop &amp; Share"/>
    <x v="1"/>
    <x v="209"/>
    <d v="2024-04-26T00:00:00"/>
    <n v="4270.3999999999996"/>
    <n v="2278.4"/>
    <n v="1139.2"/>
    <n v="2614.6239999999998"/>
    <n v="10365.744000000001"/>
    <x v="1"/>
    <x v="0"/>
    <x v="1"/>
    <n v="0.53353315848632499"/>
    <n v="0.5"/>
    <n v="1.1475702247191"/>
    <n v="2.2951404494381999"/>
    <n v="2.9645256832340001"/>
    <n v="3.9645256832340001"/>
  </r>
  <r>
    <s v="CMP1113"/>
    <s v="Wishlist Wonders"/>
    <x v="2"/>
    <x v="155"/>
    <d v="2024-05-11T00:00:00"/>
    <n v="11233.6"/>
    <n v="620.79999999999995"/>
    <n v="601.6"/>
    <n v="6850.9440000000004"/>
    <n v="25547.088"/>
    <x v="1"/>
    <x v="3"/>
    <x v="1"/>
    <n v="5.5262783079333397E-2"/>
    <n v="0.96907216494845405"/>
    <n v="11.0356701030928"/>
    <n v="11.387872340425499"/>
    <n v="2.7289880051566602"/>
    <n v="3.7289880051566602"/>
  </r>
  <r>
    <s v="CMP1114"/>
    <s v="Flash Sale Frenzy"/>
    <x v="2"/>
    <x v="227"/>
    <d v="2024-10-25T00:00:00"/>
    <n v="71260.800000000003"/>
    <n v="5640"/>
    <n v="3518.4"/>
    <n v="4022.3519999999999"/>
    <n v="12134.8"/>
    <x v="4"/>
    <x v="4"/>
    <x v="1"/>
    <n v="7.9145897884952202E-2"/>
    <n v="0.62382978723404303"/>
    <n v="0.71318297872340397"/>
    <n v="1.14323328785812"/>
    <n v="2.0168418875324701"/>
    <n v="3.0168418875324701"/>
  </r>
  <r>
    <s v="CMP1115"/>
    <s v="Wishlist Wonders"/>
    <x v="1"/>
    <x v="187"/>
    <d v="2024-08-10T00:00:00"/>
    <n v="29060.799999999999"/>
    <n v="5259.2"/>
    <n v="793.6"/>
    <n v="2724.5120000000002"/>
    <n v="9580.4320000000007"/>
    <x v="2"/>
    <x v="4"/>
    <x v="1"/>
    <n v="0.18097230633705899"/>
    <n v="0.15089747490112601"/>
    <n v="0.51804685123212701"/>
    <n v="3.4331048387096801"/>
    <n v="2.5163845855698201"/>
    <n v="3.5163845855698201"/>
  </r>
  <r>
    <s v="CMP1116"/>
    <s v="Cart to Couch"/>
    <x v="3"/>
    <x v="105"/>
    <d v="2024-09-28T00:00:00"/>
    <n v="76793.600000000006"/>
    <n v="20875.2"/>
    <n v="14270.4"/>
    <n v="4051.3760000000002"/>
    <n v="15380.448"/>
    <x v="3"/>
    <x v="2"/>
    <x v="1"/>
    <n v="0.27183515292941102"/>
    <n v="0.68360542653483602"/>
    <n v="0.194076032804476"/>
    <n v="0.28390066150913801"/>
    <n v="2.7963516592881001"/>
    <n v="3.7963516592881001"/>
  </r>
  <r>
    <s v="CMP1117"/>
    <s v="Cart to Couch"/>
    <x v="2"/>
    <x v="249"/>
    <d v="2024-03-23T00:00:00"/>
    <n v="58700.800000000003"/>
    <n v="32440"/>
    <n v="14907.2"/>
    <n v="4762.9440000000004"/>
    <n v="9170.0640000000003"/>
    <x v="3"/>
    <x v="1"/>
    <x v="0"/>
    <n v="0.55263301351940697"/>
    <n v="0.45953144266337898"/>
    <n v="0.14682318125770699"/>
    <n v="0.319506278845122"/>
    <n v="0.925293263998065"/>
    <n v="1.92529326399806"/>
  </r>
  <r>
    <s v="CMP1118"/>
    <s v="Wishlist Wonders"/>
    <x v="3"/>
    <x v="64"/>
    <d v="2024-03-05T00:00:00"/>
    <n v="33665.599999999999"/>
    <n v="25153.599999999999"/>
    <n v="24222.400000000001"/>
    <n v="7376.4319999999998"/>
    <n v="24800.704000000002"/>
    <x v="4"/>
    <x v="2"/>
    <x v="1"/>
    <n v="0.747160306069103"/>
    <n v="0.96297945423319098"/>
    <n v="0.29325551809681299"/>
    <n v="0.30452936125239399"/>
    <n v="2.3621544942053299"/>
    <n v="3.3621544942053299"/>
  </r>
  <r>
    <s v="CMP1119"/>
    <s v="Cart to Couch"/>
    <x v="2"/>
    <x v="139"/>
    <d v="2024-06-03T00:00:00"/>
    <n v="22292.799999999999"/>
    <n v="7953.6"/>
    <n v="710.4"/>
    <n v="6609.4560000000001"/>
    <n v="14385.904"/>
    <x v="2"/>
    <x v="1"/>
    <x v="1"/>
    <n v="0.35677887030790201"/>
    <n v="8.9318044659022294E-2"/>
    <n v="0.83100181050090505"/>
    <n v="9.3038513513513497"/>
    <n v="1.17656400163644"/>
    <n v="2.1765640016364398"/>
  </r>
  <r>
    <s v="CMP1120"/>
    <s v="Flash Sale Frenzy"/>
    <x v="1"/>
    <x v="113"/>
    <d v="2024-04-10T00:00:00"/>
    <n v="1872"/>
    <n v="720"/>
    <n v="312"/>
    <n v="7413.232"/>
    <n v="8975.6319999999996"/>
    <x v="0"/>
    <x v="4"/>
    <x v="1"/>
    <n v="0.38461538461538503"/>
    <n v="0.43333333333333302"/>
    <n v="10.2961555555556"/>
    <n v="23.760358974359001"/>
    <n v="0.21075827655198201"/>
    <n v="1.21075827655198"/>
  </r>
  <r>
    <s v="CMP1121"/>
    <s v="Shop &amp; Share"/>
    <x v="3"/>
    <x v="70"/>
    <d v="2024-04-06T00:00:00"/>
    <n v="58529.599999999999"/>
    <n v="32809.599999999999"/>
    <n v="13632"/>
    <n v="6754.192"/>
    <n v="21173.727999999999"/>
    <x v="2"/>
    <x v="1"/>
    <x v="1"/>
    <n v="0.56056422733112798"/>
    <n v="0.41548814980981202"/>
    <n v="0.205860236028479"/>
    <n v="0.49546596244131502"/>
    <n v="2.1349017025278498"/>
    <n v="3.1349017025278498"/>
  </r>
  <r>
    <s v="CMP1122"/>
    <s v="Wishlist Wonders"/>
    <x v="1"/>
    <x v="233"/>
    <d v="2024-05-28T00:00:00"/>
    <n v="30795.200000000001"/>
    <n v="10710.4"/>
    <n v="2865.6"/>
    <n v="1466.8320000000001"/>
    <n v="3075.6480000000001"/>
    <x v="3"/>
    <x v="3"/>
    <x v="0"/>
    <n v="0.34779446147451498"/>
    <n v="0.267553032566477"/>
    <n v="0.13695398864654901"/>
    <n v="0.51187604690117305"/>
    <n v="1.09679636113747"/>
    <n v="2.09679636113747"/>
  </r>
  <r>
    <s v="CMP1123"/>
    <s v="Shop &amp; Share"/>
    <x v="2"/>
    <x v="74"/>
    <d v="2024-06-30T00:00:00"/>
    <n v="24851.200000000001"/>
    <n v="9049.6"/>
    <n v="2803.2"/>
    <n v="3226.096"/>
    <n v="4313.9359999999997"/>
    <x v="0"/>
    <x v="2"/>
    <x v="1"/>
    <n v="0.36415142930723698"/>
    <n v="0.30975954738331002"/>
    <n v="0.35649045261668999"/>
    <n v="1.1508618721461199"/>
    <n v="0.33720013291606898"/>
    <n v="1.3372001329160701"/>
  </r>
  <r>
    <s v="CMP1124"/>
    <s v="Deal of the Day"/>
    <x v="0"/>
    <x v="99"/>
    <d v="2024-06-01T00:00:00"/>
    <n v="71929.600000000006"/>
    <n v="40915.199999999997"/>
    <n v="21105.599999999999"/>
    <n v="3896.2080000000001"/>
    <n v="5435.4560000000001"/>
    <x v="3"/>
    <x v="2"/>
    <x v="0"/>
    <n v="0.56882284900791902"/>
    <n v="0.51583763491318602"/>
    <n v="9.5226419521351496E-2"/>
    <n v="0.18460541278144199"/>
    <n v="0.39506309724737498"/>
    <n v="1.3950630972473701"/>
  </r>
  <r>
    <s v="CMP1125"/>
    <s v="Wishlist Wonders"/>
    <x v="1"/>
    <x v="70"/>
    <d v="2024-03-23T00:00:00"/>
    <n v="31388.799999999999"/>
    <n v="30726.400000000001"/>
    <n v="29468.799999999999"/>
    <n v="3549.6959999999999"/>
    <n v="5398.3360000000002"/>
    <x v="3"/>
    <x v="4"/>
    <x v="0"/>
    <n v="0.97889693138954004"/>
    <n v="0.95907102686940204"/>
    <n v="0.11552593209747999"/>
    <n v="0.12045607557823899"/>
    <n v="0.52078825905091597"/>
    <n v="1.5207882590509201"/>
  </r>
  <r>
    <s v="CMP1126"/>
    <s v="Cart to Couch"/>
    <x v="0"/>
    <x v="238"/>
    <d v="2024-08-20T00:00:00"/>
    <n v="2516.8000000000002"/>
    <n v="2512"/>
    <n v="816"/>
    <n v="5078.3360000000002"/>
    <n v="9717.616"/>
    <x v="4"/>
    <x v="1"/>
    <x v="1"/>
    <n v="0.99809281627463398"/>
    <n v="0.32484076433121001"/>
    <n v="2.0216305732484101"/>
    <n v="6.22345098039216"/>
    <n v="0.91354333387944398"/>
    <n v="1.9135433338794401"/>
  </r>
  <r>
    <s v="CMP1127"/>
    <s v="Cart to Couch"/>
    <x v="1"/>
    <x v="192"/>
    <d v="2024-01-30T00:00:00"/>
    <n v="18609.599999999999"/>
    <n v="14702.4"/>
    <n v="1332.8"/>
    <n v="614.06399999999996"/>
    <n v="912.36800000000005"/>
    <x v="3"/>
    <x v="4"/>
    <x v="1"/>
    <n v="0.790043848336343"/>
    <n v="9.0651866361954506E-2"/>
    <n v="4.1766242246163897E-2"/>
    <n v="0.460732292917167"/>
    <n v="0.48578649782433098"/>
    <n v="1.48578649782433"/>
  </r>
  <r>
    <s v="CMP1128"/>
    <s v="Deal of the Day"/>
    <x v="0"/>
    <x v="241"/>
    <d v="2024-01-22T00:00:00"/>
    <n v="76385.600000000006"/>
    <n v="3795.2"/>
    <n v="756.8"/>
    <n v="4155.76"/>
    <n v="4987.5680000000002"/>
    <x v="4"/>
    <x v="4"/>
    <x v="1"/>
    <n v="4.9684757336461299E-2"/>
    <n v="0.199409780775717"/>
    <n v="1.0950042158516"/>
    <n v="5.4912262156448204"/>
    <n v="0.20015785319652701"/>
    <n v="1.20015785319653"/>
  </r>
  <r>
    <s v="CMP1129"/>
    <s v="Seasonal Steals"/>
    <x v="2"/>
    <x v="244"/>
    <d v="2024-04-22T00:00:00"/>
    <n v="11185.6"/>
    <n v="2662.4"/>
    <n v="2198.4"/>
    <n v="2826.8159999999998"/>
    <n v="5732.24"/>
    <x v="1"/>
    <x v="0"/>
    <x v="0"/>
    <n v="0.23802031182949501"/>
    <n v="0.82572115384615397"/>
    <n v="1.06175480769231"/>
    <n v="1.28585152838428"/>
    <n v="1.02780796486223"/>
    <n v="2.0278079648622298"/>
  </r>
  <r>
    <s v="CMP1130"/>
    <s v="Cart to Couch"/>
    <x v="3"/>
    <x v="181"/>
    <d v="2024-09-04T00:00:00"/>
    <n v="11217.6"/>
    <n v="5590.4"/>
    <n v="4900.8"/>
    <n v="5336.7359999999999"/>
    <n v="17139.919999999998"/>
    <x v="3"/>
    <x v="2"/>
    <x v="1"/>
    <n v="0.49835972043930998"/>
    <n v="0.87664567830566698"/>
    <n v="0.954625071551231"/>
    <n v="1.08895200783546"/>
    <n v="2.2116859443674901"/>
    <n v="3.2116859443674901"/>
  </r>
  <r>
    <s v="CMP1131"/>
    <s v="Flash Sale Frenzy"/>
    <x v="2"/>
    <x v="114"/>
    <d v="2024-01-20T00:00:00"/>
    <n v="70985.600000000006"/>
    <n v="36587.199999999997"/>
    <n v="14828.8"/>
    <n v="6979.5680000000002"/>
    <n v="8500.24"/>
    <x v="3"/>
    <x v="2"/>
    <x v="0"/>
    <n v="0.51541721137808205"/>
    <n v="0.405300214282591"/>
    <n v="0.19076529496654601"/>
    <n v="0.47067652136383298"/>
    <n v="0.21787480256657701"/>
    <n v="1.21787480256658"/>
  </r>
  <r>
    <s v="CMP1132"/>
    <s v="Deal of the Day"/>
    <x v="2"/>
    <x v="66"/>
    <d v="2024-10-31T00:00:00"/>
    <n v="38448"/>
    <n v="7963.2"/>
    <n v="7056"/>
    <n v="320.20800000000003"/>
    <n v="640.24"/>
    <x v="3"/>
    <x v="0"/>
    <x v="1"/>
    <n v="0.20711610486891399"/>
    <n v="0.886075949367089"/>
    <n v="4.0210970464135E-2"/>
    <n v="4.5380952380952397E-2"/>
    <n v="0.99945035726777598"/>
    <n v="1.99945035726778"/>
  </r>
  <r>
    <s v="CMP1133"/>
    <s v="Deal of the Day"/>
    <x v="3"/>
    <x v="146"/>
    <d v="2024-03-19T00:00:00"/>
    <n v="66500.800000000003"/>
    <n v="48235.199999999997"/>
    <n v="13905.6"/>
    <n v="5179.3599999999997"/>
    <n v="15055.824000000001"/>
    <x v="0"/>
    <x v="0"/>
    <x v="1"/>
    <n v="0.72533262757741301"/>
    <n v="0.28828739178027701"/>
    <n v="0.107377185126215"/>
    <n v="0.37246576918651503"/>
    <n v="1.90688888202403"/>
    <n v="2.9068888820240302"/>
  </r>
  <r>
    <s v="CMP1134"/>
    <s v="Seasonal Steals"/>
    <x v="0"/>
    <x v="60"/>
    <d v="2024-09-21T00:00:00"/>
    <n v="60590.400000000001"/>
    <n v="11220.8"/>
    <n v="2585.6"/>
    <n v="1175.7919999999999"/>
    <n v="4456.3680000000004"/>
    <x v="2"/>
    <x v="2"/>
    <x v="1"/>
    <n v="0.18519105336819"/>
    <n v="0.230429202908883"/>
    <n v="0.10478682446884401"/>
    <n v="0.45474628712871301"/>
    <n v="2.79009892906228"/>
    <n v="3.79009892906228"/>
  </r>
  <r>
    <s v="CMP1135"/>
    <s v="Flash Sale Frenzy"/>
    <x v="2"/>
    <x v="161"/>
    <d v="2024-09-14T00:00:00"/>
    <n v="35097.599999999999"/>
    <n v="24424"/>
    <n v="2304"/>
    <n v="3796.6880000000001"/>
    <n v="6193.44"/>
    <x v="1"/>
    <x v="3"/>
    <x v="1"/>
    <n v="0.69588803792851905"/>
    <n v="9.4333442515558502E-2"/>
    <n v="0.15544906649197501"/>
    <n v="1.64786805555556"/>
    <n v="0.63127441601732903"/>
    <n v="1.63127441601733"/>
  </r>
  <r>
    <s v="CMP1136"/>
    <s v="Shop &amp; Share"/>
    <x v="3"/>
    <x v="231"/>
    <d v="2024-03-12T00:00:00"/>
    <n v="12363.2"/>
    <n v="5864"/>
    <n v="3662.4"/>
    <n v="3698.768"/>
    <n v="8255.3279999999995"/>
    <x v="2"/>
    <x v="1"/>
    <x v="0"/>
    <n v="0.474310858030283"/>
    <n v="0.62455661664392903"/>
    <n v="0.63075852660300102"/>
    <n v="1.0099301004805601"/>
    <n v="1.2319128964022601"/>
    <n v="2.2319128964022599"/>
  </r>
  <r>
    <s v="CMP1137"/>
    <s v="Deal of the Day"/>
    <x v="0"/>
    <x v="236"/>
    <d v="2024-11-11T00:00:00"/>
    <n v="73436.800000000003"/>
    <n v="29355.200000000001"/>
    <n v="15539.2"/>
    <n v="1471.3920000000001"/>
    <n v="4743.5839999999998"/>
    <x v="1"/>
    <x v="4"/>
    <x v="1"/>
    <n v="0.39973419321103298"/>
    <n v="0.52935084755000805"/>
    <n v="5.0123725949746602E-2"/>
    <n v="9.4689044481054405E-2"/>
    <n v="2.2238750788369099"/>
    <n v="3.2238750788369099"/>
  </r>
  <r>
    <s v="CMP1138"/>
    <s v="Cart to Couch"/>
    <x v="0"/>
    <x v="232"/>
    <d v="2024-10-23T00:00:00"/>
    <n v="75825.600000000006"/>
    <n v="9809.6"/>
    <n v="5478.4"/>
    <n v="4073.616"/>
    <n v="15881.936"/>
    <x v="4"/>
    <x v="2"/>
    <x v="0"/>
    <n v="0.129370555590724"/>
    <n v="0.55847333224596296"/>
    <n v="0.415268308595661"/>
    <n v="0.74357768691588799"/>
    <n v="2.8987317410379401"/>
    <n v="3.8987317410379401"/>
  </r>
  <r>
    <s v="CMP1139"/>
    <s v="Deal of the Day"/>
    <x v="3"/>
    <x v="16"/>
    <d v="2024-06-24T00:00:00"/>
    <n v="25014.400000000001"/>
    <n v="1403.2"/>
    <n v="462.4"/>
    <n v="5725.1040000000003"/>
    <n v="20173.808000000001"/>
    <x v="2"/>
    <x v="4"/>
    <x v="0"/>
    <n v="5.60956888832033E-2"/>
    <n v="0.32953249714937299"/>
    <n v="4.0800342075256602"/>
    <n v="12.3812802768166"/>
    <n v="2.5237452455012201"/>
    <n v="3.5237452455012201"/>
  </r>
  <r>
    <s v="CMP1140"/>
    <s v="Wishlist Wonders"/>
    <x v="0"/>
    <x v="205"/>
    <d v="2024-07-18T00:00:00"/>
    <n v="7345.6"/>
    <n v="6537.6"/>
    <n v="5457.6"/>
    <n v="5527.84"/>
    <n v="8957.0239999999994"/>
    <x v="3"/>
    <x v="2"/>
    <x v="1"/>
    <n v="0.89000217817468996"/>
    <n v="0.83480176211453705"/>
    <n v="0.84554576603034703"/>
    <n v="1.01287012606274"/>
    <n v="0.620347911661698"/>
    <n v="1.6203479116616999"/>
  </r>
  <r>
    <s v="CMP1141"/>
    <s v="Deal of the Day"/>
    <x v="3"/>
    <x v="165"/>
    <d v="2024-05-16T00:00:00"/>
    <n v="6134.4"/>
    <n v="3001.6"/>
    <n v="1737.6"/>
    <n v="1602.2239999999999"/>
    <n v="4026.16"/>
    <x v="1"/>
    <x v="2"/>
    <x v="1"/>
    <n v="0.48930620761606702"/>
    <n v="0.57889125799573604"/>
    <n v="0.53378997867803801"/>
    <n v="0.92209023941068102"/>
    <n v="1.51285712859126"/>
    <n v="2.5128571285912602"/>
  </r>
  <r>
    <s v="CMP1142"/>
    <s v="Deal of the Day"/>
    <x v="2"/>
    <x v="191"/>
    <d v="2024-06-28T00:00:00"/>
    <n v="60172.800000000003"/>
    <n v="50553.599999999999"/>
    <n v="21224"/>
    <n v="6091.4080000000004"/>
    <n v="17870.511999999999"/>
    <x v="4"/>
    <x v="2"/>
    <x v="0"/>
    <n v="0.84014039566049803"/>
    <n v="0.41983162425623499"/>
    <n v="0.120494049879732"/>
    <n v="0.28700565397663003"/>
    <n v="1.9337243540409701"/>
    <n v="2.9337243540409701"/>
  </r>
  <r>
    <s v="CMP1143"/>
    <s v="Cart to Couch"/>
    <x v="1"/>
    <x v="222"/>
    <d v="2024-02-16T00:00:00"/>
    <n v="76046.399999999994"/>
    <n v="42115.199999999997"/>
    <n v="39124.800000000003"/>
    <n v="5523.7120000000004"/>
    <n v="11384.672"/>
    <x v="2"/>
    <x v="4"/>
    <x v="0"/>
    <n v="0.55380925329798603"/>
    <n v="0.92899475723729197"/>
    <n v="0.13115720689917201"/>
    <n v="0.141181859076596"/>
    <n v="1.0610545951707799"/>
    <n v="2.0610545951707802"/>
  </r>
  <r>
    <s v="CMP1144"/>
    <s v="Flash Sale Frenzy"/>
    <x v="3"/>
    <x v="184"/>
    <d v="2024-08-29T00:00:00"/>
    <n v="39164.800000000003"/>
    <n v="17302.400000000001"/>
    <n v="14324.8"/>
    <n v="5307.4880000000003"/>
    <n v="11731.984"/>
    <x v="4"/>
    <x v="0"/>
    <x v="0"/>
    <n v="0.44178445951466599"/>
    <n v="0.82790826706121701"/>
    <n v="0.30674865914555199"/>
    <n v="0.37051044342678402"/>
    <n v="1.21045888375066"/>
    <n v="2.2104588837506598"/>
  </r>
  <r>
    <s v="CMP1145"/>
    <s v="Deal of the Day"/>
    <x v="3"/>
    <x v="80"/>
    <d v="2024-11-04T00:00:00"/>
    <n v="57598.400000000001"/>
    <n v="32275.200000000001"/>
    <n v="28168"/>
    <n v="1084.5440000000001"/>
    <n v="1557.3440000000001"/>
    <x v="0"/>
    <x v="4"/>
    <x v="1"/>
    <n v="0.56034889858051595"/>
    <n v="0.87274439817568905"/>
    <n v="3.3603014078921301E-2"/>
    <n v="3.8502698097131499E-2"/>
    <n v="0.43594358550690399"/>
    <n v="1.4359435855069"/>
  </r>
  <r>
    <s v="CMP1146"/>
    <s v="Seasonal Steals"/>
    <x v="3"/>
    <x v="109"/>
    <d v="2024-09-26T00:00:00"/>
    <n v="41091.199999999997"/>
    <n v="22860.799999999999"/>
    <n v="11779.2"/>
    <n v="2836.5439999999999"/>
    <n v="6530.5919999999996"/>
    <x v="4"/>
    <x v="0"/>
    <x v="1"/>
    <n v="0.55634296394361804"/>
    <n v="0.51525755879059398"/>
    <n v="0.124078947368421"/>
    <n v="0.240809562618854"/>
    <n v="1.3023059046501699"/>
    <n v="2.3023059046501699"/>
  </r>
  <r>
    <s v="CMP1147"/>
    <s v="Seasonal Steals"/>
    <x v="2"/>
    <x v="33"/>
    <d v="2024-06-13T00:00:00"/>
    <n v="27193.599999999999"/>
    <n v="20020.8"/>
    <n v="1971.2"/>
    <n v="3121.4560000000001"/>
    <n v="11005.28"/>
    <x v="3"/>
    <x v="0"/>
    <x v="1"/>
    <n v="0.73623205460108299"/>
    <n v="9.8457604091744602E-2"/>
    <n v="0.15591065292096201"/>
    <n v="1.58353084415584"/>
    <n v="2.52568801226094"/>
    <n v="3.52568801226094"/>
  </r>
  <r>
    <s v="CMP1148"/>
    <s v="Seasonal Steals"/>
    <x v="3"/>
    <x v="113"/>
    <d v="2024-04-21T00:00:00"/>
    <n v="33672"/>
    <n v="3944"/>
    <n v="438.4"/>
    <n v="5863.0559999999996"/>
    <n v="21305.599999999999"/>
    <x v="3"/>
    <x v="2"/>
    <x v="0"/>
    <n v="0.11712995961035901"/>
    <n v="0.11115618661257599"/>
    <n v="1.4865760649087201"/>
    <n v="13.3737591240876"/>
    <n v="2.6338728471977801"/>
    <n v="3.6338728471977801"/>
  </r>
  <r>
    <s v="CMP1149"/>
    <s v="Wishlist Wonders"/>
    <x v="2"/>
    <x v="27"/>
    <d v="2024-03-25T00:00:00"/>
    <n v="16555.2"/>
    <n v="16081.6"/>
    <n v="14668.8"/>
    <n v="630.72"/>
    <n v="1008.6079999999999"/>
    <x v="1"/>
    <x v="4"/>
    <x v="1"/>
    <n v="0.97139267420508402"/>
    <n v="0.91214804497065005"/>
    <n v="3.92199781116307E-2"/>
    <n v="4.2997382198952903E-2"/>
    <n v="0.59913749365804103"/>
    <n v="1.59913749365804"/>
  </r>
  <r>
    <s v="CMP1150"/>
    <s v="Shop &amp; Share"/>
    <x v="1"/>
    <x v="63"/>
    <d v="2024-06-29T00:00:00"/>
    <n v="30737.599999999999"/>
    <n v="27819.200000000001"/>
    <n v="22347.200000000001"/>
    <n v="2898.4"/>
    <n v="9933.3439999999991"/>
    <x v="0"/>
    <x v="4"/>
    <x v="1"/>
    <n v="0.90505439591900505"/>
    <n v="0.80330131707597596"/>
    <n v="0.104187036291482"/>
    <n v="0.12969857521300199"/>
    <n v="2.4271818934584601"/>
    <n v="3.4271818934584601"/>
  </r>
  <r>
    <s v="CMP1151"/>
    <s v="Seasonal Steals"/>
    <x v="1"/>
    <x v="6"/>
    <d v="2024-04-11T00:00:00"/>
    <n v="31220.799999999999"/>
    <n v="23148.799999999999"/>
    <n v="16798.400000000001"/>
    <n v="4806.5919999999996"/>
    <n v="14088.24"/>
    <x v="1"/>
    <x v="1"/>
    <x v="0"/>
    <n v="0.74145441500538101"/>
    <n v="0.72567044512026502"/>
    <n v="0.207638927287808"/>
    <n v="0.28613391751595402"/>
    <n v="1.9310247260429001"/>
    <n v="2.9310247260428999"/>
  </r>
  <r>
    <s v="CMP1152"/>
    <s v="Flash Sale Frenzy"/>
    <x v="2"/>
    <x v="177"/>
    <d v="2024-06-28T00:00:00"/>
    <n v="11336"/>
    <n v="7753.6"/>
    <n v="411.2"/>
    <n v="1171.904"/>
    <n v="1775.3119999999999"/>
    <x v="4"/>
    <x v="4"/>
    <x v="1"/>
    <n v="0.68398023994354296"/>
    <n v="5.3033429632686799E-2"/>
    <n v="0.151143210895584"/>
    <n v="2.84996108949416"/>
    <n v="0.51489541805472105"/>
    <n v="1.5148954180547201"/>
  </r>
  <r>
    <s v="CMP1153"/>
    <s v="Deal of the Day"/>
    <x v="3"/>
    <x v="275"/>
    <d v="2024-04-11T00:00:00"/>
    <n v="16673.599999999999"/>
    <n v="5816"/>
    <n v="3680"/>
    <n v="3717.1680000000001"/>
    <n v="10960.304"/>
    <x v="2"/>
    <x v="1"/>
    <x v="1"/>
    <n v="0.34881489300451002"/>
    <n v="0.63273727647867894"/>
    <n v="0.63912792297111398"/>
    <n v="1.0101"/>
    <n v="1.9485629920412499"/>
    <n v="2.9485629920412499"/>
  </r>
  <r>
    <s v="CMP1154"/>
    <s v="Flash Sale Frenzy"/>
    <x v="0"/>
    <x v="241"/>
    <d v="2024-01-11T00:00:00"/>
    <n v="14070.4"/>
    <n v="12710.4"/>
    <n v="1899.2"/>
    <n v="6175.3440000000001"/>
    <n v="18200.495999999999"/>
    <x v="3"/>
    <x v="3"/>
    <x v="0"/>
    <n v="0.90334318853763895"/>
    <n v="0.149420946626385"/>
    <n v="0.485849697885196"/>
    <n v="3.2515501263690001"/>
    <n v="1.9472845561316099"/>
    <n v="2.9472845561316099"/>
  </r>
  <r>
    <s v="CMP1155"/>
    <s v="Shop &amp; Share"/>
    <x v="3"/>
    <x v="97"/>
    <d v="2024-10-05T00:00:00"/>
    <n v="3288"/>
    <n v="1011.2"/>
    <n v="492.8"/>
    <n v="7543.7280000000001"/>
    <n v="24731.360000000001"/>
    <x v="3"/>
    <x v="4"/>
    <x v="0"/>
    <n v="0.30754257907542598"/>
    <n v="0.487341772151899"/>
    <n v="7.4601740506329097"/>
    <n v="15.3078896103896"/>
    <n v="2.27840028166445"/>
    <n v="3.27840028166445"/>
  </r>
  <r>
    <s v="CMP1156"/>
    <s v="Shop &amp; Share"/>
    <x v="1"/>
    <x v="109"/>
    <d v="2024-09-16T00:00:00"/>
    <n v="19875.2"/>
    <n v="451.2"/>
    <n v="65.599999999999994"/>
    <n v="2360.5920000000001"/>
    <n v="6217.2640000000001"/>
    <x v="3"/>
    <x v="4"/>
    <x v="1"/>
    <n v="2.27016583480921E-2"/>
    <n v="0.145390070921986"/>
    <n v="5.2318085106382997"/>
    <n v="35.984634146341499"/>
    <n v="1.6337732229881301"/>
    <n v="2.6337732229881299"/>
  </r>
  <r>
    <s v="CMP1157"/>
    <s v="Shop &amp; Share"/>
    <x v="0"/>
    <x v="235"/>
    <d v="2024-05-02T00:00:00"/>
    <n v="31112"/>
    <n v="3214.4"/>
    <n v="1539.2"/>
    <n v="353.392"/>
    <n v="1031.152"/>
    <x v="1"/>
    <x v="3"/>
    <x v="0"/>
    <n v="0.10331704808434"/>
    <n v="0.47884519661523101"/>
    <n v="0.109940268790443"/>
    <n v="0.229594594594595"/>
    <n v="1.91787024041291"/>
    <n v="2.9178702404129102"/>
  </r>
  <r>
    <s v="CMP1158"/>
    <s v="Cart to Couch"/>
    <x v="0"/>
    <x v="146"/>
    <d v="2024-03-15T00:00:00"/>
    <n v="22331.200000000001"/>
    <n v="10779.2"/>
    <n v="9691.2000000000007"/>
    <n v="2304.8000000000002"/>
    <n v="5486.4319999999998"/>
    <x v="1"/>
    <x v="3"/>
    <x v="1"/>
    <n v="0.48269685462491901"/>
    <n v="0.899064865667211"/>
    <n v="0.21381920736232701"/>
    <n v="0.23782400528314299"/>
    <n v="1.3804373481430099"/>
    <n v="2.3804373481430101"/>
  </r>
  <r>
    <s v="CMP1159"/>
    <s v="Cart to Couch"/>
    <x v="1"/>
    <x v="283"/>
    <d v="2024-10-24T00:00:00"/>
    <n v="67388.800000000003"/>
    <n v="56660.800000000003"/>
    <n v="34529.599999999999"/>
    <n v="4439.5680000000002"/>
    <n v="8072.5439999999999"/>
    <x v="0"/>
    <x v="3"/>
    <x v="1"/>
    <n v="0.84080440666698297"/>
    <n v="0.60940897410555395"/>
    <n v="7.8353429531528004E-2"/>
    <n v="0.128572818683101"/>
    <n v="0.81831745791482402"/>
    <n v="1.81831745791482"/>
  </r>
  <r>
    <s v="CMP1160"/>
    <s v="Cart to Couch"/>
    <x v="3"/>
    <x v="108"/>
    <d v="2024-06-26T00:00:00"/>
    <n v="70043.199999999997"/>
    <n v="6438.4"/>
    <n v="4388.8"/>
    <n v="7773.8239999999996"/>
    <n v="28224.464"/>
    <x v="4"/>
    <x v="4"/>
    <x v="1"/>
    <n v="9.1920414829705102E-2"/>
    <n v="0.68166003976143197"/>
    <n v="1.20741550695825"/>
    <n v="1.7712869121399899"/>
    <n v="2.6307053002486298"/>
    <n v="3.6307053002486298"/>
  </r>
  <r>
    <s v="CMP1161"/>
    <s v="Cart to Couch"/>
    <x v="3"/>
    <x v="250"/>
    <d v="2024-07-03T00:00:00"/>
    <n v="39288"/>
    <n v="29123.200000000001"/>
    <n v="8252.7999999999993"/>
    <n v="2518"/>
    <n v="7513.28"/>
    <x v="2"/>
    <x v="2"/>
    <x v="1"/>
    <n v="0.74127468947261299"/>
    <n v="0.283375453246896"/>
    <n v="8.6460279090209896E-2"/>
    <n v="0.30510856921287299"/>
    <n v="1.98382843526608"/>
    <n v="2.98382843526608"/>
  </r>
  <r>
    <s v="CMP1162"/>
    <s v="Seasonal Steals"/>
    <x v="2"/>
    <x v="129"/>
    <d v="2024-10-17T00:00:00"/>
    <n v="34177.599999999999"/>
    <n v="24496"/>
    <n v="12494.4"/>
    <n v="6932.0959999999995"/>
    <n v="26416.207999999999"/>
    <x v="2"/>
    <x v="4"/>
    <x v="1"/>
    <n v="0.71672674500257505"/>
    <n v="0.51005878510777303"/>
    <n v="0.28298889614631001"/>
    <n v="0.55481623767447796"/>
    <n v="2.8107100651808601"/>
    <n v="3.8107100651808601"/>
  </r>
  <r>
    <s v="CMP1163"/>
    <s v="Deal of the Day"/>
    <x v="1"/>
    <x v="293"/>
    <d v="2024-02-01T00:00:00"/>
    <n v="31246.400000000001"/>
    <n v="2731.2"/>
    <n v="232"/>
    <n v="1276.6880000000001"/>
    <n v="1649.7280000000001"/>
    <x v="3"/>
    <x v="1"/>
    <x v="1"/>
    <n v="8.7408469455681301E-2"/>
    <n v="8.4944346807264204E-2"/>
    <n v="0.46744581136496799"/>
    <n v="5.5029655172413801"/>
    <n v="0.29219355081272802"/>
    <n v="1.29219355081273"/>
  </r>
  <r>
    <s v="CMP1164"/>
    <s v="Shop &amp; Share"/>
    <x v="2"/>
    <x v="267"/>
    <d v="2024-04-23T00:00:00"/>
    <n v="65606.399999999994"/>
    <n v="26116.799999999999"/>
    <n v="11049.6"/>
    <n v="1281.952"/>
    <n v="5066.0640000000003"/>
    <x v="4"/>
    <x v="3"/>
    <x v="1"/>
    <n v="0.39808311384255202"/>
    <n v="0.42308399191325102"/>
    <n v="4.9085339704711101E-2"/>
    <n v="0.11601795540110001"/>
    <n v="2.9518359501759801"/>
    <n v="3.9518359501759801"/>
  </r>
  <r>
    <s v="CMP1165"/>
    <s v="Deal of the Day"/>
    <x v="3"/>
    <x v="88"/>
    <d v="2024-10-04T00:00:00"/>
    <n v="57283.199999999997"/>
    <n v="52171.199999999997"/>
    <n v="42622.400000000001"/>
    <n v="5973.5839999999998"/>
    <n v="18097.712"/>
    <x v="4"/>
    <x v="2"/>
    <x v="0"/>
    <n v="0.91075917546505802"/>
    <n v="0.81697181586775902"/>
    <n v="0.114499647314994"/>
    <n v="0.14015128195502799"/>
    <n v="2.0296237568601998"/>
    <n v="3.0296237568601998"/>
  </r>
  <r>
    <s v="CMP1166"/>
    <s v="Deal of the Day"/>
    <x v="2"/>
    <x v="242"/>
    <d v="2024-02-09T00:00:00"/>
    <n v="8419.2000000000007"/>
    <n v="7750.4"/>
    <n v="7747.2"/>
    <n v="1419.8240000000001"/>
    <n v="4953.28"/>
    <x v="1"/>
    <x v="0"/>
    <x v="1"/>
    <n v="0.92056252375522596"/>
    <n v="0.99958711808422795"/>
    <n v="0.18319364161849699"/>
    <n v="0.18326931020239601"/>
    <n v="2.4886577491294699"/>
    <n v="3.4886577491294699"/>
  </r>
  <r>
    <s v="CMP1167"/>
    <s v="Seasonal Steals"/>
    <x v="2"/>
    <x v="3"/>
    <d v="2024-04-30T00:00:00"/>
    <n v="40174.400000000001"/>
    <n v="25624"/>
    <n v="7179.2"/>
    <n v="2752.6239999999998"/>
    <n v="8542.4959999999992"/>
    <x v="4"/>
    <x v="3"/>
    <x v="1"/>
    <n v="0.63781910868612801"/>
    <n v="0.280174836091165"/>
    <n v="0.107423665313768"/>
    <n v="0.38341653666146602"/>
    <n v="2.1034009730351801"/>
    <n v="3.1034009730351801"/>
  </r>
  <r>
    <s v="CMP1168"/>
    <s v="Cart to Couch"/>
    <x v="2"/>
    <x v="68"/>
    <d v="2024-03-27T00:00:00"/>
    <n v="73624"/>
    <n v="71123.199999999997"/>
    <n v="70790.399999999994"/>
    <n v="5922.8639999999996"/>
    <n v="19062.351999999999"/>
    <x v="1"/>
    <x v="3"/>
    <x v="0"/>
    <n v="0.96603281538628705"/>
    <n v="0.99532079546477104"/>
    <n v="8.3276118059929793E-2"/>
    <n v="8.36676159479251E-2"/>
    <n v="2.2184348652949"/>
    <n v="3.2184348652949"/>
  </r>
  <r>
    <s v="CMP1169"/>
    <s v="Cart to Couch"/>
    <x v="3"/>
    <x v="207"/>
    <d v="2024-06-02T00:00:00"/>
    <n v="39963.199999999997"/>
    <n v="29494.400000000001"/>
    <n v="22232"/>
    <n v="5877.2"/>
    <n v="12689.791999999999"/>
    <x v="0"/>
    <x v="4"/>
    <x v="0"/>
    <n v="0.73803899587620603"/>
    <n v="0.75377020722577803"/>
    <n v="0.19926494520993801"/>
    <n v="0.26435768261964698"/>
    <n v="1.15915606070918"/>
    <n v="2.1591560607091802"/>
  </r>
  <r>
    <s v="CMP1170"/>
    <s v="Wishlist Wonders"/>
    <x v="0"/>
    <x v="240"/>
    <d v="2024-07-31T00:00:00"/>
    <n v="55241.599999999999"/>
    <n v="10592"/>
    <n v="4216"/>
    <n v="3931.6959999999999"/>
    <n v="5619.5839999999998"/>
    <x v="0"/>
    <x v="3"/>
    <x v="1"/>
    <n v="0.19173955859352401"/>
    <n v="0.39803625377643498"/>
    <n v="0.37119486404833801"/>
    <n v="0.93256546489563596"/>
    <n v="0.429302774171757"/>
    <n v="1.4293027741717601"/>
  </r>
  <r>
    <s v="CMP1171"/>
    <s v="Seasonal Steals"/>
    <x v="1"/>
    <x v="124"/>
    <d v="2024-07-16T00:00:00"/>
    <n v="77036.800000000003"/>
    <n v="5598.4"/>
    <n v="5001.6000000000004"/>
    <n v="2959.136"/>
    <n v="10048.719999999999"/>
    <x v="4"/>
    <x v="0"/>
    <x v="1"/>
    <n v="7.2671762066960202E-2"/>
    <n v="0.89339811374678502"/>
    <n v="0.52856816233209503"/>
    <n v="0.59163787587971794"/>
    <n v="2.3958290528045998"/>
    <n v="3.3958290528045998"/>
  </r>
  <r>
    <s v="CMP1172"/>
    <s v="Cart to Couch"/>
    <x v="1"/>
    <x v="21"/>
    <d v="2024-07-18T00:00:00"/>
    <n v="28568"/>
    <n v="1331.2"/>
    <n v="768"/>
    <n v="7298.6080000000002"/>
    <n v="27256.912"/>
    <x v="1"/>
    <x v="3"/>
    <x v="1"/>
    <n v="4.6597591711005297E-2"/>
    <n v="0.57692307692307698"/>
    <n v="5.4827283653846202"/>
    <n v="9.5033958333333306"/>
    <n v="2.7345356813244401"/>
    <n v="3.7345356813244401"/>
  </r>
  <r>
    <s v="CMP1173"/>
    <s v="Shop &amp; Share"/>
    <x v="0"/>
    <x v="157"/>
    <d v="2024-09-19T00:00:00"/>
    <n v="22843.200000000001"/>
    <n v="7971.2"/>
    <n v="2185.6"/>
    <n v="7155.232"/>
    <n v="22904.144"/>
    <x v="1"/>
    <x v="2"/>
    <x v="1"/>
    <n v="0.34895286124536001"/>
    <n v="0.27418707346447202"/>
    <n v="0.89763548775592095"/>
    <n v="3.27380673499268"/>
    <n v="2.2010344318674799"/>
    <n v="3.2010344318674799"/>
  </r>
  <r>
    <s v="CMP1174"/>
    <s v="Cart to Couch"/>
    <x v="1"/>
    <x v="181"/>
    <d v="2024-09-19T00:00:00"/>
    <n v="54798.400000000001"/>
    <n v="3385.6"/>
    <n v="355.2"/>
    <n v="2230.5120000000002"/>
    <n v="3547.152"/>
    <x v="0"/>
    <x v="4"/>
    <x v="1"/>
    <n v="6.17828257759351E-2"/>
    <n v="0.104914933837429"/>
    <n v="0.65882325141776898"/>
    <n v="6.2795945945945997"/>
    <n v="0.59028599711635699"/>
    <n v="1.5902859971163601"/>
  </r>
  <r>
    <s v="CMP1175"/>
    <s v="Deal of the Day"/>
    <x v="0"/>
    <x v="125"/>
    <d v="2024-01-12T00:00:00"/>
    <n v="13603.2"/>
    <n v="478.4"/>
    <n v="425.6"/>
    <n v="7742.4160000000002"/>
    <n v="18849.28"/>
    <x v="0"/>
    <x v="2"/>
    <x v="1"/>
    <n v="3.5168195718654399E-2"/>
    <n v="0.889632107023411"/>
    <n v="16.1839799331104"/>
    <n v="18.191766917293201"/>
    <n v="1.43454756241463"/>
    <n v="2.4345475624146302"/>
  </r>
  <r>
    <s v="CMP1176"/>
    <s v="Cart to Couch"/>
    <x v="1"/>
    <x v="159"/>
    <d v="2024-07-26T00:00:00"/>
    <n v="21348.799999999999"/>
    <n v="13462.4"/>
    <n v="1084.8"/>
    <n v="3185.28"/>
    <n v="11227.824000000001"/>
    <x v="3"/>
    <x v="2"/>
    <x v="0"/>
    <n v="0.63059282020535101"/>
    <n v="8.0579985738055596E-2"/>
    <n v="0.236605657237937"/>
    <n v="2.9362831858407099"/>
    <n v="2.5249095840867999"/>
    <n v="3.5249095840867999"/>
  </r>
  <r>
    <s v="CMP1177"/>
    <s v="Shop &amp; Share"/>
    <x v="1"/>
    <x v="132"/>
    <d v="2024-04-14T00:00:00"/>
    <n v="8777.6"/>
    <n v="4568"/>
    <n v="304"/>
    <n v="5791.3760000000002"/>
    <n v="7431.6"/>
    <x v="4"/>
    <x v="1"/>
    <x v="0"/>
    <n v="0.52041560335399195"/>
    <n v="6.6549912434325703E-2"/>
    <n v="1.2678143607705801"/>
    <n v="19.0505789473684"/>
    <n v="0.28321835777887699"/>
    <n v="1.28321835777888"/>
  </r>
  <r>
    <s v="CMP1178"/>
    <s v="Wishlist Wonders"/>
    <x v="1"/>
    <x v="294"/>
    <d v="2024-08-14T00:00:00"/>
    <n v="50068.800000000003"/>
    <n v="19827.2"/>
    <n v="16240"/>
    <n v="6380.768"/>
    <n v="18446.335999999999"/>
    <x v="1"/>
    <x v="0"/>
    <x v="1"/>
    <n v="0.39599910523120202"/>
    <n v="0.81907682375726298"/>
    <n v="0.32181891542930902"/>
    <n v="0.39290443349753701"/>
    <n v="1.8909272363452201"/>
    <n v="2.8909272363452199"/>
  </r>
  <r>
    <s v="CMP1179"/>
    <s v="Seasonal Steals"/>
    <x v="1"/>
    <x v="83"/>
    <d v="2024-07-22T00:00:00"/>
    <n v="71827.199999999997"/>
    <n v="38798.400000000001"/>
    <n v="8913.6"/>
    <n v="4991.5680000000002"/>
    <n v="19011.712"/>
    <x v="2"/>
    <x v="2"/>
    <x v="1"/>
    <n v="0.54016305800588105"/>
    <n v="0.22974143263639701"/>
    <n v="0.128653965111963"/>
    <n v="0.55999461497038205"/>
    <n v="2.8087655021428102"/>
    <n v="3.8087655021428102"/>
  </r>
  <r>
    <s v="CMP1180"/>
    <s v="Cart to Couch"/>
    <x v="2"/>
    <x v="112"/>
    <d v="2024-10-19T00:00:00"/>
    <n v="40867.199999999997"/>
    <n v="26428.799999999999"/>
    <n v="8779.2000000000007"/>
    <n v="4076.2080000000001"/>
    <n v="16283.136"/>
    <x v="0"/>
    <x v="2"/>
    <x v="1"/>
    <n v="0.64669955367629794"/>
    <n v="0.33218307301125999"/>
    <n v="0.15423356338539801"/>
    <n v="0.464302897758338"/>
    <n v="2.9946774060597501"/>
    <n v="3.9946774060597501"/>
  </r>
  <r>
    <s v="CMP1181"/>
    <s v="Shop &amp; Share"/>
    <x v="3"/>
    <x v="227"/>
    <d v="2024-10-18T00:00:00"/>
    <n v="58280"/>
    <n v="21998.400000000001"/>
    <n v="8950.4"/>
    <n v="1483.92"/>
    <n v="4386.6719999999996"/>
    <x v="2"/>
    <x v="1"/>
    <x v="0"/>
    <n v="0.37746053534660301"/>
    <n v="0.40686595388755498"/>
    <n v="6.7455814968361297E-2"/>
    <n v="0.16579370754379699"/>
    <n v="1.95613779718583"/>
    <n v="2.9561377971858298"/>
  </r>
  <r>
    <s v="CMP1182"/>
    <s v="Flash Sale Frenzy"/>
    <x v="0"/>
    <x v="197"/>
    <d v="2024-08-29T00:00:00"/>
    <n v="9075.2000000000007"/>
    <n v="1054.4000000000001"/>
    <n v="902.4"/>
    <n v="3907.0239999999999"/>
    <n v="4916.6880000000001"/>
    <x v="4"/>
    <x v="1"/>
    <x v="1"/>
    <n v="0.116184767277856"/>
    <n v="0.85584218512898302"/>
    <n v="3.70544764795144"/>
    <n v="4.32959219858156"/>
    <n v="0.25842277907686301"/>
    <n v="1.2584227790768601"/>
  </r>
  <r>
    <s v="CMP1183"/>
    <s v="Flash Sale Frenzy"/>
    <x v="2"/>
    <x v="101"/>
    <d v="2024-05-19T00:00:00"/>
    <n v="7003.2"/>
    <n v="3296"/>
    <n v="1590.4"/>
    <n v="5324.8159999999998"/>
    <n v="12777.647999999999"/>
    <x v="0"/>
    <x v="0"/>
    <x v="0"/>
    <n v="0.470641992232122"/>
    <n v="0.48252427184466001"/>
    <n v="1.6155388349514599"/>
    <n v="3.3480985915493"/>
    <n v="1.3996412270395799"/>
    <n v="2.3996412270395799"/>
  </r>
  <r>
    <s v="CMP1184"/>
    <s v="Seasonal Steals"/>
    <x v="1"/>
    <x v="269"/>
    <d v="2024-03-12T00:00:00"/>
    <n v="78008"/>
    <n v="43716.800000000003"/>
    <n v="6964.8"/>
    <n v="1175.856"/>
    <n v="1522.4"/>
    <x v="4"/>
    <x v="2"/>
    <x v="1"/>
    <n v="0.560414316480361"/>
    <n v="0.15931632690407299"/>
    <n v="2.68971196427918E-2"/>
    <n v="0.16882839421088899"/>
    <n v="0.29471635982637301"/>
    <n v="1.29471635982637"/>
  </r>
  <r>
    <s v="CMP1185"/>
    <s v="Cart to Couch"/>
    <x v="3"/>
    <x v="182"/>
    <d v="2024-07-12T00:00:00"/>
    <n v="14568"/>
    <n v="2913.6"/>
    <n v="337.6"/>
    <n v="6056.4480000000003"/>
    <n v="16709.856"/>
    <x v="4"/>
    <x v="1"/>
    <x v="1"/>
    <n v="0.2"/>
    <n v="0.11587040087863799"/>
    <n v="2.0786820428336101"/>
    <n v="17.939715639810402"/>
    <n v="1.7590191478569599"/>
    <n v="2.7590191478569599"/>
  </r>
  <r>
    <s v="CMP1186"/>
    <s v="Wishlist Wonders"/>
    <x v="1"/>
    <x v="169"/>
    <d v="2024-02-12T00:00:00"/>
    <n v="60380.800000000003"/>
    <n v="49368"/>
    <n v="8268.7999999999993"/>
    <n v="4667.76"/>
    <n v="15615.232"/>
    <x v="4"/>
    <x v="1"/>
    <x v="0"/>
    <n v="0.81761089617891802"/>
    <n v="0.16749311294765801"/>
    <n v="9.4550315994166301E-2"/>
    <n v="0.56450270897832799"/>
    <n v="2.3453373780999902"/>
    <n v="3.3453373780999902"/>
  </r>
  <r>
    <s v="CMP1187"/>
    <s v="Seasonal Steals"/>
    <x v="2"/>
    <x v="204"/>
    <d v="2024-10-30T00:00:00"/>
    <n v="37182.400000000001"/>
    <n v="12806.4"/>
    <n v="12004.8"/>
    <n v="2566.944"/>
    <n v="6739.44"/>
    <x v="4"/>
    <x v="4"/>
    <x v="1"/>
    <n v="0.34442101639485301"/>
    <n v="0.93740629685157395"/>
    <n v="0.20044227886057001"/>
    <n v="0.21382646941223499"/>
    <n v="1.6254721567747501"/>
    <n v="2.6254721567747499"/>
  </r>
  <r>
    <s v="CMP1188"/>
    <s v="Wishlist Wonders"/>
    <x v="0"/>
    <x v="295"/>
    <d v="2024-09-06T00:00:00"/>
    <n v="21214.400000000001"/>
    <n v="21046.400000000001"/>
    <n v="14136"/>
    <n v="3029.8879999999999"/>
    <n v="10979.456"/>
    <x v="2"/>
    <x v="0"/>
    <x v="0"/>
    <n v="0.99208085074289198"/>
    <n v="0.67165881100805802"/>
    <n v="0.14396229283868001"/>
    <n v="0.214338426711941"/>
    <n v="2.62371678425077"/>
    <n v="3.62371678425077"/>
  </r>
  <r>
    <s v="CMP1189"/>
    <s v="Seasonal Steals"/>
    <x v="2"/>
    <x v="255"/>
    <d v="2024-06-11T00:00:00"/>
    <n v="76465.600000000006"/>
    <n v="9638.4"/>
    <n v="6073.6"/>
    <n v="2930.3519999999999"/>
    <n v="7746.2240000000002"/>
    <x v="3"/>
    <x v="2"/>
    <x v="1"/>
    <n v="0.126048837647256"/>
    <n v="0.63014608233731795"/>
    <n v="0.30402888446215098"/>
    <n v="0.482473656480506"/>
    <n v="1.64344488307207"/>
    <n v="2.6434448830720698"/>
  </r>
  <r>
    <s v="CMP1190"/>
    <s v="Seasonal Steals"/>
    <x v="0"/>
    <x v="225"/>
    <d v="2024-05-04T00:00:00"/>
    <n v="7132.8"/>
    <n v="1670.4"/>
    <n v="1145.5999999999999"/>
    <n v="3620.16"/>
    <n v="11463.92"/>
    <x v="2"/>
    <x v="2"/>
    <x v="1"/>
    <n v="0.23418573351278599"/>
    <n v="0.68582375478927204"/>
    <n v="2.1672413793103402"/>
    <n v="3.1600558659217901"/>
    <n v="2.16668876513745"/>
    <n v="3.16668876513745"/>
  </r>
  <r>
    <s v="CMP1191"/>
    <s v="Flash Sale Frenzy"/>
    <x v="0"/>
    <x v="289"/>
    <d v="2024-09-09T00:00:00"/>
    <n v="73539.199999999997"/>
    <n v="26227.200000000001"/>
    <n v="12195.2"/>
    <n v="2540.6080000000002"/>
    <n v="4500.9759999999997"/>
    <x v="3"/>
    <x v="1"/>
    <x v="0"/>
    <n v="0.35664244375788701"/>
    <n v="0.46498291849682799"/>
    <n v="9.68692044899951E-2"/>
    <n v="0.208328522697455"/>
    <n v="0.77161372395898897"/>
    <n v="1.77161372395899"/>
  </r>
  <r>
    <s v="CMP1192"/>
    <s v="Flash Sale Frenzy"/>
    <x v="1"/>
    <x v="147"/>
    <d v="2024-07-03T00:00:00"/>
    <n v="57403.199999999997"/>
    <n v="46052.800000000003"/>
    <n v="14360"/>
    <n v="2939.0079999999998"/>
    <n v="10755.52"/>
    <x v="1"/>
    <x v="0"/>
    <x v="1"/>
    <n v="0.80226886305989897"/>
    <n v="0.31181600250147701"/>
    <n v="6.3818226036201894E-2"/>
    <n v="0.20466629526462399"/>
    <n v="2.6595749314054302"/>
    <n v="3.6595749314054302"/>
  </r>
  <r>
    <s v="CMP1193"/>
    <s v="Cart to Couch"/>
    <x v="0"/>
    <x v="243"/>
    <d v="2024-09-13T00:00:00"/>
    <n v="3974.4"/>
    <n v="3225.6"/>
    <n v="187.2"/>
    <n v="6213.4080000000004"/>
    <n v="20195.024000000001"/>
    <x v="0"/>
    <x v="2"/>
    <x v="0"/>
    <n v="0.811594202898551"/>
    <n v="5.8035714285714302E-2"/>
    <n v="1.92627976190476"/>
    <n v="33.191282051282101"/>
    <n v="2.2502330444097698"/>
    <n v="3.2502330444097698"/>
  </r>
  <r>
    <s v="CMP1194"/>
    <s v="Flash Sale Frenzy"/>
    <x v="2"/>
    <x v="209"/>
    <d v="2024-04-21T00:00:00"/>
    <n v="51041.599999999999"/>
    <n v="31156.799999999999"/>
    <n v="25262.400000000001"/>
    <n v="2509.232"/>
    <n v="5540.24"/>
    <x v="2"/>
    <x v="0"/>
    <x v="1"/>
    <n v="0.61041973605843103"/>
    <n v="0.81081497458018803"/>
    <n v="8.0535613413444299E-2"/>
    <n v="9.93267464690607E-2"/>
    <n v="1.2079425098994401"/>
    <n v="2.2079425098994401"/>
  </r>
  <r>
    <s v="CMP1195"/>
    <s v="Wishlist Wonders"/>
    <x v="3"/>
    <x v="141"/>
    <d v="2024-06-10T00:00:00"/>
    <n v="43833.599999999999"/>
    <n v="23643.200000000001"/>
    <n v="8880"/>
    <n v="7703.3280000000004"/>
    <n v="30796.959999999999"/>
    <x v="3"/>
    <x v="0"/>
    <x v="0"/>
    <n v="0.53938531172433901"/>
    <n v="0.37558367733640102"/>
    <n v="0.32581579481626899"/>
    <n v="0.86749189189189202"/>
    <n v="2.9978772810920198"/>
    <n v="3.9978772810920198"/>
  </r>
  <r>
    <s v="CMP1196"/>
    <s v="Flash Sale Frenzy"/>
    <x v="2"/>
    <x v="155"/>
    <d v="2024-05-15T00:00:00"/>
    <n v="23995.200000000001"/>
    <n v="13513.6"/>
    <n v="8227.2000000000007"/>
    <n v="734.60799999999995"/>
    <n v="1625.152"/>
    <x v="0"/>
    <x v="0"/>
    <x v="1"/>
    <n v="0.56317930252717197"/>
    <n v="0.60880890362301698"/>
    <n v="5.4360644091877797E-2"/>
    <n v="8.9290159471022895E-2"/>
    <n v="1.21227103434757"/>
    <n v="2.21227103434757"/>
  </r>
  <r>
    <s v="CMP1197"/>
    <s v="Wishlist Wonders"/>
    <x v="3"/>
    <x v="282"/>
    <d v="2024-06-04T00:00:00"/>
    <n v="76849.600000000006"/>
    <n v="20929.599999999999"/>
    <n v="7590.4"/>
    <n v="4496.3999999999996"/>
    <n v="12526.255999999999"/>
    <x v="2"/>
    <x v="2"/>
    <x v="1"/>
    <n v="0.27234494389040398"/>
    <n v="0.36266340493846"/>
    <n v="0.21483449277578201"/>
    <n v="0.59237984822934198"/>
    <n v="1.78584111733832"/>
    <n v="2.7858411173383102"/>
  </r>
  <r>
    <s v="CMP1198"/>
    <s v="Deal of the Day"/>
    <x v="0"/>
    <x v="136"/>
    <d v="2024-04-04T00:00:00"/>
    <n v="22832"/>
    <n v="14569.6"/>
    <n v="14476.8"/>
    <n v="5936.4960000000001"/>
    <n v="8826.9760000000006"/>
    <x v="0"/>
    <x v="0"/>
    <x v="0"/>
    <n v="0.63812193412754004"/>
    <n v="0.99363057324840798"/>
    <n v="0.407457720184494"/>
    <n v="0.41006962864721502"/>
    <n v="0.48690001644067499"/>
    <n v="1.48690001644067"/>
  </r>
  <r>
    <s v="CMP1199"/>
    <s v="Wishlist Wonders"/>
    <x v="2"/>
    <x v="34"/>
    <d v="2024-05-05T00:00:00"/>
    <n v="14182.4"/>
    <n v="8476.7999999999993"/>
    <n v="5787.2"/>
    <n v="5321.4880000000003"/>
    <n v="20335.824000000001"/>
    <x v="2"/>
    <x v="4"/>
    <x v="0"/>
    <n v="0.59769855595667898"/>
    <n v="0.68271045677614195"/>
    <n v="0.62777085692714196"/>
    <n v="0.91952723251313295"/>
    <n v="2.8214544503341901"/>
    <n v="3.8214544503341901"/>
  </r>
  <r>
    <s v="CMP1200"/>
    <s v="Cart to Couch"/>
    <x v="3"/>
    <x v="265"/>
    <d v="2024-09-13T00:00:00"/>
    <n v="17068.8"/>
    <n v="3624"/>
    <n v="1128"/>
    <n v="4377.7920000000004"/>
    <n v="10296.528"/>
    <x v="0"/>
    <x v="3"/>
    <x v="1"/>
    <n v="0.21231721034870599"/>
    <n v="0.31125827814569501"/>
    <n v="1.208"/>
    <n v="3.8810212765957401"/>
    <n v="1.35199114073944"/>
    <n v="2.35199114073944"/>
  </r>
  <r>
    <s v="CMP1201"/>
    <s v="Seasonal Steals"/>
    <x v="3"/>
    <x v="116"/>
    <d v="2024-08-21T00:00:00"/>
    <n v="78028.800000000003"/>
    <n v="47611.199999999997"/>
    <n v="37684.800000000003"/>
    <n v="1264.6079999999999"/>
    <n v="1520.8320000000001"/>
    <x v="0"/>
    <x v="3"/>
    <x v="1"/>
    <n v="0.61017470472440904"/>
    <n v="0.79151124105252602"/>
    <n v="2.65611452767416E-2"/>
    <n v="3.3557508597630903E-2"/>
    <n v="0.20261140211037701"/>
    <n v="1.20261140211038"/>
  </r>
  <r>
    <s v="CMP1202"/>
    <s v="Shop &amp; Share"/>
    <x v="1"/>
    <x v="289"/>
    <d v="2024-09-08T00:00:00"/>
    <n v="74553.600000000006"/>
    <n v="68934.399999999994"/>
    <n v="38964.800000000003"/>
    <n v="1743.6959999999999"/>
    <n v="4121.9040000000005"/>
    <x v="2"/>
    <x v="2"/>
    <x v="1"/>
    <n v="0.92462872349557901"/>
    <n v="0.56524463838083705"/>
    <n v="2.5295005106303999E-2"/>
    <n v="4.4750544080811402E-2"/>
    <n v="1.3638891182866699"/>
    <n v="2.3638891182866701"/>
  </r>
  <r>
    <s v="CMP1203"/>
    <s v="Deal of the Day"/>
    <x v="1"/>
    <x v="292"/>
    <d v="2024-10-28T00:00:00"/>
    <n v="41193.599999999999"/>
    <n v="30371.200000000001"/>
    <n v="4392"/>
    <n v="964.49599999999998"/>
    <n v="3605.0239999999999"/>
    <x v="2"/>
    <x v="1"/>
    <x v="1"/>
    <n v="0.73727957741008299"/>
    <n v="0.14461068380571099"/>
    <n v="3.1756927615635901E-2"/>
    <n v="0.21960291438980001"/>
    <n v="2.7377283057679902"/>
    <n v="3.7377283057679902"/>
  </r>
  <r>
    <s v="CMP1204"/>
    <s v="Deal of the Day"/>
    <x v="0"/>
    <x v="10"/>
    <d v="2024-01-15T00:00:00"/>
    <n v="11787.2"/>
    <n v="896"/>
    <n v="153.6"/>
    <n v="219.136"/>
    <n v="604.44799999999998"/>
    <x v="4"/>
    <x v="4"/>
    <x v="1"/>
    <n v="7.6014659970137094E-2"/>
    <n v="0.17142857142857101"/>
    <n v="0.24457142857142899"/>
    <n v="1.4266666666666701"/>
    <n v="1.75832359813084"/>
    <n v="2.7583235981308398"/>
  </r>
  <r>
    <s v="CMP1205"/>
    <s v="Seasonal Steals"/>
    <x v="2"/>
    <x v="39"/>
    <d v="2024-05-02T00:00:00"/>
    <n v="65638.399999999994"/>
    <n v="54545.599999999999"/>
    <n v="11798.4"/>
    <n v="4637.8559999999998"/>
    <n v="14020.016"/>
    <x v="1"/>
    <x v="3"/>
    <x v="1"/>
    <n v="0.83100136505460198"/>
    <n v="0.21630342319087101"/>
    <n v="8.5027133260977994E-2"/>
    <n v="0.39309194467046399"/>
    <n v="2.02295198471018"/>
    <n v="3.02295198471018"/>
  </r>
  <r>
    <s v="CMP1206"/>
    <s v="Cart to Couch"/>
    <x v="0"/>
    <x v="296"/>
    <d v="2024-07-22T00:00:00"/>
    <n v="26540.799999999999"/>
    <n v="9971.2000000000007"/>
    <n v="1449.6"/>
    <n v="7308.4"/>
    <n v="28673.824000000001"/>
    <x v="3"/>
    <x v="4"/>
    <x v="1"/>
    <n v="0.37569327224499599"/>
    <n v="0.14537869062901199"/>
    <n v="0.73295089858793305"/>
    <n v="5.0416666666666696"/>
    <n v="2.9234064911608599"/>
    <n v="3.9234064911608599"/>
  </r>
  <r>
    <s v="CMP1207"/>
    <s v="Flash Sale Frenzy"/>
    <x v="0"/>
    <x v="250"/>
    <d v="2024-07-12T00:00:00"/>
    <n v="60076.800000000003"/>
    <n v="1467.2"/>
    <n v="1392"/>
    <n v="3275.248"/>
    <n v="4156.1120000000001"/>
    <x v="0"/>
    <x v="3"/>
    <x v="1"/>
    <n v="2.44220730797912E-2"/>
    <n v="0.94874591057797197"/>
    <n v="2.2323118865867002"/>
    <n v="2.35290804597701"/>
    <n v="0.26894574090267398"/>
    <n v="1.2689457409026701"/>
  </r>
  <r>
    <s v="CMP1208"/>
    <s v="Deal of the Day"/>
    <x v="3"/>
    <x v="4"/>
    <d v="2024-11-07T00:00:00"/>
    <n v="79894.399999999994"/>
    <n v="5011.2"/>
    <n v="1427.2"/>
    <n v="7582.576"/>
    <n v="21790.720000000001"/>
    <x v="4"/>
    <x v="2"/>
    <x v="1"/>
    <n v="6.2722794088196407E-2"/>
    <n v="0.28480204342273302"/>
    <n v="1.5131257982120101"/>
    <n v="5.3129035874439499"/>
    <n v="1.8737885383542501"/>
    <n v="2.8737885383542499"/>
  </r>
  <r>
    <s v="CMP1209"/>
    <s v="Flash Sale Frenzy"/>
    <x v="0"/>
    <x v="162"/>
    <d v="2024-10-22T00:00:00"/>
    <n v="50105.599999999999"/>
    <n v="21641.599999999999"/>
    <n v="2841.6"/>
    <n v="617.85599999999999"/>
    <n v="2221.7759999999998"/>
    <x v="1"/>
    <x v="3"/>
    <x v="0"/>
    <n v="0.43191978541320702"/>
    <n v="0.13130267632707401"/>
    <n v="2.8549460298684E-2"/>
    <n v="0.21743243243243199"/>
    <n v="2.5959446861404598"/>
    <n v="3.5959446861404598"/>
  </r>
  <r>
    <s v="CMP1210"/>
    <s v="Seasonal Steals"/>
    <x v="3"/>
    <x v="113"/>
    <d v="2024-04-08T00:00:00"/>
    <n v="51785.599999999999"/>
    <n v="34358.400000000001"/>
    <n v="18782.400000000001"/>
    <n v="7547.04"/>
    <n v="29269.903999999999"/>
    <x v="1"/>
    <x v="2"/>
    <x v="1"/>
    <n v="0.66347401594265598"/>
    <n v="0.54666107851355095"/>
    <n v="0.219656328583403"/>
    <n v="0.40181446460516201"/>
    <n v="2.87832898725858"/>
    <n v="3.87832898725858"/>
  </r>
  <r>
    <s v="CMP1211"/>
    <s v="Wishlist Wonders"/>
    <x v="3"/>
    <x v="238"/>
    <d v="2024-08-06T00:00:00"/>
    <n v="73689.600000000006"/>
    <n v="32889.599999999999"/>
    <n v="14358.4"/>
    <n v="1562.288"/>
    <n v="4663.7120000000004"/>
    <x v="0"/>
    <x v="1"/>
    <x v="0"/>
    <n v="0.44632621156852498"/>
    <n v="0.43656353376143198"/>
    <n v="4.7500972951936199E-2"/>
    <n v="0.10880655226209"/>
    <n v="1.98518070931864"/>
    <n v="2.98518070931864"/>
  </r>
  <r>
    <s v="CMP1212"/>
    <s v="Deal of the Day"/>
    <x v="3"/>
    <x v="68"/>
    <d v="2024-04-10T00:00:00"/>
    <n v="40329.599999999999"/>
    <n v="10675.2"/>
    <n v="4019.2"/>
    <n v="7905.5680000000002"/>
    <n v="20803.088"/>
    <x v="2"/>
    <x v="2"/>
    <x v="1"/>
    <n v="0.26469888121875701"/>
    <n v="0.37649880095923299"/>
    <n v="0.74055455635491596"/>
    <n v="1.9669506369426799"/>
    <n v="1.63144760755963"/>
    <n v="2.6314476075596298"/>
  </r>
  <r>
    <s v="CMP1213"/>
    <s v="Deal of the Day"/>
    <x v="2"/>
    <x v="114"/>
    <d v="2024-01-25T00:00:00"/>
    <n v="75288"/>
    <n v="14665.6"/>
    <n v="9540.7999999999993"/>
    <n v="979.82399999999996"/>
    <n v="2979.4879999999998"/>
    <x v="0"/>
    <x v="2"/>
    <x v="0"/>
    <n v="0.19479332695781501"/>
    <n v="0.65055640410211601"/>
    <n v="6.68110408029675E-2"/>
    <n v="0.10269830622169999"/>
    <n v="2.0408399875896102"/>
    <n v="3.0408399875896102"/>
  </r>
  <r>
    <s v="CMP1214"/>
    <s v="Deal of the Day"/>
    <x v="3"/>
    <x v="233"/>
    <d v="2024-06-21T00:00:00"/>
    <n v="12633.6"/>
    <n v="7337.6"/>
    <n v="3510.4"/>
    <n v="6627.2"/>
    <n v="10272.944"/>
    <x v="3"/>
    <x v="3"/>
    <x v="1"/>
    <n v="0.58080040526848997"/>
    <n v="0.47841255996511101"/>
    <n v="0.90318360226777095"/>
    <n v="1.88787602552416"/>
    <n v="0.55011830033800102"/>
    <n v="1.5501183003379999"/>
  </r>
  <r>
    <s v="CMP1215"/>
    <s v="Wishlist Wonders"/>
    <x v="0"/>
    <x v="35"/>
    <d v="2024-11-09T00:00:00"/>
    <n v="54500.800000000003"/>
    <n v="19662.400000000001"/>
    <n v="4846.3999999999996"/>
    <n v="2242.2399999999998"/>
    <n v="7961.8879999999999"/>
    <x v="0"/>
    <x v="0"/>
    <x v="1"/>
    <n v="0.36077268590552802"/>
    <n v="0.24648059239970699"/>
    <n v="0.114036943608105"/>
    <n v="0.46266094420600901"/>
    <n v="2.5508634222919899"/>
    <n v="3.5508634222919899"/>
  </r>
  <r>
    <s v="CMP1216"/>
    <s v="Flash Sale Frenzy"/>
    <x v="2"/>
    <x v="230"/>
    <d v="2024-06-28T00:00:00"/>
    <n v="17003.2"/>
    <n v="8606.4"/>
    <n v="8590.4"/>
    <n v="4395.0559999999996"/>
    <n v="15656.32"/>
    <x v="0"/>
    <x v="2"/>
    <x v="1"/>
    <n v="0.50616354568551802"/>
    <n v="0.99814091838631702"/>
    <n v="0.51067298754415302"/>
    <n v="0.51162413857329103"/>
    <n v="2.5622572272116702"/>
    <n v="3.5622572272116702"/>
  </r>
  <r>
    <s v="CMP1217"/>
    <s v="Seasonal Steals"/>
    <x v="0"/>
    <x v="7"/>
    <d v="2024-01-11T00:00:00"/>
    <n v="59563.199999999997"/>
    <n v="40259.199999999997"/>
    <n v="33028.800000000003"/>
    <n v="4037.3760000000002"/>
    <n v="6745.5039999999999"/>
    <x v="0"/>
    <x v="4"/>
    <x v="0"/>
    <n v="0.67590727160394304"/>
    <n v="0.82040378348303"/>
    <n v="0.100284556076623"/>
    <n v="0.122238046795524"/>
    <n v="0.67076437765519004"/>
    <n v="1.6707643776551899"/>
  </r>
  <r>
    <s v="CMP1218"/>
    <s v="Seasonal Steals"/>
    <x v="0"/>
    <x v="292"/>
    <d v="2024-11-04T00:00:00"/>
    <n v="56854.400000000001"/>
    <n v="13195.2"/>
    <n v="2763.2"/>
    <n v="4361.28"/>
    <n v="7635.6480000000001"/>
    <x v="3"/>
    <x v="4"/>
    <x v="0"/>
    <n v="0.23208757809422001"/>
    <n v="0.20940948223596501"/>
    <n v="0.330520189159694"/>
    <n v="1.5783439490445901"/>
    <n v="0.75078142196786302"/>
    <n v="1.7507814219678599"/>
  </r>
  <r>
    <s v="CMP1219"/>
    <s v="Flash Sale Frenzy"/>
    <x v="1"/>
    <x v="283"/>
    <d v="2024-10-16T00:00:00"/>
    <n v="28918.400000000001"/>
    <n v="1843.2"/>
    <n v="596.79999999999995"/>
    <n v="4587.4719999999998"/>
    <n v="7690.08"/>
    <x v="1"/>
    <x v="3"/>
    <x v="1"/>
    <n v="6.3737966139205501E-2"/>
    <n v="0.32378472222222199"/>
    <n v="2.4888628472222201"/>
    <n v="7.6867828418230602"/>
    <n v="0.67632194812306201"/>
    <n v="1.67632194812306"/>
  </r>
  <r>
    <s v="CMP1220"/>
    <s v="Cart to Couch"/>
    <x v="1"/>
    <x v="243"/>
    <d v="2024-09-16T00:00:00"/>
    <n v="11776"/>
    <n v="8985.6"/>
    <n v="7168"/>
    <n v="3605.8240000000001"/>
    <n v="13791.968000000001"/>
    <x v="2"/>
    <x v="0"/>
    <x v="0"/>
    <n v="0.76304347826087005"/>
    <n v="0.79772079772079796"/>
    <n v="0.401289173789174"/>
    <n v="0.50304464285714301"/>
    <n v="2.8249143607674698"/>
    <n v="3.8249143607674698"/>
  </r>
  <r>
    <s v="CMP1221"/>
    <s v="Cart to Couch"/>
    <x v="3"/>
    <x v="39"/>
    <d v="2024-05-07T00:00:00"/>
    <n v="4124.8"/>
    <n v="4022.4"/>
    <n v="1384"/>
    <n v="6125.3760000000002"/>
    <n v="22392.16"/>
    <x v="1"/>
    <x v="4"/>
    <x v="1"/>
    <n v="0.97517455391776597"/>
    <n v="0.34407319013524301"/>
    <n v="1.52281622911695"/>
    <n v="4.4258497109826598"/>
    <n v="2.6556384457052098"/>
    <n v="3.6556384457052098"/>
  </r>
  <r>
    <s v="CMP1222"/>
    <s v="Wishlist Wonders"/>
    <x v="2"/>
    <x v="290"/>
    <d v="2024-03-30T00:00:00"/>
    <n v="31364.799999999999"/>
    <n v="6955.2"/>
    <n v="4984"/>
    <n v="2013.7439999999999"/>
    <n v="7987.7439999999997"/>
    <x v="3"/>
    <x v="2"/>
    <x v="1"/>
    <n v="0.22175177268785401"/>
    <n v="0.71658615136876003"/>
    <n v="0.28953071083505899"/>
    <n v="0.40404173354735201"/>
    <n v="2.9666134324919202"/>
    <n v="3.9666134324919202"/>
  </r>
  <r>
    <s v="CMP1223"/>
    <s v="Wishlist Wonders"/>
    <x v="0"/>
    <x v="189"/>
    <d v="2024-10-09T00:00:00"/>
    <n v="76889.600000000006"/>
    <n v="39931.199999999997"/>
    <n v="8185.6"/>
    <n v="7242.48"/>
    <n v="28456.016"/>
    <x v="3"/>
    <x v="0"/>
    <x v="0"/>
    <n v="0.519331613118029"/>
    <n v="0.20499258725007"/>
    <n v="0.18137396321673299"/>
    <n v="0.88478303362001598"/>
    <n v="2.9290430902121898"/>
    <n v="3.9290430902121898"/>
  </r>
  <r>
    <s v="CMP1224"/>
    <s v="Deal of the Day"/>
    <x v="1"/>
    <x v="142"/>
    <d v="2024-02-23T00:00:00"/>
    <n v="28059.200000000001"/>
    <n v="3966.4"/>
    <n v="3523.2"/>
    <n v="1046.752"/>
    <n v="2010.08"/>
    <x v="3"/>
    <x v="1"/>
    <x v="1"/>
    <n v="0.14135827108399401"/>
    <n v="0.88826139572408203"/>
    <n v="0.26390480032271102"/>
    <n v="0.29710263396911901"/>
    <n v="0.92030203906942598"/>
    <n v="1.9203020390694301"/>
  </r>
  <r>
    <s v="CMP1225"/>
    <s v="Seasonal Steals"/>
    <x v="2"/>
    <x v="187"/>
    <d v="2024-07-31T00:00:00"/>
    <n v="65958.399999999994"/>
    <n v="38100.800000000003"/>
    <n v="33868.800000000003"/>
    <n v="6290.56"/>
    <n v="23144.991999999998"/>
    <x v="4"/>
    <x v="4"/>
    <x v="1"/>
    <n v="0.57764894236367204"/>
    <n v="0.88892621677235095"/>
    <n v="0.16510309494813799"/>
    <n v="0.185733182161754"/>
    <n v="2.67932139586937"/>
    <n v="3.67932139586937"/>
  </r>
  <r>
    <s v="CMP1226"/>
    <s v="Deal of the Day"/>
    <x v="1"/>
    <x v="77"/>
    <d v="2024-03-10T00:00:00"/>
    <n v="19377.599999999999"/>
    <n v="3209.6"/>
    <n v="1964.8"/>
    <n v="5591.1040000000003"/>
    <n v="21308.351999999999"/>
    <x v="3"/>
    <x v="1"/>
    <x v="1"/>
    <n v="0.165634547105937"/>
    <n v="0.61216350947158504"/>
    <n v="1.7419940179461599"/>
    <n v="2.8456351791530898"/>
    <n v="2.8111170888611601"/>
    <n v="3.8111170888611601"/>
  </r>
  <r>
    <s v="CMP1227"/>
    <s v="Deal of the Day"/>
    <x v="3"/>
    <x v="279"/>
    <d v="2024-09-05T00:00:00"/>
    <n v="73048"/>
    <n v="5804.8"/>
    <n v="1646.4"/>
    <n v="7705.2479999999996"/>
    <n v="13017.951999999999"/>
    <x v="1"/>
    <x v="2"/>
    <x v="1"/>
    <n v="7.9465556894096998E-2"/>
    <n v="0.283627342888644"/>
    <n v="1.32739250275634"/>
    <n v="4.6800583090379"/>
    <n v="0.68949162960101995"/>
    <n v="1.6894916296010201"/>
  </r>
  <r>
    <s v="CMP1228"/>
    <s v="Seasonal Steals"/>
    <x v="3"/>
    <x v="269"/>
    <d v="2024-03-20T00:00:00"/>
    <n v="26499.200000000001"/>
    <n v="13499.2"/>
    <n v="1353.6"/>
    <n v="2022.5920000000001"/>
    <n v="2714.4479999999999"/>
    <x v="0"/>
    <x v="2"/>
    <x v="1"/>
    <n v="0.50941915227629497"/>
    <n v="0.10027260874718499"/>
    <n v="0.14983050847457599"/>
    <n v="1.494231678487"/>
    <n v="0.34206404455273198"/>
    <n v="1.3420640445527301"/>
  </r>
  <r>
    <s v="CMP1229"/>
    <s v="Cart to Couch"/>
    <x v="1"/>
    <x v="119"/>
    <d v="2024-06-11T00:00:00"/>
    <n v="66107.199999999997"/>
    <n v="49337.599999999999"/>
    <n v="5137.6000000000004"/>
    <n v="5880.2879999999996"/>
    <n v="14764.304"/>
    <x v="2"/>
    <x v="4"/>
    <x v="0"/>
    <n v="0.74632717767504897"/>
    <n v="0.104131534569983"/>
    <n v="0.119184719159424"/>
    <n v="1.14455932731236"/>
    <n v="1.5108130758221401"/>
    <n v="2.5108130758221399"/>
  </r>
  <r>
    <s v="CMP1230"/>
    <s v="Cart to Couch"/>
    <x v="0"/>
    <x v="31"/>
    <d v="2024-10-26T00:00:00"/>
    <n v="6044.8"/>
    <n v="5704"/>
    <n v="689.6"/>
    <n v="760.17600000000004"/>
    <n v="1281.7760000000001"/>
    <x v="4"/>
    <x v="0"/>
    <x v="1"/>
    <n v="0.94362096347273705"/>
    <n v="0.12089761570827499"/>
    <n v="0.13327068723702701"/>
    <n v="1.102343387471"/>
    <n v="0.68615688998337199"/>
    <n v="1.6861568899833701"/>
  </r>
  <r>
    <s v="CMP1231"/>
    <s v="Wishlist Wonders"/>
    <x v="2"/>
    <x v="164"/>
    <d v="2024-03-01T00:00:00"/>
    <n v="32955.199999999997"/>
    <n v="22520"/>
    <n v="2945.6"/>
    <n v="5410.3680000000004"/>
    <n v="19160.128000000001"/>
    <x v="4"/>
    <x v="1"/>
    <x v="1"/>
    <n v="0.68335194445793102"/>
    <n v="0.13079928952042599"/>
    <n v="0.240247246891652"/>
    <n v="1.83676262900598"/>
    <n v="2.5413724168115701"/>
    <n v="3.5413724168115701"/>
  </r>
  <r>
    <s v="CMP1232"/>
    <s v="Shop &amp; Share"/>
    <x v="2"/>
    <x v="12"/>
    <d v="2024-09-18T00:00:00"/>
    <n v="58649.599999999999"/>
    <n v="41043.199999999997"/>
    <n v="4464"/>
    <n v="893.47199999999998"/>
    <n v="1262.9280000000001"/>
    <x v="3"/>
    <x v="4"/>
    <x v="0"/>
    <n v="0.69980357922304703"/>
    <n v="0.108763449243724"/>
    <n v="2.1769062841104001E-2"/>
    <n v="0.20015053763440899"/>
    <n v="0.413505963253465"/>
    <n v="1.4135059632534701"/>
  </r>
  <r>
    <s v="CMP1233"/>
    <s v="Wishlist Wonders"/>
    <x v="0"/>
    <x v="21"/>
    <d v="2024-06-23T00:00:00"/>
    <n v="17476.8"/>
    <n v="11403.2"/>
    <n v="5500.8"/>
    <n v="1514.944"/>
    <n v="2544.4479999999999"/>
    <x v="2"/>
    <x v="0"/>
    <x v="1"/>
    <n v="0.65247642589032295"/>
    <n v="0.48239090781534999"/>
    <n v="0.132852532622422"/>
    <n v="0.27540430482838901"/>
    <n v="0.67956571332009597"/>
    <n v="1.6795657133201001"/>
  </r>
  <r>
    <s v="CMP1234"/>
    <s v="Shop &amp; Share"/>
    <x v="3"/>
    <x v="85"/>
    <d v="2024-07-24T00:00:00"/>
    <n v="24302.400000000001"/>
    <n v="24120"/>
    <n v="18156.8"/>
    <n v="3777.0239999999999"/>
    <n v="12164.64"/>
    <x v="1"/>
    <x v="3"/>
    <x v="1"/>
    <n v="0.99249456843768502"/>
    <n v="0.75276948590381398"/>
    <n v="0.156593034825871"/>
    <n v="0.20802255904124101"/>
    <n v="2.22069438796259"/>
    <n v="3.22069438796259"/>
  </r>
  <r>
    <s v="CMP1235"/>
    <s v="Flash Sale Frenzy"/>
    <x v="2"/>
    <x v="190"/>
    <d v="2024-05-11T00:00:00"/>
    <n v="73161.600000000006"/>
    <n v="56755.199999999997"/>
    <n v="54144"/>
    <n v="5785.9359999999997"/>
    <n v="7596.9279999999999"/>
    <x v="4"/>
    <x v="1"/>
    <x v="1"/>
    <n v="0.77575121375147604"/>
    <n v="0.95399188092016196"/>
    <n v="0.10194547812359001"/>
    <n v="0.106861997635934"/>
    <n v="0.31299896853335402"/>
    <n v="1.3129989685333501"/>
  </r>
  <r>
    <s v="CMP1236"/>
    <s v="Seasonal Steals"/>
    <x v="2"/>
    <x v="60"/>
    <d v="2024-09-22T00:00:00"/>
    <n v="58974.400000000001"/>
    <n v="4608"/>
    <n v="4576"/>
    <n v="2626.096"/>
    <n v="8646.8160000000007"/>
    <x v="1"/>
    <x v="3"/>
    <x v="1"/>
    <n v="7.8135597818714597E-2"/>
    <n v="0.99305555555555602"/>
    <n v="0.56989930555555601"/>
    <n v="0.57388461538461499"/>
    <n v="2.2926503829258298"/>
    <n v="3.2926503829258298"/>
  </r>
  <r>
    <s v="CMP1237"/>
    <s v="Cart to Couch"/>
    <x v="0"/>
    <x v="5"/>
    <d v="2024-08-31T00:00:00"/>
    <n v="71766.399999999994"/>
    <n v="18617.599999999999"/>
    <n v="6086.4"/>
    <n v="4942.1279999999997"/>
    <n v="14688.272000000001"/>
    <x v="3"/>
    <x v="1"/>
    <x v="1"/>
    <n v="0.25941944977036602"/>
    <n v="0.32691646613956699"/>
    <n v="0.26545462358198701"/>
    <n v="0.81199526813880096"/>
    <n v="1.9720541434782799"/>
    <n v="2.9720541434782799"/>
  </r>
  <r>
    <s v="CMP1238"/>
    <s v="Seasonal Steals"/>
    <x v="0"/>
    <x v="60"/>
    <d v="2024-09-10T00:00:00"/>
    <n v="29904"/>
    <n v="15937.6"/>
    <n v="9939.2000000000007"/>
    <n v="6387.1679999999997"/>
    <n v="16653.2"/>
    <x v="4"/>
    <x v="3"/>
    <x v="1"/>
    <n v="0.53295880149812702"/>
    <n v="0.62363216544523603"/>
    <n v="0.40076096777432002"/>
    <n v="0.64262395363811997"/>
    <n v="1.6072901166839499"/>
    <n v="2.6072901166839499"/>
  </r>
  <r>
    <s v="CMP1239"/>
    <s v="Shop &amp; Share"/>
    <x v="2"/>
    <x v="169"/>
    <d v="2024-01-29T00:00:00"/>
    <n v="6968"/>
    <n v="3300.8"/>
    <n v="174.4"/>
    <n v="3221.28"/>
    <n v="11462.848"/>
    <x v="2"/>
    <x v="1"/>
    <x v="0"/>
    <n v="0.473708381171068"/>
    <n v="5.2835676199709199E-2"/>
    <n v="0.97590887057682996"/>
    <n v="18.470642201834899"/>
    <n v="2.5584761337108199"/>
    <n v="3.5584761337108199"/>
  </r>
  <r>
    <s v="CMP1240"/>
    <s v="Wishlist Wonders"/>
    <x v="1"/>
    <x v="138"/>
    <d v="2024-02-10T00:00:00"/>
    <n v="1619.2"/>
    <n v="185.6"/>
    <n v="174.4"/>
    <n v="6882.4960000000001"/>
    <n v="13646.128000000001"/>
    <x v="2"/>
    <x v="2"/>
    <x v="0"/>
    <n v="0.114624505928854"/>
    <n v="0.93965517241379304"/>
    <n v="37.082413793103399"/>
    <n v="39.463853211009202"/>
    <n v="0.98272952138294001"/>
    <n v="1.9827295213829399"/>
  </r>
  <r>
    <s v="CMP1241"/>
    <s v="Seasonal Steals"/>
    <x v="2"/>
    <x v="139"/>
    <d v="2024-06-09T00:00:00"/>
    <n v="25987.200000000001"/>
    <n v="16782.400000000001"/>
    <n v="1048"/>
    <n v="3196.8319999999999"/>
    <n v="5725.2479999999996"/>
    <x v="3"/>
    <x v="3"/>
    <x v="0"/>
    <n v="0.64579485285063398"/>
    <n v="6.2446372390123003E-2"/>
    <n v="0.190487177042616"/>
    <n v="3.0504122137404601"/>
    <n v="0.79091300387383501"/>
    <n v="1.7909130038738399"/>
  </r>
  <r>
    <s v="CMP1242"/>
    <s v="Flash Sale Frenzy"/>
    <x v="2"/>
    <x v="164"/>
    <d v="2024-02-29T00:00:00"/>
    <n v="29184"/>
    <n v="4097.6000000000004"/>
    <n v="3096"/>
    <n v="1067.3920000000001"/>
    <n v="3419.2959999999998"/>
    <x v="1"/>
    <x v="4"/>
    <x v="0"/>
    <n v="0.14040570175438599"/>
    <n v="0.75556423272159301"/>
    <n v="0.26049199531432998"/>
    <n v="0.34476485788113698"/>
    <n v="2.2034116800575601"/>
    <n v="3.2034116800575601"/>
  </r>
  <r>
    <s v="CMP1243"/>
    <s v="Seasonal Steals"/>
    <x v="0"/>
    <x v="217"/>
    <d v="2024-07-01T00:00:00"/>
    <n v="10168"/>
    <n v="7140.8"/>
    <n v="3827.2"/>
    <n v="3006.96"/>
    <n v="7689.28"/>
    <x v="1"/>
    <x v="1"/>
    <x v="0"/>
    <n v="0.70228166797796998"/>
    <n v="0.53596235715886198"/>
    <n v="0.42109567555456001"/>
    <n v="0.78568143812709001"/>
    <n v="1.55716072046186"/>
    <n v="2.55716072046186"/>
  </r>
  <r>
    <s v="CMP1244"/>
    <s v="Deal of the Day"/>
    <x v="3"/>
    <x v="58"/>
    <d v="2024-10-27T00:00:00"/>
    <n v="7102.4"/>
    <n v="5036.8"/>
    <n v="1240"/>
    <n v="5119.8559999999998"/>
    <n v="6331.1040000000003"/>
    <x v="1"/>
    <x v="4"/>
    <x v="1"/>
    <n v="0.70916873169632799"/>
    <n v="0.246188055908513"/>
    <n v="1.0164898348157601"/>
    <n v="4.1289161290322598"/>
    <n v="0.23657852877112201"/>
    <n v="1.23657852877112"/>
  </r>
  <r>
    <s v="CMP1245"/>
    <s v="Flash Sale Frenzy"/>
    <x v="3"/>
    <x v="112"/>
    <d v="2024-10-09T00:00:00"/>
    <n v="47963.199999999997"/>
    <n v="36896"/>
    <n v="31787.200000000001"/>
    <n v="4249.7920000000004"/>
    <n v="7759.8879999999999"/>
    <x v="1"/>
    <x v="4"/>
    <x v="1"/>
    <n v="0.76925642992961296"/>
    <n v="0.86153512575889002"/>
    <n v="0.115183000867303"/>
    <n v="0.133695072230332"/>
    <n v="0.82594536391428097"/>
    <n v="1.82594536391428"/>
  </r>
  <r>
    <s v="CMP1246"/>
    <s v="Flash Sale Frenzy"/>
    <x v="3"/>
    <x v="116"/>
    <d v="2024-08-23T00:00:00"/>
    <n v="55075.199999999997"/>
    <n v="36916.800000000003"/>
    <n v="2166.4"/>
    <n v="617.66399999999999"/>
    <n v="2188.1280000000002"/>
    <x v="2"/>
    <x v="0"/>
    <x v="1"/>
    <n v="0.67029806519086599"/>
    <n v="5.8683309495947598E-2"/>
    <n v="1.6731244311533E-2"/>
    <n v="0.285110782865583"/>
    <n v="2.5425862604911398"/>
    <n v="3.5425862604911398"/>
  </r>
  <r>
    <s v="CMP1247"/>
    <s v="Deal of the Day"/>
    <x v="2"/>
    <x v="199"/>
    <d v="2024-07-20T00:00:00"/>
    <n v="7376"/>
    <n v="6936"/>
    <n v="4006.4"/>
    <n v="1080.6559999999999"/>
    <n v="4093.6480000000001"/>
    <x v="0"/>
    <x v="2"/>
    <x v="0"/>
    <n v="0.94034707158351405"/>
    <n v="0.57762399077278004"/>
    <n v="0.15580392156862699"/>
    <n v="0.26973242811501602"/>
    <n v="2.78811388638012"/>
    <n v="3.78811388638012"/>
  </r>
  <r>
    <s v="CMP1248"/>
    <s v="Seasonal Steals"/>
    <x v="0"/>
    <x v="183"/>
    <d v="2024-07-10T00:00:00"/>
    <n v="20457.599999999999"/>
    <n v="9993.6"/>
    <n v="3003.2"/>
    <n v="5030.7359999999999"/>
    <n v="7838.72"/>
    <x v="4"/>
    <x v="1"/>
    <x v="0"/>
    <n v="0.48850305021116902"/>
    <n v="0.300512327889849"/>
    <n v="0.50339577329490903"/>
    <n v="1.6751251997868899"/>
    <n v="0.55816564415226699"/>
    <n v="1.55816564415227"/>
  </r>
  <r>
    <s v="CMP1249"/>
    <s v="Wishlist Wonders"/>
    <x v="3"/>
    <x v="48"/>
    <d v="2024-08-08T00:00:00"/>
    <n v="18012.8"/>
    <n v="6230.4"/>
    <n v="5932.8"/>
    <n v="3452.1759999999999"/>
    <n v="10848.88"/>
    <x v="1"/>
    <x v="2"/>
    <x v="1"/>
    <n v="0.34588736898205702"/>
    <n v="0.95223420647149504"/>
    <n v="0.55408577298407802"/>
    <n v="0.581879719525351"/>
    <n v="2.1426207702040698"/>
    <n v="3.1426207702040698"/>
  </r>
  <r>
    <s v="CMP1250"/>
    <s v="Flash Sale Frenzy"/>
    <x v="1"/>
    <x v="153"/>
    <d v="2024-04-18T00:00:00"/>
    <n v="18830.400000000001"/>
    <n v="7905.6"/>
    <n v="7163.2"/>
    <n v="3924.4639999999999"/>
    <n v="10919.871999999999"/>
    <x v="3"/>
    <x v="4"/>
    <x v="0"/>
    <n v="0.419831761407086"/>
    <n v="0.90609188423396103"/>
    <n v="0.49641570532280899"/>
    <n v="0.547864641501005"/>
    <n v="1.7825129750202799"/>
    <n v="2.7825129750202802"/>
  </r>
  <r>
    <s v="CMP1251"/>
    <s v="Cart to Couch"/>
    <x v="2"/>
    <x v="294"/>
    <d v="2024-09-04T00:00:00"/>
    <n v="17808"/>
    <n v="17356.8"/>
    <n v="6262.4"/>
    <n v="7808.88"/>
    <n v="22471.295999999998"/>
    <x v="4"/>
    <x v="2"/>
    <x v="1"/>
    <n v="0.97466307277627995"/>
    <n v="0.36080383480826"/>
    <n v="0.44990320796460198"/>
    <n v="1.2469468574348499"/>
    <n v="1.8776592802040799"/>
    <n v="2.8776592802040701"/>
  </r>
  <r>
    <s v="CMP1252"/>
    <s v="Shop &amp; Share"/>
    <x v="1"/>
    <x v="31"/>
    <d v="2024-11-08T00:00:00"/>
    <n v="15401.6"/>
    <n v="9491.2000000000007"/>
    <n v="8190.4"/>
    <n v="3371.712"/>
    <n v="7858.8159999999998"/>
    <x v="4"/>
    <x v="4"/>
    <x v="0"/>
    <n v="0.616247662580511"/>
    <n v="0.86294672960215801"/>
    <n v="0.35524612272420802"/>
    <n v="0.41166634108224298"/>
    <n v="1.3308087998025899"/>
    <n v="2.3308087998025901"/>
  </r>
  <r>
    <s v="CMP1253"/>
    <s v="Shop &amp; Share"/>
    <x v="2"/>
    <x v="260"/>
    <d v="2024-09-11T00:00:00"/>
    <n v="39272"/>
    <n v="1411.2"/>
    <n v="683.2"/>
    <n v="486.89600000000002"/>
    <n v="681.87199999999996"/>
    <x v="4"/>
    <x v="4"/>
    <x v="1"/>
    <n v="3.5933998777755098E-2"/>
    <n v="0.48412698412698402"/>
    <n v="0.34502267573696099"/>
    <n v="0.71266978922716595"/>
    <n v="0.40044691268771998"/>
    <n v="1.4004469126877199"/>
  </r>
  <r>
    <s v="CMP1254"/>
    <s v="Wishlist Wonders"/>
    <x v="1"/>
    <x v="20"/>
    <d v="2024-08-24T00:00:00"/>
    <n v="37310.400000000001"/>
    <n v="9798.4"/>
    <n v="7878.4"/>
    <n v="2958.672"/>
    <n v="3751.1039999999998"/>
    <x v="1"/>
    <x v="4"/>
    <x v="0"/>
    <n v="0.26261846562888602"/>
    <n v="0.80404964075767504"/>
    <n v="0.301954604833442"/>
    <n v="0.37554224207961001"/>
    <n v="0.26783367673064101"/>
    <n v="1.26783367673064"/>
  </r>
  <r>
    <s v="CMP1255"/>
    <s v="Flash Sale Frenzy"/>
    <x v="0"/>
    <x v="109"/>
    <d v="2024-09-26T00:00:00"/>
    <n v="8867.2000000000007"/>
    <n v="233.6"/>
    <n v="73.599999999999994"/>
    <n v="1016.112"/>
    <n v="3115.44"/>
    <x v="1"/>
    <x v="1"/>
    <x v="1"/>
    <n v="2.63442800433057E-2"/>
    <n v="0.31506849315068503"/>
    <n v="4.3497945205479498"/>
    <n v="13.805869565217399"/>
    <n v="2.0660399640984499"/>
    <n v="3.0660399640984499"/>
  </r>
  <r>
    <s v="CMP1256"/>
    <s v="Cart to Couch"/>
    <x v="1"/>
    <x v="178"/>
    <d v="2024-03-07T00:00:00"/>
    <n v="33243.199999999997"/>
    <n v="13433.6"/>
    <n v="10619.2"/>
    <n v="7951.3440000000001"/>
    <n v="14658.304"/>
    <x v="2"/>
    <x v="3"/>
    <x v="0"/>
    <n v="0.40410068826105799"/>
    <n v="0.790495474035255"/>
    <n v="0.59189971414959497"/>
    <n v="0.74877052885339801"/>
    <n v="0.84350016802190897"/>
    <n v="1.8435001680219101"/>
  </r>
  <r>
    <s v="CMP1257"/>
    <s v="Shop &amp; Share"/>
    <x v="0"/>
    <x v="233"/>
    <d v="2024-06-17T00:00:00"/>
    <n v="17660.8"/>
    <n v="7156.8"/>
    <n v="6182.4"/>
    <n v="979.13599999999997"/>
    <n v="2450.944"/>
    <x v="4"/>
    <x v="1"/>
    <x v="1"/>
    <n v="0.40523645587968798"/>
    <n v="0.863849765258216"/>
    <n v="0.136811983009166"/>
    <n v="0.15837474120082801"/>
    <n v="1.5031701418393399"/>
    <n v="2.5031701418393402"/>
  </r>
  <r>
    <s v="CMP1258"/>
    <s v="Flash Sale Frenzy"/>
    <x v="3"/>
    <x v="109"/>
    <d v="2024-09-20T00:00:00"/>
    <n v="51680"/>
    <n v="1345.6"/>
    <n v="1339.2"/>
    <n v="1226.5920000000001"/>
    <n v="3300.32"/>
    <x v="1"/>
    <x v="0"/>
    <x v="1"/>
    <n v="2.60371517027864E-2"/>
    <n v="0.99524375743162896"/>
    <n v="0.91155766944114203"/>
    <n v="0.91591397849462397"/>
    <n v="1.69064203908064"/>
    <n v="2.69064203908064"/>
  </r>
  <r>
    <s v="CMP1259"/>
    <s v="Deal of the Day"/>
    <x v="0"/>
    <x v="115"/>
    <d v="2024-07-13T00:00:00"/>
    <n v="21913.599999999999"/>
    <n v="13963.2"/>
    <n v="13865.6"/>
    <n v="4863.2"/>
    <n v="9410.4159999999993"/>
    <x v="4"/>
    <x v="3"/>
    <x v="1"/>
    <n v="0.63719334112149495"/>
    <n v="0.99301019823536196"/>
    <n v="0.34828692563309299"/>
    <n v="0.35073851834756498"/>
    <n v="0.93502549761473897"/>
    <n v="1.9350254976147401"/>
  </r>
  <r>
    <s v="CMP1260"/>
    <s v="Wishlist Wonders"/>
    <x v="1"/>
    <x v="182"/>
    <d v="2024-07-12T00:00:00"/>
    <n v="56748.800000000003"/>
    <n v="43427.199999999997"/>
    <n v="10465.6"/>
    <n v="5986.6080000000002"/>
    <n v="10993.487999999999"/>
    <x v="1"/>
    <x v="1"/>
    <x v="0"/>
    <n v="0.765253185970452"/>
    <n v="0.24099182079434101"/>
    <n v="0.13785387959619799"/>
    <n v="0.57202721296437897"/>
    <n v="0.83634672589219095"/>
    <n v="1.8363467258921899"/>
  </r>
  <r>
    <s v="CMP1261"/>
    <s v="Deal of the Day"/>
    <x v="3"/>
    <x v="90"/>
    <d v="2024-08-05T00:00:00"/>
    <n v="47672"/>
    <n v="1326.4"/>
    <n v="752"/>
    <n v="5100.2719999999999"/>
    <n v="14317.856"/>
    <x v="4"/>
    <x v="2"/>
    <x v="1"/>
    <n v="2.7823460312132901E-2"/>
    <n v="0.56694813027744295"/>
    <n v="3.8451990349819098"/>
    <n v="6.7822765957446798"/>
    <n v="1.8072730238701"/>
    <n v="2.8072730238701"/>
  </r>
  <r>
    <s v="CMP1262"/>
    <s v="Seasonal Steals"/>
    <x v="0"/>
    <x v="278"/>
    <d v="2024-03-19T00:00:00"/>
    <n v="77136"/>
    <n v="41736"/>
    <n v="5958.4"/>
    <n v="6530.1760000000004"/>
    <n v="16445.008000000002"/>
    <x v="3"/>
    <x v="2"/>
    <x v="0"/>
    <n v="0.54107031736154299"/>
    <n v="0.14276404063638101"/>
    <n v="0.15646386812344301"/>
    <n v="1.0959613319011801"/>
    <n v="1.51831007311288"/>
    <n v="2.5183100731128798"/>
  </r>
  <r>
    <s v="CMP1263"/>
    <s v="Shop &amp; Share"/>
    <x v="1"/>
    <x v="108"/>
    <d v="2024-06-27T00:00:00"/>
    <n v="44550.400000000001"/>
    <n v="18123.2"/>
    <n v="3844.8"/>
    <n v="2616.768"/>
    <n v="9178.6560000000009"/>
    <x v="1"/>
    <x v="1"/>
    <x v="1"/>
    <n v="0.40680218359431097"/>
    <n v="0.21214796503928701"/>
    <n v="0.14438774609340499"/>
    <n v="0.68059925093633"/>
    <n v="2.5076307872918"/>
    <n v="3.5076307872918"/>
  </r>
  <r>
    <s v="CMP1264"/>
    <s v="Shop &amp; Share"/>
    <x v="1"/>
    <x v="128"/>
    <d v="2024-09-22T00:00:00"/>
    <n v="31356.799999999999"/>
    <n v="2393.6"/>
    <n v="1321.6"/>
    <n v="3280.5439999999999"/>
    <n v="6178.8639999999996"/>
    <x v="4"/>
    <x v="2"/>
    <x v="1"/>
    <n v="7.6334319828553904E-2"/>
    <n v="0.55213903743315496"/>
    <n v="1.37054812834225"/>
    <n v="2.4822518159806299"/>
    <n v="0.88348761668796405"/>
    <n v="1.8834876166879599"/>
  </r>
  <r>
    <s v="CMP1265"/>
    <s v="Wishlist Wonders"/>
    <x v="1"/>
    <x v="235"/>
    <d v="2024-05-02T00:00:00"/>
    <n v="49875.199999999997"/>
    <n v="23464"/>
    <n v="16566.400000000001"/>
    <n v="1497.472"/>
    <n v="4378.5919999999996"/>
    <x v="4"/>
    <x v="0"/>
    <x v="1"/>
    <n v="0.47045425381752898"/>
    <n v="0.70603477667916803"/>
    <n v="6.3819979543129901E-2"/>
    <n v="9.0392118987830797E-2"/>
    <n v="1.9239892298487"/>
    <n v="2.9239892298486998"/>
  </r>
  <r>
    <s v="CMP1266"/>
    <s v="Flash Sale Frenzy"/>
    <x v="3"/>
    <x v="50"/>
    <d v="2024-06-11T00:00:00"/>
    <n v="3974.4"/>
    <n v="3444.8"/>
    <n v="2756.8"/>
    <n v="3025.3119999999999"/>
    <n v="11876.016"/>
    <x v="0"/>
    <x v="2"/>
    <x v="0"/>
    <n v="0.86674718196457301"/>
    <n v="0.80027868091035803"/>
    <n v="0.87822573153739003"/>
    <n v="1.0973998839233901"/>
    <n v="2.9255508192212898"/>
    <n v="3.9255508192212898"/>
  </r>
  <r>
    <s v="CMP1267"/>
    <s v="Shop &amp; Share"/>
    <x v="3"/>
    <x v="174"/>
    <d v="2024-05-30T00:00:00"/>
    <n v="48480"/>
    <n v="5483.2"/>
    <n v="3097.6"/>
    <n v="5012.4319999999998"/>
    <n v="6969.9679999999998"/>
    <x v="1"/>
    <x v="0"/>
    <x v="1"/>
    <n v="0.113102310231023"/>
    <n v="0.56492559089582695"/>
    <n v="0.91414356580099199"/>
    <n v="1.6181663223140501"/>
    <n v="0.390536170864762"/>
    <n v="1.3905361708647599"/>
  </r>
  <r>
    <s v="CMP1268"/>
    <s v="Deal of the Day"/>
    <x v="1"/>
    <x v="48"/>
    <d v="2024-08-21T00:00:00"/>
    <n v="75987.199999999997"/>
    <n v="67044.800000000003"/>
    <n v="42441.599999999999"/>
    <n v="1136.8800000000001"/>
    <n v="4415.0240000000003"/>
    <x v="3"/>
    <x v="2"/>
    <x v="1"/>
    <n v="0.88231702181420002"/>
    <n v="0.63303343436030801"/>
    <n v="1.6957019783786401E-2"/>
    <n v="2.6786926034833802E-2"/>
    <n v="2.8834564773766802"/>
    <n v="3.8834564773766802"/>
  </r>
  <r>
    <s v="CMP1269"/>
    <s v="Cart to Couch"/>
    <x v="0"/>
    <x v="139"/>
    <d v="2024-06-02T00:00:00"/>
    <n v="77616"/>
    <n v="8542.4"/>
    <n v="2748.8"/>
    <n v="283.024"/>
    <n v="619.23199999999997"/>
    <x v="1"/>
    <x v="3"/>
    <x v="1"/>
    <n v="0.11005978148835301"/>
    <n v="0.32178310545045902"/>
    <n v="3.31316725978648E-2"/>
    <n v="0.102962747380675"/>
    <n v="1.1879133925038201"/>
    <n v="2.1879133925038201"/>
  </r>
  <r>
    <s v="CMP1270"/>
    <s v="Wishlist Wonders"/>
    <x v="3"/>
    <x v="101"/>
    <d v="2024-05-24T00:00:00"/>
    <n v="58856"/>
    <n v="58716.800000000003"/>
    <n v="39958.400000000001"/>
    <n v="4501.6000000000004"/>
    <n v="16839.648000000001"/>
    <x v="4"/>
    <x v="2"/>
    <x v="1"/>
    <n v="0.99763490553214595"/>
    <n v="0.68052754918524205"/>
    <n v="7.6666303340781505E-2"/>
    <n v="0.112657163449988"/>
    <n v="2.7408139328238801"/>
    <n v="3.7408139328238801"/>
  </r>
  <r>
    <s v="CMP1271"/>
    <s v="Deal of the Day"/>
    <x v="3"/>
    <x v="105"/>
    <d v="2024-10-02T00:00:00"/>
    <n v="18870.400000000001"/>
    <n v="2017.6"/>
    <n v="70.400000000000006"/>
    <n v="1675.7439999999999"/>
    <n v="2670.2080000000001"/>
    <x v="2"/>
    <x v="2"/>
    <x v="0"/>
    <n v="0.10691877225708001"/>
    <n v="3.4892942109436997E-2"/>
    <n v="0.83056304520222002"/>
    <n v="23.803181818181798"/>
    <n v="0.59344625432046905"/>
    <n v="1.5934462543204699"/>
  </r>
  <r>
    <s v="CMP1272"/>
    <s v="Flash Sale Frenzy"/>
    <x v="2"/>
    <x v="248"/>
    <d v="2024-05-04T00:00:00"/>
    <n v="21707.200000000001"/>
    <n v="14716.8"/>
    <n v="7329.6"/>
    <n v="404.01600000000002"/>
    <n v="1247.3119999999999"/>
    <x v="1"/>
    <x v="4"/>
    <x v="1"/>
    <n v="0.67796860028009098"/>
    <n v="0.498043052837573"/>
    <n v="2.7452707110241399E-2"/>
    <n v="5.5121152586771499E-2"/>
    <n v="2.0872836719337799"/>
    <n v="3.0872836719337799"/>
  </r>
  <r>
    <s v="CMP1273"/>
    <s v="Wishlist Wonders"/>
    <x v="2"/>
    <x v="252"/>
    <d v="2024-07-23T00:00:00"/>
    <n v="71417.600000000006"/>
    <n v="69568"/>
    <n v="20632"/>
    <n v="7164.56"/>
    <n v="26261.407999999999"/>
    <x v="0"/>
    <x v="0"/>
    <x v="0"/>
    <n v="0.97410162200914097"/>
    <n v="0.29657313707451699"/>
    <n v="0.10298643054277801"/>
    <n v="0.34725474990306299"/>
    <n v="2.6654599863773898"/>
    <n v="3.6654599863773898"/>
  </r>
  <r>
    <s v="CMP1274"/>
    <s v="Seasonal Steals"/>
    <x v="0"/>
    <x v="132"/>
    <d v="2024-04-21T00:00:00"/>
    <n v="52755.199999999997"/>
    <n v="5561.6"/>
    <n v="2747.2"/>
    <n v="233.71199999999999"/>
    <n v="714.44799999999998"/>
    <x v="4"/>
    <x v="0"/>
    <x v="1"/>
    <n v="0.105422782967366"/>
    <n v="0.49395857307249702"/>
    <n v="4.2022439585730702E-2"/>
    <n v="8.5072801397786793E-2"/>
    <n v="2.0569589922639802"/>
    <n v="3.0569589922639802"/>
  </r>
  <r>
    <s v="CMP1275"/>
    <s v="Cart to Couch"/>
    <x v="2"/>
    <x v="288"/>
    <d v="2024-02-26T00:00:00"/>
    <n v="61902.400000000001"/>
    <n v="56484.800000000003"/>
    <n v="21568"/>
    <n v="5123.04"/>
    <n v="16119.536"/>
    <x v="0"/>
    <x v="0"/>
    <x v="0"/>
    <n v="0.91248158391274004"/>
    <n v="0.38183723762853"/>
    <n v="9.0697674418604601E-2"/>
    <n v="0.237529673590504"/>
    <n v="2.1464786532995999"/>
    <n v="3.1464786532995999"/>
  </r>
  <r>
    <s v="CMP1276"/>
    <s v="Cart to Couch"/>
    <x v="2"/>
    <x v="166"/>
    <d v="2024-05-04T00:00:00"/>
    <n v="59134.400000000001"/>
    <n v="4430.3999999999996"/>
    <n v="2456"/>
    <n v="3478.9920000000002"/>
    <n v="8278.7360000000008"/>
    <x v="1"/>
    <x v="2"/>
    <x v="1"/>
    <n v="7.4920858248329197E-2"/>
    <n v="0.55435175153484995"/>
    <n v="0.78525460455037899"/>
    <n v="1.4165276872964201"/>
    <n v="1.3796364004286299"/>
    <n v="2.3796364004286299"/>
  </r>
  <r>
    <s v="CMP1277"/>
    <s v="Deal of the Day"/>
    <x v="3"/>
    <x v="168"/>
    <d v="2024-07-10T00:00:00"/>
    <n v="19537.599999999999"/>
    <n v="9662.4"/>
    <n v="4608"/>
    <n v="6122.3519999999999"/>
    <n v="16110.111999999999"/>
    <x v="3"/>
    <x v="0"/>
    <x v="1"/>
    <n v="0.49455409057407301"/>
    <n v="0.47690014903129702"/>
    <n v="0.63362642821659199"/>
    <n v="1.3286354166666701"/>
    <n v="1.63135997407532"/>
    <n v="2.6313599740753202"/>
  </r>
  <r>
    <s v="CMP1278"/>
    <s v="Deal of the Day"/>
    <x v="1"/>
    <x v="17"/>
    <d v="2024-04-14T00:00:00"/>
    <n v="69896"/>
    <n v="7737.6"/>
    <n v="1576"/>
    <n v="972.35199999999998"/>
    <n v="2571.1680000000001"/>
    <x v="3"/>
    <x v="2"/>
    <x v="1"/>
    <n v="0.110701613826256"/>
    <n v="0.20368072787427599"/>
    <n v="0.12566583953680699"/>
    <n v="0.61697461928934005"/>
    <n v="1.64427696965708"/>
    <n v="2.64427696965708"/>
  </r>
  <r>
    <s v="CMP1279"/>
    <s v="Deal of the Day"/>
    <x v="0"/>
    <x v="218"/>
    <d v="2024-02-11T00:00:00"/>
    <n v="42121.599999999999"/>
    <n v="23636.799999999999"/>
    <n v="4108.8"/>
    <n v="1402.528"/>
    <n v="5529.8720000000003"/>
    <x v="3"/>
    <x v="1"/>
    <x v="1"/>
    <n v="0.56115627136670998"/>
    <n v="0.173830636972856"/>
    <n v="5.9336627631489898E-2"/>
    <n v="0.341347352024922"/>
    <n v="2.94278902096785"/>
    <n v="3.94278902096785"/>
  </r>
  <r>
    <s v="CMP1280"/>
    <s v="Seasonal Steals"/>
    <x v="1"/>
    <x v="225"/>
    <d v="2024-04-18T00:00:00"/>
    <n v="66132.800000000003"/>
    <n v="45132.800000000003"/>
    <n v="8331.2000000000007"/>
    <n v="4134.3999999999996"/>
    <n v="12256.208000000001"/>
    <x v="0"/>
    <x v="4"/>
    <x v="1"/>
    <n v="0.68245711658965003"/>
    <n v="0.184593023255814"/>
    <n v="9.1605218377765196E-2"/>
    <n v="0.49625504129057002"/>
    <n v="1.96444659442724"/>
    <n v="2.96444659442724"/>
  </r>
  <r>
    <s v="CMP1281"/>
    <s v="Shop &amp; Share"/>
    <x v="3"/>
    <x v="149"/>
    <d v="2024-04-19T00:00:00"/>
    <n v="79116.800000000003"/>
    <n v="48694.400000000001"/>
    <n v="27932.799999999999"/>
    <n v="1814.336"/>
    <n v="3214.7040000000002"/>
    <x v="1"/>
    <x v="3"/>
    <x v="1"/>
    <n v="0.61547484225853399"/>
    <n v="0.57363475060787295"/>
    <n v="3.7259643819412498E-2"/>
    <n v="6.4953602932752902E-2"/>
    <n v="0.77183498536103601"/>
    <n v="1.77183498536104"/>
  </r>
  <r>
    <s v="CMP1282"/>
    <s v="Shop &amp; Share"/>
    <x v="3"/>
    <x v="11"/>
    <d v="2024-10-09T00:00:00"/>
    <n v="15377.6"/>
    <n v="3417.6"/>
    <n v="606.4"/>
    <n v="7726.9920000000002"/>
    <n v="19248.608"/>
    <x v="4"/>
    <x v="3"/>
    <x v="1"/>
    <n v="0.222245343876808"/>
    <n v="0.177434456928839"/>
    <n v="2.26094101123596"/>
    <n v="12.742401055408999"/>
    <n v="1.4910868291309201"/>
    <n v="2.4910868291309201"/>
  </r>
  <r>
    <s v="CMP1283"/>
    <s v="Deal of the Day"/>
    <x v="0"/>
    <x v="80"/>
    <d v="2024-11-11T00:00:00"/>
    <n v="19731.2"/>
    <n v="7838.4"/>
    <n v="4123.2"/>
    <n v="2587.2640000000001"/>
    <n v="8772.6080000000002"/>
    <x v="4"/>
    <x v="1"/>
    <x v="1"/>
    <n v="0.39725916315277299"/>
    <n v="0.52602571953459898"/>
    <n v="0.330075525617473"/>
    <n v="0.627489328676756"/>
    <n v="2.3906891604412999"/>
    <n v="3.3906891604412999"/>
  </r>
  <r>
    <s v="CMP1284"/>
    <s v="Deal of the Day"/>
    <x v="1"/>
    <x v="195"/>
    <d v="2024-04-11T00:00:00"/>
    <n v="71265.600000000006"/>
    <n v="66587.199999999997"/>
    <n v="49627.199999999997"/>
    <n v="2907.1680000000001"/>
    <n v="5016.6080000000002"/>
    <x v="1"/>
    <x v="2"/>
    <x v="0"/>
    <n v="0.93435261893536303"/>
    <n v="0.74529639330081499"/>
    <n v="4.3659562198140198E-2"/>
    <n v="5.8580133475190997E-2"/>
    <n v="0.72559962134971201"/>
    <n v="1.72559962134971"/>
  </r>
  <r>
    <s v="CMP1285"/>
    <s v="Flash Sale Frenzy"/>
    <x v="0"/>
    <x v="261"/>
    <d v="2024-10-02T00:00:00"/>
    <n v="45392"/>
    <n v="21422.400000000001"/>
    <n v="10740.8"/>
    <n v="965.10400000000004"/>
    <n v="2132.0479999999998"/>
    <x v="2"/>
    <x v="4"/>
    <x v="0"/>
    <n v="0.47194219245682101"/>
    <n v="0.50138173127193997"/>
    <n v="4.5051161401150203E-2"/>
    <n v="8.9854014598540199E-2"/>
    <n v="1.2091380825278899"/>
    <n v="2.2091380825278901"/>
  </r>
  <r>
    <s v="CMP1286"/>
    <s v="Flash Sale Frenzy"/>
    <x v="0"/>
    <x v="248"/>
    <d v="2024-04-18T00:00:00"/>
    <n v="11937.6"/>
    <n v="10377.6"/>
    <n v="4220.8"/>
    <n v="1147.904"/>
    <n v="1916.6880000000001"/>
    <x v="3"/>
    <x v="3"/>
    <x v="1"/>
    <n v="0.86932046642541205"/>
    <n v="0.40672217082947898"/>
    <n v="0.110613629355535"/>
    <n v="0.27196360879454101"/>
    <n v="0.66972847903657495"/>
    <n v="1.6697284790365701"/>
  </r>
  <r>
    <s v="CMP1287"/>
    <s v="Wishlist Wonders"/>
    <x v="1"/>
    <x v="144"/>
    <d v="2024-04-12T00:00:00"/>
    <n v="79692.800000000003"/>
    <n v="32083.200000000001"/>
    <n v="3819.2"/>
    <n v="577.53599999999994"/>
    <n v="2133.0239999999999"/>
    <x v="4"/>
    <x v="1"/>
    <x v="1"/>
    <n v="0.402585929971089"/>
    <n v="0.11904049471374401"/>
    <n v="1.8001196888091001E-2"/>
    <n v="0.15121910347716799"/>
    <n v="2.6933178191489402"/>
    <n v="3.6933178191489402"/>
  </r>
  <r>
    <s v="CMP1288"/>
    <s v="Wishlist Wonders"/>
    <x v="0"/>
    <x v="24"/>
    <d v="2024-03-24T00:00:00"/>
    <n v="33368"/>
    <n v="8588.7999999999993"/>
    <n v="4817.6000000000004"/>
    <n v="682.35199999999998"/>
    <n v="1013.984"/>
    <x v="4"/>
    <x v="3"/>
    <x v="1"/>
    <n v="0.25739630783984702"/>
    <n v="0.56091654247391998"/>
    <n v="7.9446721311475399E-2"/>
    <n v="0.14163732979076701"/>
    <n v="0.48601308415597799"/>
    <n v="1.48601308415598"/>
  </r>
  <r>
    <s v="CMP1289"/>
    <s v="Wishlist Wonders"/>
    <x v="3"/>
    <x v="169"/>
    <d v="2024-01-24T00:00:00"/>
    <n v="6784"/>
    <n v="6328"/>
    <n v="3742.4"/>
    <n v="4487.6319999999996"/>
    <n v="8554.0480000000007"/>
    <x v="4"/>
    <x v="2"/>
    <x v="0"/>
    <n v="0.93278301886792403"/>
    <n v="0.59140328697850797"/>
    <n v="0.709170670037927"/>
    <n v="1.1991321077383501"/>
    <n v="0.90613847124719704"/>
    <n v="1.9061384712472"/>
  </r>
  <r>
    <s v="CMP1290"/>
    <s v="Deal of the Day"/>
    <x v="0"/>
    <x v="249"/>
    <d v="2024-03-05T00:00:00"/>
    <n v="40254.400000000001"/>
    <n v="32091.200000000001"/>
    <n v="7544"/>
    <n v="4875.6639999999998"/>
    <n v="13243.248"/>
    <x v="0"/>
    <x v="1"/>
    <x v="1"/>
    <n v="0.797209746015342"/>
    <n v="0.23508002193747801"/>
    <n v="0.15193149523857"/>
    <n v="0.64629692470837796"/>
    <n v="1.71619373279209"/>
    <n v="2.7161937327920902"/>
  </r>
  <r>
    <s v="CMP1291"/>
    <s v="Cart to Couch"/>
    <x v="2"/>
    <x v="90"/>
    <d v="2024-07-25T00:00:00"/>
    <n v="27558.400000000001"/>
    <n v="17969.599999999999"/>
    <n v="16608"/>
    <n v="7307.9359999999997"/>
    <n v="21365.184000000001"/>
    <x v="0"/>
    <x v="1"/>
    <x v="1"/>
    <n v="0.652055271713888"/>
    <n v="0.92422758436470498"/>
    <n v="0.40668328732971198"/>
    <n v="0.44002504816955701"/>
    <n v="1.92355926488683"/>
    <n v="2.9235592648868298"/>
  </r>
  <r>
    <s v="CMP1292"/>
    <s v="Shop &amp; Share"/>
    <x v="3"/>
    <x v="175"/>
    <d v="2024-04-01T00:00:00"/>
    <n v="42635.199999999997"/>
    <n v="184"/>
    <n v="161.6"/>
    <n v="2346.8000000000002"/>
    <n v="4854.0320000000002"/>
    <x v="0"/>
    <x v="1"/>
    <x v="1"/>
    <n v="4.3156828160768601E-3"/>
    <n v="0.87826086956521698"/>
    <n v="12.754347826087001"/>
    <n v="14.5222772277228"/>
    <n v="1.0683620248849499"/>
    <n v="2.0683620248849501"/>
  </r>
  <r>
    <s v="CMP1293"/>
    <s v="Flash Sale Frenzy"/>
    <x v="3"/>
    <x v="229"/>
    <d v="2024-05-06T00:00:00"/>
    <n v="24772.799999999999"/>
    <n v="21977.599999999999"/>
    <n v="20736"/>
    <n v="2110.4479999999999"/>
    <n v="5947.232"/>
    <x v="0"/>
    <x v="1"/>
    <x v="0"/>
    <n v="0.887166569786217"/>
    <n v="0.94350611531741402"/>
    <n v="9.6027227722772293E-2"/>
    <n v="0.101777006172839"/>
    <n v="1.81799504181103"/>
    <n v="2.81799504181103"/>
  </r>
  <r>
    <s v="CMP1294"/>
    <s v="Deal of the Day"/>
    <x v="0"/>
    <x v="201"/>
    <d v="2024-03-31T00:00:00"/>
    <n v="23656"/>
    <n v="19507.2"/>
    <n v="14459.2"/>
    <n v="3774.944"/>
    <n v="7297.5680000000002"/>
    <x v="3"/>
    <x v="0"/>
    <x v="1"/>
    <n v="0.82461954683801197"/>
    <n v="0.74122375328084"/>
    <n v="0.19351541994750701"/>
    <n v="0.261075578178599"/>
    <n v="0.93315927335610804"/>
    <n v="1.93315927335611"/>
  </r>
  <r>
    <s v="CMP1295"/>
    <s v="Flash Sale Frenzy"/>
    <x v="1"/>
    <x v="177"/>
    <d v="2024-06-29T00:00:00"/>
    <n v="28489.599999999999"/>
    <n v="9096"/>
    <n v="3526.4"/>
    <n v="7556.7839999999997"/>
    <n v="24702"/>
    <x v="0"/>
    <x v="1"/>
    <x v="0"/>
    <n v="0.31927440188700401"/>
    <n v="0.38768689533861"/>
    <n v="0.83078100263852195"/>
    <n v="2.1429174228675101"/>
    <n v="2.2688508762457702"/>
    <n v="3.2688508762457702"/>
  </r>
  <r>
    <s v="CMP1296"/>
    <s v="Wishlist Wonders"/>
    <x v="1"/>
    <x v="222"/>
    <d v="2024-02-20T00:00:00"/>
    <n v="34884.800000000003"/>
    <n v="11976"/>
    <n v="1571.2"/>
    <n v="6162.0959999999995"/>
    <n v="17375.472000000002"/>
    <x v="3"/>
    <x v="1"/>
    <x v="0"/>
    <n v="0.34330138054396198"/>
    <n v="0.13119572478289901"/>
    <n v="0.51453707414829697"/>
    <n v="3.9219042769857402"/>
    <n v="1.8197340645131099"/>
    <n v="2.8197340645131099"/>
  </r>
  <r>
    <s v="CMP1297"/>
    <s v="Cart to Couch"/>
    <x v="2"/>
    <x v="247"/>
    <d v="2024-05-11T00:00:00"/>
    <n v="27105.599999999999"/>
    <n v="5040"/>
    <n v="1628.8"/>
    <n v="6099.808"/>
    <n v="20005.968000000001"/>
    <x v="1"/>
    <x v="3"/>
    <x v="1"/>
    <n v="0.185939436869134"/>
    <n v="0.323174603174603"/>
    <n v="1.21027936507937"/>
    <n v="3.7449705304518699"/>
    <n v="2.2797701173545102"/>
    <n v="3.2797701173545102"/>
  </r>
  <r>
    <s v="CMP1298"/>
    <s v="Shop &amp; Share"/>
    <x v="2"/>
    <x v="46"/>
    <d v="2024-05-30T00:00:00"/>
    <n v="12124.8"/>
    <n v="2291.1999999999998"/>
    <n v="512"/>
    <n v="3744.8159999999998"/>
    <n v="14945.92"/>
    <x v="3"/>
    <x v="4"/>
    <x v="0"/>
    <n v="0.18896806545262601"/>
    <n v="0.223463687150838"/>
    <n v="1.6344343575419"/>
    <n v="7.3140937499999996"/>
    <n v="2.99109595771862"/>
    <n v="3.99109595771862"/>
  </r>
  <r>
    <s v="CMP1299"/>
    <s v="Cart to Couch"/>
    <x v="3"/>
    <x v="78"/>
    <d v="2024-09-15T00:00:00"/>
    <n v="34060.800000000003"/>
    <n v="883.2"/>
    <n v="220.8"/>
    <n v="4069.2159999999999"/>
    <n v="8268.32"/>
    <x v="2"/>
    <x v="4"/>
    <x v="0"/>
    <n v="2.5930101465614398E-2"/>
    <n v="0.25"/>
    <n v="4.6073550724637702"/>
    <n v="18.429420289855099"/>
    <n v="1.0319196621658799"/>
    <n v="2.0319196621658802"/>
  </r>
  <r>
    <s v="CMP1300"/>
    <s v="Wishlist Wonders"/>
    <x v="1"/>
    <x v="191"/>
    <d v="2024-06-12T00:00:00"/>
    <n v="12921.6"/>
    <n v="10025.6"/>
    <n v="6755.2"/>
    <n v="7344.4160000000002"/>
    <n v="27672.383999999998"/>
    <x v="3"/>
    <x v="1"/>
    <x v="1"/>
    <n v="0.77587914809311498"/>
    <n v="0.67379508458346604"/>
    <n v="0.73256623045004798"/>
    <n v="1.08722406442444"/>
    <n v="2.767812716491"/>
    <n v="3.767812716491"/>
  </r>
  <r>
    <s v="CMP1301"/>
    <s v="Shop &amp; Share"/>
    <x v="2"/>
    <x v="270"/>
    <d v="2024-02-26T00:00:00"/>
    <n v="48260.800000000003"/>
    <n v="15979.2"/>
    <n v="11302.4"/>
    <n v="1957.5360000000001"/>
    <n v="3655.5520000000001"/>
    <x v="4"/>
    <x v="3"/>
    <x v="1"/>
    <n v="0.331101017803269"/>
    <n v="0.70731951536998094"/>
    <n v="0.122505256833884"/>
    <n v="0.173196489241223"/>
    <n v="0.86742517123567597"/>
    <n v="1.86742517123568"/>
  </r>
  <r>
    <s v="CMP1302"/>
    <s v="Seasonal Steals"/>
    <x v="3"/>
    <x v="268"/>
    <d v="2024-09-25T00:00:00"/>
    <n v="74641.600000000006"/>
    <n v="30710.400000000001"/>
    <n v="3993.6"/>
    <n v="3845.7759999999998"/>
    <n v="12840.784"/>
    <x v="2"/>
    <x v="1"/>
    <x v="1"/>
    <n v="0.41143812565646998"/>
    <n v="0.13004063769928101"/>
    <n v="0.12522715431905801"/>
    <n v="0.96298477564102603"/>
    <n v="2.3389318566655999"/>
    <n v="3.3389318566655999"/>
  </r>
  <r>
    <s v="CMP1303"/>
    <s v="Wishlist Wonders"/>
    <x v="3"/>
    <x v="139"/>
    <d v="2024-05-22T00:00:00"/>
    <n v="37724.800000000003"/>
    <n v="16793.599999999999"/>
    <n v="4564.8"/>
    <n v="7568.2240000000002"/>
    <n v="14152.448"/>
    <x v="0"/>
    <x v="1"/>
    <x v="1"/>
    <n v="0.44516074306557002"/>
    <n v="0.27181783536585402"/>
    <n v="0.45066120426829298"/>
    <n v="1.6579530318962501"/>
    <n v="0.86998270664293198"/>
    <n v="1.86998270664293"/>
  </r>
  <r>
    <s v="CMP1304"/>
    <s v="Cart to Couch"/>
    <x v="1"/>
    <x v="64"/>
    <d v="2024-02-22T00:00:00"/>
    <n v="48360"/>
    <n v="19756.8"/>
    <n v="4560"/>
    <n v="5262.4"/>
    <n v="9379.0239999999994"/>
    <x v="2"/>
    <x v="2"/>
    <x v="1"/>
    <n v="0.40853598014888298"/>
    <n v="0.23080660835762901"/>
    <n v="0.26635892452219001"/>
    <n v="1.1540350877193"/>
    <n v="0.78227120705381603"/>
    <n v="1.78227120705382"/>
  </r>
  <r>
    <s v="CMP1305"/>
    <s v="Flash Sale Frenzy"/>
    <x v="2"/>
    <x v="161"/>
    <d v="2024-09-03T00:00:00"/>
    <n v="14371.2"/>
    <n v="13608"/>
    <n v="10646.4"/>
    <n v="1810.288"/>
    <n v="4903.4560000000001"/>
    <x v="1"/>
    <x v="4"/>
    <x v="0"/>
    <n v="0.94689378757514997"/>
    <n v="0.78236331569664896"/>
    <n v="0.13303115814226901"/>
    <n v="0.170037571385633"/>
    <n v="1.7086607213879801"/>
    <n v="2.7086607213879801"/>
  </r>
  <r>
    <s v="CMP1306"/>
    <s v="Seasonal Steals"/>
    <x v="0"/>
    <x v="140"/>
    <d v="2024-09-13T00:00:00"/>
    <n v="40716.800000000003"/>
    <n v="3859.2"/>
    <n v="1856"/>
    <n v="1006.5119999999999"/>
    <n v="2121.2159999999999"/>
    <x v="0"/>
    <x v="1"/>
    <x v="1"/>
    <n v="9.4781515246777706E-2"/>
    <n v="0.48092868988391402"/>
    <n v="0.26080845771144301"/>
    <n v="0.54230172413793098"/>
    <n v="1.1074920120177401"/>
    <n v="2.1074920120177398"/>
  </r>
  <r>
    <s v="CMP1307"/>
    <s v="Wishlist Wonders"/>
    <x v="3"/>
    <x v="210"/>
    <d v="2024-03-08T00:00:00"/>
    <n v="36379.199999999997"/>
    <n v="32046.400000000001"/>
    <n v="18272"/>
    <n v="1860.4480000000001"/>
    <n v="5077.04"/>
    <x v="2"/>
    <x v="2"/>
    <x v="0"/>
    <n v="0.88089897523859795"/>
    <n v="0.57017324878925602"/>
    <n v="5.8054820510260098E-2"/>
    <n v="0.101819614711033"/>
    <n v="1.72893410619378"/>
    <n v="2.7289341061937802"/>
  </r>
  <r>
    <s v="CMP1308"/>
    <s v="Wishlist Wonders"/>
    <x v="3"/>
    <x v="266"/>
    <d v="2024-05-26T00:00:00"/>
    <n v="50536"/>
    <n v="43801.599999999999"/>
    <n v="26472"/>
    <n v="6551.7280000000001"/>
    <n v="9230.24"/>
    <x v="3"/>
    <x v="4"/>
    <x v="1"/>
    <n v="0.86674054139623202"/>
    <n v="0.60436148451198102"/>
    <n v="0.14957736703682101"/>
    <n v="0.24749652462979799"/>
    <n v="0.40882527479773301"/>
    <n v="1.4088252747977299"/>
  </r>
  <r>
    <s v="CMP1309"/>
    <s v="Wishlist Wonders"/>
    <x v="2"/>
    <x v="3"/>
    <d v="2024-05-10T00:00:00"/>
    <n v="65294.400000000001"/>
    <n v="8268.7999999999993"/>
    <n v="4630.3999999999996"/>
    <n v="7710.08"/>
    <n v="17319.52"/>
    <x v="1"/>
    <x v="2"/>
    <x v="1"/>
    <n v="0.126638731652332"/>
    <n v="0.55998452012383904"/>
    <n v="0.93243034055727603"/>
    <n v="1.6651002073254999"/>
    <n v="1.2463476384162"/>
    <n v="2.2463476384162"/>
  </r>
  <r>
    <s v="CMP1310"/>
    <s v="Seasonal Steals"/>
    <x v="2"/>
    <x v="155"/>
    <d v="2024-05-23T00:00:00"/>
    <n v="11062.4"/>
    <n v="1480"/>
    <n v="62.4"/>
    <n v="1786.3520000000001"/>
    <n v="4226.6719999999996"/>
    <x v="4"/>
    <x v="3"/>
    <x v="1"/>
    <n v="0.133786520104137"/>
    <n v="4.2162162162162203E-2"/>
    <n v="1.2069945945945899"/>
    <n v="28.627435897435898"/>
    <n v="1.3660913414601401"/>
    <n v="2.3660913414601401"/>
  </r>
  <r>
    <s v="CMP1311"/>
    <s v="Wishlist Wonders"/>
    <x v="1"/>
    <x v="122"/>
    <d v="2024-02-22T00:00:00"/>
    <n v="52867.199999999997"/>
    <n v="46468.800000000003"/>
    <n v="44256"/>
    <n v="5123.8879999999999"/>
    <n v="17229.952000000001"/>
    <x v="0"/>
    <x v="3"/>
    <x v="0"/>
    <n v="0.87897221717813701"/>
    <n v="0.952380952380952"/>
    <n v="0.11026512412629499"/>
    <n v="0.11577838033261"/>
    <n v="2.3626714713514398"/>
    <n v="3.3626714713514398"/>
  </r>
  <r>
    <s v="CMP1312"/>
    <s v="Shop &amp; Share"/>
    <x v="0"/>
    <x v="41"/>
    <d v="2024-10-03T00:00:00"/>
    <n v="75012.800000000003"/>
    <n v="72355.199999999997"/>
    <n v="15092.8"/>
    <n v="7168.9279999999999"/>
    <n v="27165.328000000001"/>
    <x v="3"/>
    <x v="0"/>
    <x v="1"/>
    <n v="0.96457137981784402"/>
    <n v="0.208593162619964"/>
    <n v="9.9079651497058996E-2"/>
    <n v="0.47498992897275499"/>
    <n v="2.7893152225827902"/>
    <n v="3.7893152225827902"/>
  </r>
  <r>
    <s v="CMP1313"/>
    <s v="Cart to Couch"/>
    <x v="0"/>
    <x v="162"/>
    <d v="2024-11-07T00:00:00"/>
    <n v="30710.400000000001"/>
    <n v="15364.8"/>
    <n v="8712"/>
    <n v="6306.2879999999996"/>
    <n v="18669.504000000001"/>
    <x v="1"/>
    <x v="2"/>
    <x v="0"/>
    <n v="0.50031259768677705"/>
    <n v="0.56701030927835006"/>
    <n v="0.41043736332396102"/>
    <n v="0.72386225895316803"/>
    <n v="1.9604585137881401"/>
    <n v="2.9604585137881401"/>
  </r>
  <r>
    <s v="CMP1314"/>
    <s v="Deal of the Day"/>
    <x v="3"/>
    <x v="68"/>
    <d v="2024-04-06T00:00:00"/>
    <n v="16612.8"/>
    <n v="8320"/>
    <n v="6862.4"/>
    <n v="3968.0479999999998"/>
    <n v="13729.456"/>
    <x v="4"/>
    <x v="1"/>
    <x v="0"/>
    <n v="0.50081864586343094"/>
    <n v="0.82480769230769202"/>
    <n v="0.47692884615384601"/>
    <n v="0.57823035672651002"/>
    <n v="2.4600024999697601"/>
    <n v="3.4600024999697601"/>
  </r>
  <r>
    <s v="CMP1315"/>
    <s v="Shop &amp; Share"/>
    <x v="2"/>
    <x v="67"/>
    <d v="2024-04-11T00:00:00"/>
    <n v="67004.800000000003"/>
    <n v="38742.400000000001"/>
    <n v="25851.200000000001"/>
    <n v="6493.6480000000001"/>
    <n v="14229.136"/>
    <x v="0"/>
    <x v="4"/>
    <x v="1"/>
    <n v="0.57820335259563505"/>
    <n v="0.66725861072106996"/>
    <n v="0.167610886264145"/>
    <n v="0.25119329083369402"/>
    <n v="1.1912391925155199"/>
    <n v="2.1912391925155199"/>
  </r>
  <r>
    <s v="CMP1316"/>
    <s v="Wishlist Wonders"/>
    <x v="2"/>
    <x v="112"/>
    <d v="2024-10-09T00:00:00"/>
    <n v="27320"/>
    <n v="13544"/>
    <n v="467.2"/>
    <n v="7718.64"/>
    <n v="30133.344000000001"/>
    <x v="2"/>
    <x v="1"/>
    <x v="0"/>
    <n v="0.49575402635431898"/>
    <n v="3.44949793266391E-2"/>
    <n v="0.56989367985824002"/>
    <n v="16.521061643835601"/>
    <n v="2.9039706476788698"/>
    <n v="3.9039706476788698"/>
  </r>
  <r>
    <s v="CMP1317"/>
    <s v="Cart to Couch"/>
    <x v="0"/>
    <x v="239"/>
    <d v="2024-08-28T00:00:00"/>
    <n v="11152"/>
    <n v="822.4"/>
    <n v="240"/>
    <n v="1848.3040000000001"/>
    <n v="4944.7359999999999"/>
    <x v="2"/>
    <x v="2"/>
    <x v="1"/>
    <n v="7.3744619799139197E-2"/>
    <n v="0.29182879377431897"/>
    <n v="2.2474513618677001"/>
    <n v="7.7012666666666698"/>
    <n v="1.6752828539028199"/>
    <n v="2.6752828539028202"/>
  </r>
  <r>
    <s v="CMP1318"/>
    <s v="Deal of the Day"/>
    <x v="1"/>
    <x v="268"/>
    <d v="2024-09-29T00:00:00"/>
    <n v="37753.599999999999"/>
    <n v="26579.200000000001"/>
    <n v="11641.6"/>
    <n v="4808.5280000000002"/>
    <n v="18027.407999999999"/>
    <x v="4"/>
    <x v="0"/>
    <x v="1"/>
    <n v="0.70401763010679796"/>
    <n v="0.43799662894293301"/>
    <n v="0.18091319528051999"/>
    <n v="0.41304700384826798"/>
    <n v="2.7490491892737201"/>
    <n v="3.7490491892737201"/>
  </r>
  <r>
    <s v="CMP1319"/>
    <s v="Flash Sale Frenzy"/>
    <x v="0"/>
    <x v="89"/>
    <d v="2024-03-01T00:00:00"/>
    <n v="33092.800000000003"/>
    <n v="7585.6"/>
    <n v="230.4"/>
    <n v="3743.36"/>
    <n v="6866.5119999999997"/>
    <x v="2"/>
    <x v="3"/>
    <x v="1"/>
    <n v="0.229222066431369"/>
    <n v="3.03733389580257E-2"/>
    <n v="0.49348238768192398"/>
    <n v="16.247222222222199"/>
    <n v="0.83431783210805299"/>
    <n v="1.83431783210805"/>
  </r>
  <r>
    <s v="CMP1320"/>
    <s v="Flash Sale Frenzy"/>
    <x v="3"/>
    <x v="13"/>
    <d v="2024-04-17T00:00:00"/>
    <n v="15014.4"/>
    <n v="9545.6"/>
    <n v="9102.4"/>
    <n v="4457.5519999999997"/>
    <n v="11626.224"/>
    <x v="1"/>
    <x v="1"/>
    <x v="1"/>
    <n v="0.63576300085251503"/>
    <n v="0.95357023131076102"/>
    <n v="0.46697452229299402"/>
    <n v="0.48971172438038302"/>
    <n v="1.6082082721637301"/>
    <n v="2.6082082721637301"/>
  </r>
  <r>
    <s v="CMP1321"/>
    <s v="Shop &amp; Share"/>
    <x v="1"/>
    <x v="162"/>
    <d v="2024-11-11T00:00:00"/>
    <n v="41340.800000000003"/>
    <n v="7382.4"/>
    <n v="1792"/>
    <n v="6263.5519999999997"/>
    <n v="13437.744000000001"/>
    <x v="4"/>
    <x v="3"/>
    <x v="1"/>
    <n v="0.17857419304899799"/>
    <n v="0.242739488513221"/>
    <n v="0.84844386649328096"/>
    <n v="3.4952857142857101"/>
    <n v="1.1453871541259699"/>
    <n v="2.1453871541259701"/>
  </r>
  <r>
    <s v="CMP1322"/>
    <s v="Wishlist Wonders"/>
    <x v="1"/>
    <x v="33"/>
    <d v="2024-06-21T00:00:00"/>
    <n v="57888"/>
    <n v="52896"/>
    <n v="27195.200000000001"/>
    <n v="6774.1279999999997"/>
    <n v="11425.487999999999"/>
    <x v="4"/>
    <x v="4"/>
    <x v="1"/>
    <n v="0.91376451077943599"/>
    <n v="0.51412583182093197"/>
    <n v="0.128065033272837"/>
    <n v="0.249092781079014"/>
    <n v="0.68663597735383797"/>
    <n v="1.68663597735384"/>
  </r>
  <r>
    <s v="CMP1323"/>
    <s v="Deal of the Day"/>
    <x v="2"/>
    <x v="30"/>
    <d v="2024-08-06T00:00:00"/>
    <n v="77998.399999999994"/>
    <n v="19094.400000000001"/>
    <n v="3062.4"/>
    <n v="4892.4639999999999"/>
    <n v="12374.384"/>
    <x v="1"/>
    <x v="0"/>
    <x v="0"/>
    <n v="0.24480502164147"/>
    <n v="0.16038210155857199"/>
    <n v="0.25622507122507099"/>
    <n v="1.5975914315569499"/>
    <n v="1.5292744106037399"/>
    <n v="2.5292744106037399"/>
  </r>
  <r>
    <s v="CMP1324"/>
    <s v="Flash Sale Frenzy"/>
    <x v="1"/>
    <x v="91"/>
    <d v="2024-06-10T00:00:00"/>
    <n v="54811.199999999997"/>
    <n v="18209.599999999999"/>
    <n v="9620.7999999999993"/>
    <n v="7801.3919999999998"/>
    <n v="23711.232"/>
    <x v="3"/>
    <x v="3"/>
    <x v="0"/>
    <n v="0.33222407099279"/>
    <n v="0.52833670152007695"/>
    <n v="0.42842193128898998"/>
    <n v="0.810888075835689"/>
    <n v="2.0393591297553102"/>
    <n v="3.0393591297553102"/>
  </r>
  <r>
    <s v="CMP1325"/>
    <s v="Cart to Couch"/>
    <x v="3"/>
    <x v="229"/>
    <d v="2024-05-21T00:00:00"/>
    <n v="61161.599999999999"/>
    <n v="4209.6000000000004"/>
    <n v="2470.4"/>
    <n v="5684.4319999999998"/>
    <n v="12914.896000000001"/>
    <x v="1"/>
    <x v="2"/>
    <x v="0"/>
    <n v="6.8827499607596904E-2"/>
    <n v="0.586849106803497"/>
    <n v="1.3503496769289201"/>
    <n v="2.30101683937824"/>
    <n v="1.2719765141002699"/>
    <n v="2.2719765141002699"/>
  </r>
  <r>
    <s v="CMP1326"/>
    <s v="Cart to Couch"/>
    <x v="3"/>
    <x v="93"/>
    <d v="2024-04-24T00:00:00"/>
    <n v="17502.400000000001"/>
    <n v="1918.4"/>
    <n v="584"/>
    <n v="3961.4879999999998"/>
    <n v="6702.2240000000002"/>
    <x v="3"/>
    <x v="4"/>
    <x v="1"/>
    <n v="0.109607825212542"/>
    <n v="0.30442035029191"/>
    <n v="2.0649958298582201"/>
    <n v="6.7833698630137"/>
    <n v="0.69184508447330895"/>
    <n v="1.6918450844733099"/>
  </r>
  <r>
    <s v="CMP1327"/>
    <s v="Cart to Couch"/>
    <x v="1"/>
    <x v="255"/>
    <d v="2024-06-18T00:00:00"/>
    <n v="19030.400000000001"/>
    <n v="11659.2"/>
    <n v="4412.8"/>
    <n v="7431.84"/>
    <n v="14491.791999999999"/>
    <x v="3"/>
    <x v="3"/>
    <x v="1"/>
    <n v="0.61266184630906295"/>
    <n v="0.37848222862632103"/>
    <n v="0.63742280773981097"/>
    <n v="1.6841551849166101"/>
    <n v="0.94996017137075095"/>
    <n v="1.94996017137075"/>
  </r>
  <r>
    <s v="CMP1328"/>
    <s v="Flash Sale Frenzy"/>
    <x v="2"/>
    <x v="213"/>
    <d v="2024-06-18T00:00:00"/>
    <n v="10158.4"/>
    <n v="1072"/>
    <n v="660.8"/>
    <n v="327.36"/>
    <n v="1147.3599999999999"/>
    <x v="0"/>
    <x v="1"/>
    <x v="1"/>
    <n v="0.105528429673964"/>
    <n v="0.61641791044776095"/>
    <n v="0.305373134328358"/>
    <n v="0.495399515738499"/>
    <n v="2.5048875855327499"/>
    <n v="3.5048875855327499"/>
  </r>
  <r>
    <s v="CMP1329"/>
    <s v="Deal of the Day"/>
    <x v="0"/>
    <x v="156"/>
    <d v="2024-10-23T00:00:00"/>
    <n v="30712"/>
    <n v="25017.599999999999"/>
    <n v="23004.799999999999"/>
    <n v="6592.7520000000004"/>
    <n v="12214.352000000001"/>
    <x v="0"/>
    <x v="2"/>
    <x v="1"/>
    <n v="0.81458713206564204"/>
    <n v="0.91954464057303698"/>
    <n v="0.26352455871066799"/>
    <n v="0.286581582973988"/>
    <n v="0.85269398879254099"/>
    <n v="1.85269398879254"/>
  </r>
  <r>
    <s v="CMP1330"/>
    <s v="Seasonal Steals"/>
    <x v="0"/>
    <x v="207"/>
    <d v="2024-06-18T00:00:00"/>
    <n v="14896"/>
    <n v="11609.6"/>
    <n v="2276.8000000000002"/>
    <n v="5751.6319999999996"/>
    <n v="10596.848"/>
    <x v="0"/>
    <x v="4"/>
    <x v="0"/>
    <n v="0.77937701396348003"/>
    <n v="0.196113561190739"/>
    <n v="0.495420341786108"/>
    <n v="2.5261911454673198"/>
    <n v="0.84240716374065705"/>
    <n v="1.84240716374066"/>
  </r>
  <r>
    <s v="CMP1331"/>
    <s v="Flash Sale Frenzy"/>
    <x v="0"/>
    <x v="46"/>
    <d v="2024-06-08T00:00:00"/>
    <n v="42680"/>
    <n v="17604.8"/>
    <n v="616"/>
    <n v="3145.7280000000001"/>
    <n v="10320.031999999999"/>
    <x v="2"/>
    <x v="0"/>
    <x v="1"/>
    <n v="0.41248359887535102"/>
    <n v="3.4990457148050498E-2"/>
    <n v="0.178685812960102"/>
    <n v="5.1067012987013003"/>
    <n v="2.2806498209635402"/>
    <n v="3.2806498209635402"/>
  </r>
  <r>
    <s v="CMP1332"/>
    <s v="Wishlist Wonders"/>
    <x v="1"/>
    <x v="36"/>
    <d v="2024-01-23T00:00:00"/>
    <n v="16376"/>
    <n v="15484.8"/>
    <n v="11913.6"/>
    <n v="6290.4480000000003"/>
    <n v="8322.2559999999994"/>
    <x v="3"/>
    <x v="2"/>
    <x v="1"/>
    <n v="0.94557889594528599"/>
    <n v="0.76937383756974598"/>
    <n v="0.40623372597644097"/>
    <n v="0.52800564061240896"/>
    <n v="0.32299893425714699"/>
    <n v="1.32299893425715"/>
  </r>
  <r>
    <s v="CMP1333"/>
    <s v="Shop &amp; Share"/>
    <x v="1"/>
    <x v="247"/>
    <d v="2024-05-15T00:00:00"/>
    <n v="63859.199999999997"/>
    <n v="47977.599999999999"/>
    <n v="25812.799999999999"/>
    <n v="2539.6799999999998"/>
    <n v="8354.1280000000006"/>
    <x v="4"/>
    <x v="1"/>
    <x v="1"/>
    <n v="0.75130286630587295"/>
    <n v="0.53801774161275295"/>
    <n v="5.2934702861335302E-2"/>
    <n v="9.8388396454472199E-2"/>
    <n v="2.2894411894411899"/>
    <n v="3.2894411894411899"/>
  </r>
  <r>
    <s v="CMP1334"/>
    <s v="Shop &amp; Share"/>
    <x v="0"/>
    <x v="45"/>
    <d v="2024-06-24T00:00:00"/>
    <n v="30720"/>
    <n v="14571.2"/>
    <n v="11584"/>
    <n v="4535.0240000000003"/>
    <n v="8777.76"/>
    <x v="3"/>
    <x v="0"/>
    <x v="1"/>
    <n v="0.47432291666666698"/>
    <n v="0.79499286263313895"/>
    <n v="0.31123201932579297"/>
    <n v="0.39149033149171297"/>
    <n v="0.93554874241018304"/>
    <n v="1.93554874241018"/>
  </r>
  <r>
    <s v="CMP1335"/>
    <s v="Wishlist Wonders"/>
    <x v="0"/>
    <x v="62"/>
    <d v="2024-04-24T00:00:00"/>
    <n v="23800"/>
    <n v="11062.4"/>
    <n v="4347.2"/>
    <n v="3408.864"/>
    <n v="5635.8720000000003"/>
    <x v="3"/>
    <x v="3"/>
    <x v="1"/>
    <n v="0.46480672268907602"/>
    <n v="0.39297078391669099"/>
    <n v="0.30814868382991001"/>
    <n v="0.78415163783584796"/>
    <n v="0.65329916359232898"/>
    <n v="1.65329916359233"/>
  </r>
  <r>
    <s v="CMP1336"/>
    <s v="Seasonal Steals"/>
    <x v="0"/>
    <x v="229"/>
    <d v="2024-05-06T00:00:00"/>
    <n v="56948.800000000003"/>
    <n v="24816"/>
    <n v="16196.8"/>
    <n v="7356.96"/>
    <n v="24748.815999999999"/>
    <x v="1"/>
    <x v="0"/>
    <x v="1"/>
    <n v="0.43575984041805998"/>
    <n v="0.65267569310122497"/>
    <n v="0.29646034816247602"/>
    <n v="0.45422305640620397"/>
    <n v="2.3640003479698102"/>
    <n v="3.3640003479698102"/>
  </r>
  <r>
    <s v="CMP1337"/>
    <s v="Flash Sale Frenzy"/>
    <x v="2"/>
    <x v="118"/>
    <d v="2024-07-28T00:00:00"/>
    <n v="7939.2"/>
    <n v="315.2"/>
    <n v="17.600000000000001"/>
    <n v="2213.5039999999999"/>
    <n v="3729.904"/>
    <x v="4"/>
    <x v="1"/>
    <x v="0"/>
    <n v="3.9701733172107997E-2"/>
    <n v="5.5837563451776699E-2"/>
    <n v="7.0225380710659904"/>
    <n v="125.767272727273"/>
    <n v="0.68506765743364395"/>
    <n v="1.6850676574336401"/>
  </r>
  <r>
    <s v="CMP1338"/>
    <s v="Flash Sale Frenzy"/>
    <x v="0"/>
    <x v="209"/>
    <d v="2024-04-07T00:00:00"/>
    <n v="9710.4"/>
    <n v="2296"/>
    <n v="1148.8"/>
    <n v="351.47199999999998"/>
    <n v="953.85599999999999"/>
    <x v="1"/>
    <x v="4"/>
    <x v="0"/>
    <n v="0.23644752018454401"/>
    <n v="0.50034843205574897"/>
    <n v="0.153080139372822"/>
    <n v="0.30594707520891401"/>
    <n v="1.7138890153411901"/>
    <n v="2.7138890153411901"/>
  </r>
  <r>
    <s v="CMP1339"/>
    <s v="Deal of the Day"/>
    <x v="3"/>
    <x v="202"/>
    <d v="2024-06-23T00:00:00"/>
    <n v="59880"/>
    <n v="40828.800000000003"/>
    <n v="33681.599999999999"/>
    <n v="7522.2079999999996"/>
    <n v="22323.632000000001"/>
    <x v="1"/>
    <x v="2"/>
    <x v="1"/>
    <n v="0.68184368737474998"/>
    <n v="0.82494709616741102"/>
    <n v="0.18423779293048001"/>
    <n v="0.223332858296518"/>
    <n v="1.9676967188357499"/>
    <n v="2.9676967188357501"/>
  </r>
  <r>
    <s v="CMP1340"/>
    <s v="Shop &amp; Share"/>
    <x v="2"/>
    <x v="87"/>
    <d v="2024-02-28T00:00:00"/>
    <n v="52675.199999999997"/>
    <n v="28529.599999999999"/>
    <n v="18694.400000000001"/>
    <n v="3681.0079999999998"/>
    <n v="5019.6959999999999"/>
    <x v="3"/>
    <x v="2"/>
    <x v="0"/>
    <n v="0.54161351072231301"/>
    <n v="0.65526330547922196"/>
    <n v="0.12902417138691"/>
    <n v="0.196904313591236"/>
    <n v="0.36367429790970301"/>
    <n v="1.3636742979097001"/>
  </r>
  <r>
    <s v="CMP1341"/>
    <s v="Seasonal Steals"/>
    <x v="0"/>
    <x v="172"/>
    <d v="2024-02-05T00:00:00"/>
    <n v="18195.2"/>
    <n v="9115.2000000000007"/>
    <n v="4499.2"/>
    <n v="5412.9279999999999"/>
    <n v="11548.368"/>
    <x v="2"/>
    <x v="2"/>
    <x v="0"/>
    <n v="0.50096728807597601"/>
    <n v="0.493593119185536"/>
    <n v="0.59383535193961701"/>
    <n v="1.2030867709815101"/>
    <n v="1.1334789600009501"/>
    <n v="2.1334789600009501"/>
  </r>
  <r>
    <s v="CMP1342"/>
    <s v="Shop &amp; Share"/>
    <x v="2"/>
    <x v="257"/>
    <d v="2024-04-28T00:00:00"/>
    <n v="59129.599999999999"/>
    <n v="36744"/>
    <n v="33401.599999999999"/>
    <n v="5186.384"/>
    <n v="8215.76"/>
    <x v="3"/>
    <x v="0"/>
    <x v="1"/>
    <n v="0.62141465526572104"/>
    <n v="0.90903548878728502"/>
    <n v="0.14114913999564599"/>
    <n v="0.15527351983138499"/>
    <n v="0.58410175567408795"/>
    <n v="1.58410175567409"/>
  </r>
  <r>
    <s v="CMP1343"/>
    <s v="Flash Sale Frenzy"/>
    <x v="2"/>
    <x v="104"/>
    <d v="2024-05-24T00:00:00"/>
    <n v="5097.6000000000004"/>
    <n v="1249.5999999999999"/>
    <n v="182.4"/>
    <n v="1258.1120000000001"/>
    <n v="3429.4079999999999"/>
    <x v="0"/>
    <x v="0"/>
    <x v="1"/>
    <n v="0.245134965473949"/>
    <n v="0.14596670934699099"/>
    <n v="1.00681177976953"/>
    <n v="6.8975438596491196"/>
    <n v="1.72583680944145"/>
    <n v="2.72583680944145"/>
  </r>
  <r>
    <s v="CMP1344"/>
    <s v="Flash Sale Frenzy"/>
    <x v="0"/>
    <x v="270"/>
    <d v="2024-02-11T00:00:00"/>
    <n v="57452.800000000003"/>
    <n v="23689.599999999999"/>
    <n v="19748.8"/>
    <n v="1137.4079999999999"/>
    <n v="3610.9920000000002"/>
    <x v="3"/>
    <x v="1"/>
    <x v="1"/>
    <n v="0.41233151386877598"/>
    <n v="0.83364852086991803"/>
    <n v="4.8012967715790902E-2"/>
    <n v="5.7593777849793401E-2"/>
    <n v="2.17475523295071"/>
    <n v="3.17475523295071"/>
  </r>
  <r>
    <s v="CMP1345"/>
    <s v="Cart to Couch"/>
    <x v="0"/>
    <x v="258"/>
    <d v="2024-03-19T00:00:00"/>
    <n v="9856"/>
    <n v="1689.6"/>
    <n v="1371.2"/>
    <n v="6783.9040000000005"/>
    <n v="13410.896000000001"/>
    <x v="2"/>
    <x v="3"/>
    <x v="1"/>
    <n v="0.17142857142857101"/>
    <n v="0.81155303030303005"/>
    <n v="4.0150946969697001"/>
    <n v="4.9474212368728097"/>
    <n v="0.97686995570692003"/>
    <n v="1.97686995570692"/>
  </r>
  <r>
    <s v="CMP1346"/>
    <s v="Wishlist Wonders"/>
    <x v="3"/>
    <x v="86"/>
    <d v="2024-08-26T00:00:00"/>
    <n v="43664"/>
    <n v="41075.199999999997"/>
    <n v="7100.8"/>
    <n v="5889.8559999999998"/>
    <n v="9719.52"/>
    <x v="2"/>
    <x v="0"/>
    <x v="0"/>
    <n v="0.94071088310736495"/>
    <n v="0.17287316921159199"/>
    <n v="0.143392022436896"/>
    <n v="0.82946372239747601"/>
    <n v="0.65021351965141405"/>
    <n v="1.6502135196514101"/>
  </r>
  <r>
    <s v="CMP1347"/>
    <s v="Seasonal Steals"/>
    <x v="2"/>
    <x v="184"/>
    <d v="2024-08-19T00:00:00"/>
    <n v="66582.399999999994"/>
    <n v="14318.4"/>
    <n v="7220.8"/>
    <n v="6809.9359999999997"/>
    <n v="21588.400000000001"/>
    <x v="1"/>
    <x v="4"/>
    <x v="1"/>
    <n v="0.215047820445043"/>
    <n v="0.50430215666554901"/>
    <n v="0.47560733042798098"/>
    <n v="0.94309993352537103"/>
    <n v="2.1701325827438001"/>
    <n v="3.1701325827438001"/>
  </r>
  <r>
    <s v="CMP1348"/>
    <s v="Flash Sale Frenzy"/>
    <x v="1"/>
    <x v="200"/>
    <d v="2024-07-20T00:00:00"/>
    <n v="74520"/>
    <n v="71966.399999999994"/>
    <n v="47318.400000000001"/>
    <n v="7900.384"/>
    <n v="30179.248"/>
    <x v="3"/>
    <x v="3"/>
    <x v="0"/>
    <n v="0.96573268921095001"/>
    <n v="0.657506836523711"/>
    <n v="0.109778785655528"/>
    <n v="0.16696219652397401"/>
    <n v="2.8199722950175601"/>
    <n v="3.8199722950175601"/>
  </r>
  <r>
    <s v="CMP1349"/>
    <s v="Deal of the Day"/>
    <x v="0"/>
    <x v="84"/>
    <d v="2024-06-18T00:00:00"/>
    <n v="10763.2"/>
    <n v="1553.6"/>
    <n v="216"/>
    <n v="1925.3440000000001"/>
    <n v="2820.08"/>
    <x v="3"/>
    <x v="1"/>
    <x v="1"/>
    <n v="0.14434368960903801"/>
    <n v="0.13903192584964"/>
    <n v="1.23927909371782"/>
    <n v="8.9136296296296305"/>
    <n v="0.46471487692588997"/>
    <n v="1.46471487692589"/>
  </r>
  <r>
    <s v="CMP1350"/>
    <s v="Wishlist Wonders"/>
    <x v="2"/>
    <x v="123"/>
    <d v="2024-04-12T00:00:00"/>
    <n v="65345.599999999999"/>
    <n v="56944"/>
    <n v="20228.8"/>
    <n v="3526.4"/>
    <n v="13926.08"/>
    <x v="1"/>
    <x v="4"/>
    <x v="1"/>
    <n v="0.87142822164001899"/>
    <n v="0.35524023602135402"/>
    <n v="6.1927507726889597E-2"/>
    <n v="0.17432571383374201"/>
    <n v="2.9490925589836698"/>
    <n v="3.9490925589836698"/>
  </r>
  <r>
    <s v="CMP1351"/>
    <s v="Flash Sale Frenzy"/>
    <x v="0"/>
    <x v="142"/>
    <d v="2024-02-14T00:00:00"/>
    <n v="67729.600000000006"/>
    <n v="14113.6"/>
    <n v="2992"/>
    <n v="7287.44"/>
    <n v="27028.768"/>
    <x v="2"/>
    <x v="3"/>
    <x v="1"/>
    <n v="0.20838156433819199"/>
    <n v="0.21199410497675999"/>
    <n v="0.51634168461625696"/>
    <n v="2.43564171122995"/>
    <n v="2.7089523893164098"/>
    <n v="3.7089523893164098"/>
  </r>
  <r>
    <s v="CMP1352"/>
    <s v="Cart to Couch"/>
    <x v="1"/>
    <x v="47"/>
    <d v="2024-06-05T00:00:00"/>
    <n v="33372.800000000003"/>
    <n v="28868.799999999999"/>
    <n v="15051.2"/>
    <n v="1151.328"/>
    <n v="3984.4639999999999"/>
    <x v="0"/>
    <x v="1"/>
    <x v="0"/>
    <n v="0.86503979288522403"/>
    <n v="0.52136562655877605"/>
    <n v="3.9881394446599799E-2"/>
    <n v="7.6494100138195006E-2"/>
    <n v="2.4607548847939098"/>
    <n v="3.4607548847939098"/>
  </r>
  <r>
    <s v="CMP1353"/>
    <s v="Shop &amp; Share"/>
    <x v="0"/>
    <x v="246"/>
    <d v="2024-07-27T00:00:00"/>
    <n v="77150.399999999994"/>
    <n v="69019.199999999997"/>
    <n v="56304"/>
    <n v="4909.0559999999996"/>
    <n v="18890.64"/>
    <x v="0"/>
    <x v="4"/>
    <x v="1"/>
    <n v="0.89460586076028104"/>
    <n v="0.81577300229501404"/>
    <n v="7.1125947562417399E-2"/>
    <n v="8.7188405797101395E-2"/>
    <n v="2.8481206977471798"/>
    <n v="3.8481206977471798"/>
  </r>
  <r>
    <s v="CMP1354"/>
    <s v="Cart to Couch"/>
    <x v="1"/>
    <x v="116"/>
    <d v="2024-08-20T00:00:00"/>
    <n v="76529.600000000006"/>
    <n v="36033.599999999999"/>
    <n v="9201.6"/>
    <n v="1356.48"/>
    <n v="4550.6400000000003"/>
    <x v="1"/>
    <x v="0"/>
    <x v="1"/>
    <n v="0.47084526771340801"/>
    <n v="0.25536166244838199"/>
    <n v="3.764486479286E-2"/>
    <n v="0.147417840375587"/>
    <n v="2.3547416843595199"/>
    <n v="3.3547416843595199"/>
  </r>
  <r>
    <s v="CMP1355"/>
    <s v="Wishlist Wonders"/>
    <x v="2"/>
    <x v="151"/>
    <d v="2024-09-09T00:00:00"/>
    <n v="14993.6"/>
    <n v="6260.8"/>
    <n v="1433.6"/>
    <n v="7238.7359999999999"/>
    <n v="21683.648000000001"/>
    <x v="1"/>
    <x v="3"/>
    <x v="1"/>
    <n v="0.41756482765980202"/>
    <n v="0.22898032200357801"/>
    <n v="1.1561998466649599"/>
    <n v="5.0493415178571404"/>
    <n v="1.9955019771407601"/>
    <n v="2.9955019771407598"/>
  </r>
  <r>
    <s v="CMP1356"/>
    <s v="Flash Sale Frenzy"/>
    <x v="2"/>
    <x v="15"/>
    <d v="2024-03-07T00:00:00"/>
    <n v="52081.599999999999"/>
    <n v="50691.199999999997"/>
    <n v="40448"/>
    <n v="2848.48"/>
    <n v="3511.5680000000002"/>
    <x v="2"/>
    <x v="3"/>
    <x v="1"/>
    <n v="0.97330343153820198"/>
    <n v="0.79792942364749697"/>
    <n v="5.61927908591629E-2"/>
    <n v="7.0423259493670898E-2"/>
    <n v="0.232786608998483"/>
    <n v="1.23278660899848"/>
  </r>
  <r>
    <s v="CMP1357"/>
    <s v="Cart to Couch"/>
    <x v="2"/>
    <x v="178"/>
    <d v="2024-03-13T00:00:00"/>
    <n v="77056"/>
    <n v="16592"/>
    <n v="5430.4"/>
    <n v="1336.1120000000001"/>
    <n v="4344"/>
    <x v="0"/>
    <x v="0"/>
    <x v="1"/>
    <n v="0.21532392026578101"/>
    <n v="0.32729026036644199"/>
    <n v="8.0527483124397295E-2"/>
    <n v="0.24604301708898099"/>
    <n v="2.2512244482498498"/>
    <n v="3.2512244482498498"/>
  </r>
  <r>
    <s v="CMP1358"/>
    <s v="Wishlist Wonders"/>
    <x v="1"/>
    <x v="140"/>
    <d v="2024-09-24T00:00:00"/>
    <n v="64891.199999999997"/>
    <n v="6529.6"/>
    <n v="945.6"/>
    <n v="4669.3760000000002"/>
    <n v="17108.112000000001"/>
    <x v="4"/>
    <x v="2"/>
    <x v="0"/>
    <n v="0.10062381339842701"/>
    <n v="0.14481744670423899"/>
    <n v="0.71510904190149505"/>
    <n v="4.9380033840947499"/>
    <n v="2.6638968461738801"/>
    <n v="3.6638968461738801"/>
  </r>
  <r>
    <s v="CMP1359"/>
    <s v="Flash Sale Frenzy"/>
    <x v="1"/>
    <x v="49"/>
    <d v="2024-03-15T00:00:00"/>
    <n v="2171.1999999999998"/>
    <n v="347.2"/>
    <n v="236.8"/>
    <n v="7755.5360000000001"/>
    <n v="22905.088"/>
    <x v="3"/>
    <x v="4"/>
    <x v="1"/>
    <n v="0.15991156963890901"/>
    <n v="0.68202764976958496"/>
    <n v="22.337373271889401"/>
    <n v="32.751418918918901"/>
    <n v="1.9533855558145801"/>
    <n v="2.9533855558145801"/>
  </r>
  <r>
    <s v="CMP1360"/>
    <s v="Seasonal Steals"/>
    <x v="1"/>
    <x v="109"/>
    <d v="2024-09-17T00:00:00"/>
    <n v="43382.400000000001"/>
    <n v="27476.799999999999"/>
    <n v="6678.4"/>
    <n v="1126.144"/>
    <n v="4287.2"/>
    <x v="0"/>
    <x v="0"/>
    <x v="1"/>
    <n v="0.63336283838607399"/>
    <n v="0.24305595993711099"/>
    <n v="4.0985267571187298E-2"/>
    <n v="0.16862482031624301"/>
    <n v="2.8069731757217502"/>
    <n v="3.8069731757217502"/>
  </r>
  <r>
    <s v="CMP1361"/>
    <s v="Flash Sale Frenzy"/>
    <x v="2"/>
    <x v="135"/>
    <d v="2024-10-05T00:00:00"/>
    <n v="26968"/>
    <n v="4219.2"/>
    <n v="1960"/>
    <n v="654.88"/>
    <n v="1629.8879999999999"/>
    <x v="3"/>
    <x v="4"/>
    <x v="0"/>
    <n v="0.15645209136754701"/>
    <n v="0.46454304133485003"/>
    <n v="0.15521425862722801"/>
    <n v="0.33412244897959198"/>
    <n v="1.48883459565111"/>
    <n v="2.48883459565111"/>
  </r>
  <r>
    <s v="CMP1362"/>
    <s v="Seasonal Steals"/>
    <x v="1"/>
    <x v="23"/>
    <d v="2024-10-17T00:00:00"/>
    <n v="7651.2"/>
    <n v="716.8"/>
    <n v="222.4"/>
    <n v="4948.6400000000003"/>
    <n v="14280.272000000001"/>
    <x v="1"/>
    <x v="3"/>
    <x v="1"/>
    <n v="9.3684650773734807E-2"/>
    <n v="0.31026785714285698"/>
    <n v="6.9037946428571404"/>
    <n v="22.251079136690599"/>
    <n v="1.88569627210708"/>
    <n v="2.8856962721070798"/>
  </r>
  <r>
    <s v="CMP1363"/>
    <s v="Seasonal Steals"/>
    <x v="1"/>
    <x v="130"/>
    <d v="2024-03-24T00:00:00"/>
    <n v="19688"/>
    <n v="12793.6"/>
    <n v="9833.6"/>
    <n v="7737.424"/>
    <n v="16833.712"/>
    <x v="4"/>
    <x v="2"/>
    <x v="0"/>
    <n v="0.64981714750101605"/>
    <n v="0.76863431715857899"/>
    <n v="0.60478864432216095"/>
    <n v="0.78683534005857503"/>
    <n v="1.17562227428664"/>
    <n v="2.1756222742866398"/>
  </r>
  <r>
    <s v="CMP1364"/>
    <s v="Cart to Couch"/>
    <x v="0"/>
    <x v="124"/>
    <d v="2024-08-06T00:00:00"/>
    <n v="33713.599999999999"/>
    <n v="11772.8"/>
    <n v="1382.4"/>
    <n v="1813.5360000000001"/>
    <n v="3862.8960000000002"/>
    <x v="4"/>
    <x v="2"/>
    <x v="1"/>
    <n v="0.34920032271842799"/>
    <n v="0.11742321282957301"/>
    <n v="0.15404457733079599"/>
    <n v="1.3118749999999999"/>
    <n v="1.13003546662432"/>
    <n v="2.13003546662432"/>
  </r>
  <r>
    <s v="CMP1365"/>
    <s v="Shop &amp; Share"/>
    <x v="2"/>
    <x v="249"/>
    <d v="2024-03-11T00:00:00"/>
    <n v="74907.199999999997"/>
    <n v="43456"/>
    <n v="15606.4"/>
    <n v="5487.5680000000002"/>
    <n v="19042.784"/>
    <x v="0"/>
    <x v="1"/>
    <x v="1"/>
    <n v="0.58013114894162399"/>
    <n v="0.359131075110457"/>
    <n v="0.126278718703976"/>
    <n v="0.35162292392864503"/>
    <n v="2.4701682056604999"/>
    <n v="3.4701682056604999"/>
  </r>
  <r>
    <s v="CMP1366"/>
    <s v="Seasonal Steals"/>
    <x v="1"/>
    <x v="255"/>
    <d v="2024-06-03T00:00:00"/>
    <n v="24470.400000000001"/>
    <n v="10801.6"/>
    <n v="10248"/>
    <n v="3958.0160000000001"/>
    <n v="7905.5360000000001"/>
    <x v="0"/>
    <x v="2"/>
    <x v="1"/>
    <n v="0.44141493396102999"/>
    <n v="0.94874833358021005"/>
    <n v="0.36642867723300199"/>
    <n v="0.38622326307572202"/>
    <n v="0.99734816635405199"/>
    <n v="1.99734816635405"/>
  </r>
  <r>
    <s v="CMP1367"/>
    <s v="Seasonal Steals"/>
    <x v="1"/>
    <x v="185"/>
    <d v="2024-10-09T00:00:00"/>
    <n v="73718.399999999994"/>
    <n v="16784"/>
    <n v="4352"/>
    <n v="6532.2719999999999"/>
    <n v="15040.976000000001"/>
    <x v="3"/>
    <x v="2"/>
    <x v="0"/>
    <n v="0.22767721491513701"/>
    <n v="0.259294566253575"/>
    <n v="0.38919637750238301"/>
    <n v="1.5009816176470601"/>
    <n v="1.3025642532950299"/>
    <n v="2.3025642532950301"/>
  </r>
  <r>
    <s v="CMP1368"/>
    <s v="Deal of the Day"/>
    <x v="1"/>
    <x v="193"/>
    <d v="2024-05-24T00:00:00"/>
    <n v="40833.599999999999"/>
    <n v="28204.799999999999"/>
    <n v="13068.8"/>
    <n v="387.87200000000001"/>
    <n v="1273.088"/>
    <x v="1"/>
    <x v="4"/>
    <x v="1"/>
    <n v="0.69072528505936304"/>
    <n v="0.46335375538915402"/>
    <n v="1.3751985477649199E-2"/>
    <n v="2.9679236043095001E-2"/>
    <n v="2.2822374391551801"/>
    <n v="3.2822374391551801"/>
  </r>
  <r>
    <s v="CMP1369"/>
    <s v="Shop &amp; Share"/>
    <x v="1"/>
    <x v="242"/>
    <d v="2024-02-14T00:00:00"/>
    <n v="11558.4"/>
    <n v="448"/>
    <n v="176"/>
    <n v="652.89599999999996"/>
    <n v="1692.5119999999999"/>
    <x v="2"/>
    <x v="3"/>
    <x v="1"/>
    <n v="3.8759689922480599E-2"/>
    <n v="0.39285714285714302"/>
    <n v="1.4573571428571399"/>
    <n v="3.7096363636363598"/>
    <n v="1.5923148556584801"/>
    <n v="2.5923148556584801"/>
  </r>
  <r>
    <s v="CMP1370"/>
    <s v="Wishlist Wonders"/>
    <x v="0"/>
    <x v="49"/>
    <d v="2024-03-11T00:00:00"/>
    <n v="55401.599999999999"/>
    <n v="12969.6"/>
    <n v="12598.4"/>
    <n v="3355.4720000000002"/>
    <n v="11472.111999999999"/>
    <x v="0"/>
    <x v="4"/>
    <x v="0"/>
    <n v="0.234101542193727"/>
    <n v="0.97137922526523601"/>
    <n v="0.258718233407353"/>
    <n v="0.26634112268224502"/>
    <n v="2.4189264580363101"/>
    <n v="3.4189264580363101"/>
  </r>
  <r>
    <s v="CMP1371"/>
    <s v="Cart to Couch"/>
    <x v="1"/>
    <x v="11"/>
    <d v="2024-10-13T00:00:00"/>
    <n v="60132.800000000003"/>
    <n v="30747.200000000001"/>
    <n v="3438.4"/>
    <n v="1873.664"/>
    <n v="6192.9920000000002"/>
    <x v="4"/>
    <x v="2"/>
    <x v="0"/>
    <n v="0.51132160817390804"/>
    <n v="0.11182806889733"/>
    <n v="6.0937711401363399E-2"/>
    <n v="0.54492322010237304"/>
    <n v="2.3052841918294802"/>
    <n v="3.3052841918294802"/>
  </r>
  <r>
    <s v="CMP1372"/>
    <s v="Wishlist Wonders"/>
    <x v="0"/>
    <x v="192"/>
    <d v="2024-02-10T00:00:00"/>
    <n v="59014.400000000001"/>
    <n v="56057.599999999999"/>
    <n v="15510.4"/>
    <n v="4527.8720000000003"/>
    <n v="13292.832"/>
    <x v="3"/>
    <x v="3"/>
    <x v="1"/>
    <n v="0.94989697429779796"/>
    <n v="0.27668683639684899"/>
    <n v="8.0771777600182698E-2"/>
    <n v="0.291924902001238"/>
    <n v="1.9357791032962099"/>
    <n v="2.9357791032962099"/>
  </r>
  <r>
    <s v="CMP1373"/>
    <s v="Wishlist Wonders"/>
    <x v="0"/>
    <x v="219"/>
    <d v="2024-01-13T00:00:00"/>
    <n v="14761.6"/>
    <n v="10020.799999999999"/>
    <n v="2486.4"/>
    <n v="1304.768"/>
    <n v="5166.16"/>
    <x v="4"/>
    <x v="2"/>
    <x v="1"/>
    <n v="0.67884240190765199"/>
    <n v="0.24812390228325101"/>
    <n v="0.13020597157911501"/>
    <n v="0.52476190476190498"/>
    <n v="2.95944719674302"/>
    <n v="3.95944719674302"/>
  </r>
  <r>
    <s v="CMP1374"/>
    <s v="Flash Sale Frenzy"/>
    <x v="2"/>
    <x v="18"/>
    <d v="2024-07-23T00:00:00"/>
    <n v="45928"/>
    <n v="13681.6"/>
    <n v="675.2"/>
    <n v="665.2"/>
    <n v="1101.5840000000001"/>
    <x v="3"/>
    <x v="1"/>
    <x v="1"/>
    <n v="0.297892353248563"/>
    <n v="4.9350953104900001E-2"/>
    <n v="4.8620044439246897E-2"/>
    <n v="0.98518957345971603"/>
    <n v="0.65601924233313302"/>
    <n v="1.6560192423331299"/>
  </r>
  <r>
    <s v="CMP1375"/>
    <s v="Wishlist Wonders"/>
    <x v="1"/>
    <x v="30"/>
    <d v="2024-07-30T00:00:00"/>
    <n v="20900.8"/>
    <n v="4796.8"/>
    <n v="2985.6"/>
    <n v="6360.08"/>
    <n v="15467.183999999999"/>
    <x v="3"/>
    <x v="4"/>
    <x v="1"/>
    <n v="0.22950317691188901"/>
    <n v="0.62241494329553004"/>
    <n v="1.32590060040027"/>
    <n v="2.1302518756698801"/>
    <n v="1.4319165796656601"/>
    <n v="2.4319165796656601"/>
  </r>
  <r>
    <s v="CMP1376"/>
    <s v="Seasonal Steals"/>
    <x v="1"/>
    <x v="147"/>
    <d v="2024-06-27T00:00:00"/>
    <n v="36185.599999999999"/>
    <n v="20883.2"/>
    <n v="6584"/>
    <n v="827.93600000000004"/>
    <n v="3026.9760000000001"/>
    <x v="2"/>
    <x v="4"/>
    <x v="1"/>
    <n v="0.57711354793066905"/>
    <n v="0.31527735212994201"/>
    <n v="3.9646031259577101E-2"/>
    <n v="0.12574969623329299"/>
    <n v="2.6560507092335599"/>
    <n v="3.6560507092335599"/>
  </r>
  <r>
    <s v="CMP1377"/>
    <s v="Cart to Couch"/>
    <x v="1"/>
    <x v="30"/>
    <d v="2024-08-17T00:00:00"/>
    <n v="16763.2"/>
    <n v="4920"/>
    <n v="4307.2"/>
    <n v="1266.2719999999999"/>
    <n v="3074.6559999999999"/>
    <x v="3"/>
    <x v="1"/>
    <x v="0"/>
    <n v="0.29350004772358501"/>
    <n v="0.87544715447154497"/>
    <n v="0.25737235772357703"/>
    <n v="0.293989598811293"/>
    <n v="1.42811654999874"/>
    <n v="2.42811654999874"/>
  </r>
  <r>
    <s v="CMP1378"/>
    <s v="Shop &amp; Share"/>
    <x v="0"/>
    <x v="82"/>
    <d v="2024-08-11T00:00:00"/>
    <n v="46841.599999999999"/>
    <n v="18835.2"/>
    <n v="15960"/>
    <n v="3335.12"/>
    <n v="11191.52"/>
    <x v="2"/>
    <x v="3"/>
    <x v="1"/>
    <n v="0.402104112583686"/>
    <n v="0.84734964322120299"/>
    <n v="0.17706846755011901"/>
    <n v="0.208967418546366"/>
    <n v="2.3556573676509398"/>
    <n v="3.3556573676509398"/>
  </r>
  <r>
    <s v="CMP1379"/>
    <s v="Deal of the Day"/>
    <x v="3"/>
    <x v="271"/>
    <d v="2024-05-17T00:00:00"/>
    <n v="72811.199999999997"/>
    <n v="31665.599999999999"/>
    <n v="5057.6000000000004"/>
    <n v="7782.6080000000002"/>
    <n v="27812.256000000001"/>
    <x v="1"/>
    <x v="4"/>
    <x v="0"/>
    <n v="0.43490012525545502"/>
    <n v="0.15971906422111101"/>
    <n v="0.245774847152746"/>
    <n v="1.53879468522619"/>
    <n v="2.5736421518339401"/>
    <n v="3.5736421518339401"/>
  </r>
  <r>
    <s v="CMP1380"/>
    <s v="Deal of the Day"/>
    <x v="3"/>
    <x v="95"/>
    <d v="2024-02-05T00:00:00"/>
    <n v="63577.599999999999"/>
    <n v="45974.400000000001"/>
    <n v="31947.200000000001"/>
    <n v="1129.136"/>
    <n v="2686.2240000000002"/>
    <x v="1"/>
    <x v="2"/>
    <x v="1"/>
    <n v="0.72312260922085803"/>
    <n v="0.69489106981276505"/>
    <n v="2.4560103013851201E-2"/>
    <n v="3.53438172985426E-2"/>
    <n v="1.3790083745447801"/>
    <n v="2.3790083745447799"/>
  </r>
  <r>
    <s v="CMP1381"/>
    <s v="Wishlist Wonders"/>
    <x v="1"/>
    <x v="140"/>
    <d v="2024-09-11T00:00:00"/>
    <n v="46452.800000000003"/>
    <n v="44832"/>
    <n v="11825.6"/>
    <n v="1331.424"/>
    <n v="2746.0639999999999"/>
    <x v="0"/>
    <x v="0"/>
    <x v="1"/>
    <n v="0.96510866944511398"/>
    <n v="0.26377587437544597"/>
    <n v="2.9698072805139201E-2"/>
    <n v="0.112588283046949"/>
    <n v="1.06250150215108"/>
    <n v="2.06250150215108"/>
  </r>
  <r>
    <s v="CMP1382"/>
    <s v="Seasonal Steals"/>
    <x v="1"/>
    <x v="222"/>
    <d v="2024-02-04T00:00:00"/>
    <n v="58017.599999999999"/>
    <n v="9913.6"/>
    <n v="876.8"/>
    <n v="7812.0159999999996"/>
    <n v="16300.96"/>
    <x v="3"/>
    <x v="3"/>
    <x v="1"/>
    <n v="0.17087228703014301"/>
    <n v="8.8444157520981295E-2"/>
    <n v="0.78801000645577801"/>
    <n v="8.9096897810218998"/>
    <n v="1.0866521522741399"/>
    <n v="2.0866521522741399"/>
  </r>
  <r>
    <s v="CMP1383"/>
    <s v="Deal of the Day"/>
    <x v="0"/>
    <x v="253"/>
    <d v="2024-08-31T00:00:00"/>
    <n v="47728"/>
    <n v="2892.8"/>
    <n v="812.8"/>
    <n v="877.53599999999994"/>
    <n v="1562.848"/>
    <x v="0"/>
    <x v="3"/>
    <x v="1"/>
    <n v="6.06101240362052E-2"/>
    <n v="0.28097345132743401"/>
    <n v="0.30335176991150398"/>
    <n v="1.0796456692913401"/>
    <n v="0.78095029719578501"/>
    <n v="1.78095029719578"/>
  </r>
  <r>
    <s v="CMP1384"/>
    <s v="Deal of the Day"/>
    <x v="1"/>
    <x v="138"/>
    <d v="2024-01-30T00:00:00"/>
    <n v="54793.599999999999"/>
    <n v="17696"/>
    <n v="521.6"/>
    <n v="6088.48"/>
    <n v="19578.72"/>
    <x v="0"/>
    <x v="1"/>
    <x v="1"/>
    <n v="0.322957425684751"/>
    <n v="2.94755877034358E-2"/>
    <n v="0.34405967450271202"/>
    <n v="11.672699386503099"/>
    <n v="2.2156991564397002"/>
    <n v="3.2156991564397002"/>
  </r>
  <r>
    <s v="CMP1385"/>
    <s v="Flash Sale Frenzy"/>
    <x v="2"/>
    <x v="219"/>
    <d v="2024-01-08T00:00:00"/>
    <n v="68334.399999999994"/>
    <n v="12899.2"/>
    <n v="9849.6"/>
    <n v="2579.6640000000002"/>
    <n v="6179.36"/>
    <x v="0"/>
    <x v="2"/>
    <x v="1"/>
    <n v="0.188765833899178"/>
    <n v="0.76358223765814903"/>
    <n v="0.19998635574299201"/>
    <n v="0.26190545808966897"/>
    <n v="1.3954127359221999"/>
    <n v="2.3954127359221999"/>
  </r>
  <r>
    <s v="CMP1386"/>
    <s v="Seasonal Steals"/>
    <x v="0"/>
    <x v="257"/>
    <d v="2024-04-02T00:00:00"/>
    <n v="28892.799999999999"/>
    <n v="25203.200000000001"/>
    <n v="13521.6"/>
    <n v="3058.768"/>
    <n v="9789.6319999999996"/>
    <x v="3"/>
    <x v="1"/>
    <x v="1"/>
    <n v="0.87230036548898005"/>
    <n v="0.53650330116810596"/>
    <n v="0.121364271203657"/>
    <n v="0.22621346586202801"/>
    <n v="2.2005147170364001"/>
    <n v="3.2005147170364001"/>
  </r>
  <r>
    <s v="CMP1387"/>
    <s v="Deal of the Day"/>
    <x v="1"/>
    <x v="124"/>
    <d v="2024-08-02T00:00:00"/>
    <n v="47393.599999999999"/>
    <n v="24086.400000000001"/>
    <n v="17899.2"/>
    <n v="2054.864"/>
    <n v="3219.6"/>
    <x v="4"/>
    <x v="1"/>
    <x v="0"/>
    <n v="0.50822051922622502"/>
    <n v="0.74312475089677199"/>
    <n v="8.5312209379566906E-2"/>
    <n v="0.114802002324126"/>
    <n v="0.56681902062618295"/>
    <n v="1.5668190206261801"/>
  </r>
  <r>
    <s v="CMP1388"/>
    <s v="Wishlist Wonders"/>
    <x v="3"/>
    <x v="233"/>
    <d v="2024-06-03T00:00:00"/>
    <n v="38424"/>
    <n v="27043.200000000001"/>
    <n v="1030.4000000000001"/>
    <n v="2574.5920000000001"/>
    <n v="3255.5039999999999"/>
    <x v="0"/>
    <x v="1"/>
    <x v="0"/>
    <n v="0.70381011867582799"/>
    <n v="3.8101999763341603E-2"/>
    <n v="9.5202934563956898E-2"/>
    <n v="2.49863354037267"/>
    <n v="0.264473749627125"/>
    <n v="1.2644737496271301"/>
  </r>
  <r>
    <s v="CMP1389"/>
    <s v="Deal of the Day"/>
    <x v="0"/>
    <x v="168"/>
    <d v="2024-06-30T00:00:00"/>
    <n v="67764.800000000003"/>
    <n v="3912"/>
    <n v="3107.2"/>
    <n v="5561.76"/>
    <n v="8589.2960000000003"/>
    <x v="2"/>
    <x v="0"/>
    <x v="0"/>
    <n v="5.7729086487379899E-2"/>
    <n v="0.79427402862985697"/>
    <n v="1.4217177914110399"/>
    <n v="1.7899588053552999"/>
    <n v="0.54434855153764306"/>
    <n v="1.5443485515376401"/>
  </r>
  <r>
    <s v="CMP1390"/>
    <s v="Wishlist Wonders"/>
    <x v="0"/>
    <x v="188"/>
    <d v="2024-01-20T00:00:00"/>
    <n v="77028.800000000003"/>
    <n v="43857.599999999999"/>
    <n v="12155.2"/>
    <n v="5007.0720000000001"/>
    <n v="13988.864"/>
    <x v="1"/>
    <x v="2"/>
    <x v="1"/>
    <n v="0.56936626300812199"/>
    <n v="0.27715150851847797"/>
    <n v="0.11416657546240599"/>
    <n v="0.41192839278662602"/>
    <n v="1.7938212192674701"/>
    <n v="2.7938212192674698"/>
  </r>
  <r>
    <s v="CMP1391"/>
    <s v="Cart to Couch"/>
    <x v="2"/>
    <x v="248"/>
    <d v="2024-05-11T00:00:00"/>
    <n v="76734.399999999994"/>
    <n v="22595.200000000001"/>
    <n v="5694.4"/>
    <n v="3038.944"/>
    <n v="6571.2479999999996"/>
    <x v="3"/>
    <x v="3"/>
    <x v="0"/>
    <n v="0.29445985112283402"/>
    <n v="0.252018127743946"/>
    <n v="0.13449511400651501"/>
    <n v="0.53367237988198901"/>
    <n v="1.1623458675118701"/>
    <n v="2.1623458675118701"/>
  </r>
  <r>
    <s v="CMP1392"/>
    <s v="Wishlist Wonders"/>
    <x v="3"/>
    <x v="284"/>
    <d v="2024-09-19T00:00:00"/>
    <n v="45400"/>
    <n v="40339.199999999997"/>
    <n v="23963.200000000001"/>
    <n v="4141.3919999999998"/>
    <n v="6255.36"/>
    <x v="4"/>
    <x v="4"/>
    <x v="1"/>
    <n v="0.88852863436123297"/>
    <n v="0.59404251943519004"/>
    <n v="0.10266420752022801"/>
    <n v="0.17282299525939801"/>
    <n v="0.51044866074015705"/>
    <n v="1.5104486607401599"/>
  </r>
  <r>
    <s v="CMP1393"/>
    <s v="Deal of the Day"/>
    <x v="2"/>
    <x v="43"/>
    <d v="2024-03-20T00:00:00"/>
    <n v="76708.800000000003"/>
    <n v="56822.400000000001"/>
    <n v="20892.8"/>
    <n v="446.49599999999998"/>
    <n v="1480.704"/>
    <x v="3"/>
    <x v="1"/>
    <x v="0"/>
    <n v="0.74075464614229403"/>
    <n v="0.36768598299262301"/>
    <n v="7.8577462409190699E-3"/>
    <n v="2.13708071680196E-2"/>
    <n v="2.31627606966244"/>
    <n v="3.31627606966244"/>
  </r>
  <r>
    <s v="CMP1394"/>
    <s v="Shop &amp; Share"/>
    <x v="1"/>
    <x v="166"/>
    <d v="2024-05-03T00:00:00"/>
    <n v="27548.799999999999"/>
    <n v="5611.2"/>
    <n v="5516.8"/>
    <n v="306.22399999999999"/>
    <n v="565.024"/>
    <x v="4"/>
    <x v="2"/>
    <x v="1"/>
    <n v="0.20368219305378099"/>
    <n v="0.98317650413458801"/>
    <n v="5.4573709723410302E-2"/>
    <n v="5.55075406032483E-2"/>
    <n v="0.84513297455457403"/>
    <n v="1.8451329745545699"/>
  </r>
  <r>
    <s v="CMP1395"/>
    <s v="Deal of the Day"/>
    <x v="2"/>
    <x v="46"/>
    <d v="2024-06-13T00:00:00"/>
    <n v="55094.400000000001"/>
    <n v="33321.599999999999"/>
    <n v="31729.599999999999"/>
    <n v="6815.6319999999996"/>
    <n v="12344.8"/>
    <x v="2"/>
    <x v="3"/>
    <x v="1"/>
    <n v="0.60480920020909601"/>
    <n v="0.95222318256026095"/>
    <n v="0.204540958417363"/>
    <n v="0.214803590338359"/>
    <n v="0.811248025128117"/>
    <n v="1.81124802512812"/>
  </r>
  <r>
    <s v="CMP1396"/>
    <s v="Wishlist Wonders"/>
    <x v="0"/>
    <x v="235"/>
    <d v="2024-05-18T00:00:00"/>
    <n v="79515.199999999997"/>
    <n v="23324.799999999999"/>
    <n v="5603.2"/>
    <n v="7847.8559999999998"/>
    <n v="9651.4240000000009"/>
    <x v="2"/>
    <x v="1"/>
    <x v="0"/>
    <n v="0.29333762601364299"/>
    <n v="0.24022499657017399"/>
    <n v="0.33645973384552103"/>
    <n v="1.4006025128498001"/>
    <n v="0.22981665310882399"/>
    <n v="1.2298166531088199"/>
  </r>
  <r>
    <s v="CMP1397"/>
    <s v="Wishlist Wonders"/>
    <x v="2"/>
    <x v="149"/>
    <d v="2024-04-23T00:00:00"/>
    <n v="68536"/>
    <n v="62372.800000000003"/>
    <n v="1566.4"/>
    <n v="768.56"/>
    <n v="2287.1999999999998"/>
    <x v="3"/>
    <x v="3"/>
    <x v="0"/>
    <n v="0.91007353799463098"/>
    <n v="2.5113511017623099E-2"/>
    <n v="1.23220378113537E-2"/>
    <n v="0.49065372829417803"/>
    <n v="1.97595503278859"/>
    <n v="2.97595503278859"/>
  </r>
  <r>
    <s v="CMP1398"/>
    <s v="Flash Sale Frenzy"/>
    <x v="2"/>
    <x v="203"/>
    <d v="2024-06-30T00:00:00"/>
    <n v="24668.799999999999"/>
    <n v="8598.4"/>
    <n v="1716.8"/>
    <n v="5072.8159999999998"/>
    <n v="13476.175999999999"/>
    <x v="1"/>
    <x v="4"/>
    <x v="1"/>
    <n v="0.348553638604229"/>
    <n v="0.19966505396352799"/>
    <n v="0.58997208783029398"/>
    <n v="2.9548089468779102"/>
    <n v="1.65654736935067"/>
    <n v="2.6565473693506698"/>
  </r>
  <r>
    <s v="CMP1399"/>
    <s v="Flash Sale Frenzy"/>
    <x v="1"/>
    <x v="228"/>
    <d v="2024-06-15T00:00:00"/>
    <n v="60430.400000000001"/>
    <n v="37401.599999999999"/>
    <n v="3876.8"/>
    <n v="885.12"/>
    <n v="1620.768"/>
    <x v="4"/>
    <x v="1"/>
    <x v="0"/>
    <n v="0.61892027853530696"/>
    <n v="0.10365331964407901"/>
    <n v="2.36652977412731E-2"/>
    <n v="0.228312009905076"/>
    <n v="0.83112798264642096"/>
    <n v="1.83112798264642"/>
  </r>
  <r>
    <s v="CMP1400"/>
    <s v="Wishlist Wonders"/>
    <x v="1"/>
    <x v="150"/>
    <d v="2024-09-11T00:00:00"/>
    <n v="26187.200000000001"/>
    <n v="15964.8"/>
    <n v="9115.2000000000007"/>
    <n v="5234.32"/>
    <n v="18648.32"/>
    <x v="4"/>
    <x v="2"/>
    <x v="0"/>
    <n v="0.60964135149996901"/>
    <n v="0.570956103427541"/>
    <n v="0.32786630587291998"/>
    <n v="0.57424082850623104"/>
    <n v="2.5627015543566301"/>
    <n v="3.5627015543566301"/>
  </r>
  <r>
    <s v="CMP1401"/>
    <s v="Cart to Couch"/>
    <x v="0"/>
    <x v="25"/>
    <d v="2024-11-01T00:00:00"/>
    <n v="3137.6"/>
    <n v="1038.4000000000001"/>
    <n v="158.4"/>
    <n v="6531.76"/>
    <n v="18793.392"/>
    <x v="0"/>
    <x v="1"/>
    <x v="0"/>
    <n v="0.33095359510453898"/>
    <n v="0.152542372881356"/>
    <n v="6.2902157164868999"/>
    <n v="41.235858585858601"/>
    <n v="1.8772324763922701"/>
    <n v="2.8772324763922699"/>
  </r>
  <r>
    <s v="CMP1402"/>
    <s v="Shop &amp; Share"/>
    <x v="3"/>
    <x v="151"/>
    <d v="2024-09-20T00:00:00"/>
    <n v="68449.600000000006"/>
    <n v="23216"/>
    <n v="17062.400000000001"/>
    <n v="1616.1759999999999"/>
    <n v="5481.2960000000003"/>
    <x v="3"/>
    <x v="0"/>
    <x v="1"/>
    <n v="0.33916925738061299"/>
    <n v="0.73494141971054405"/>
    <n v="6.9614748449345301E-2"/>
    <n v="9.4721492873218294E-2"/>
    <n v="2.3915217154567299"/>
    <n v="3.3915217154567299"/>
  </r>
  <r>
    <s v="CMP1403"/>
    <s v="Cart to Couch"/>
    <x v="3"/>
    <x v="65"/>
    <d v="2024-03-23T00:00:00"/>
    <n v="23388.799999999999"/>
    <n v="5697.6"/>
    <n v="2360"/>
    <n v="6114.768"/>
    <n v="14295.263999999999"/>
    <x v="4"/>
    <x v="0"/>
    <x v="1"/>
    <n v="0.24360377616637"/>
    <n v="0.41420949171581001"/>
    <n v="1.07321819713564"/>
    <n v="2.5910033898305098"/>
    <n v="1.33782606306568"/>
    <n v="2.33782606306568"/>
  </r>
  <r>
    <s v="CMP1404"/>
    <s v="Wishlist Wonders"/>
    <x v="1"/>
    <x v="7"/>
    <d v="2024-01-28T00:00:00"/>
    <n v="10105.6"/>
    <n v="544"/>
    <n v="380.8"/>
    <n v="3248.6080000000002"/>
    <n v="11434.031999999999"/>
    <x v="4"/>
    <x v="0"/>
    <x v="1"/>
    <n v="5.3831538948701699E-2"/>
    <n v="0.7"/>
    <n v="5.9717058823529401"/>
    <n v="8.5310084033613407"/>
    <n v="2.5196711945547099"/>
    <n v="3.5196711945547099"/>
  </r>
  <r>
    <s v="CMP1405"/>
    <s v="Flash Sale Frenzy"/>
    <x v="3"/>
    <x v="100"/>
    <d v="2024-01-28T00:00:00"/>
    <n v="70475.199999999997"/>
    <n v="51452.800000000003"/>
    <n v="12766.4"/>
    <n v="4171.4399999999996"/>
    <n v="13345.12"/>
    <x v="0"/>
    <x v="4"/>
    <x v="0"/>
    <n v="0.73008377415033898"/>
    <n v="0.24811866409602601"/>
    <n v="8.1073138876795806E-2"/>
    <n v="0.32675147261561599"/>
    <n v="2.1991638379072902"/>
    <n v="3.1991638379072902"/>
  </r>
  <r>
    <s v="CMP1406"/>
    <s v="Flash Sale Frenzy"/>
    <x v="0"/>
    <x v="250"/>
    <d v="2024-07-06T00:00:00"/>
    <n v="27430.400000000001"/>
    <n v="3931.2"/>
    <n v="3238.4"/>
    <n v="309.68"/>
    <n v="1114.5119999999999"/>
    <x v="3"/>
    <x v="3"/>
    <x v="1"/>
    <n v="0.143315445636958"/>
    <n v="0.82376882376882399"/>
    <n v="7.8774928774928796E-2"/>
    <n v="9.5627470355731201E-2"/>
    <n v="2.59891500904159"/>
    <n v="3.59891500904159"/>
  </r>
  <r>
    <s v="CMP1407"/>
    <s v="Shop &amp; Share"/>
    <x v="3"/>
    <x v="291"/>
    <d v="2024-02-25T00:00:00"/>
    <n v="2332.8000000000002"/>
    <n v="444.8"/>
    <n v="252.8"/>
    <n v="4961.12"/>
    <n v="12189.791999999999"/>
    <x v="3"/>
    <x v="2"/>
    <x v="0"/>
    <n v="0.190672153635117"/>
    <n v="0.56834532374100699"/>
    <n v="11.1535971223022"/>
    <n v="19.624683544303799"/>
    <n v="1.4570645338149499"/>
    <n v="2.4570645338149402"/>
  </r>
  <r>
    <s v="CMP1408"/>
    <s v="Cart to Couch"/>
    <x v="1"/>
    <x v="29"/>
    <d v="2024-10-01T00:00:00"/>
    <n v="63017.599999999999"/>
    <n v="5667.2"/>
    <n v="3352"/>
    <n v="2136.2240000000002"/>
    <n v="5994.4480000000003"/>
    <x v="1"/>
    <x v="0"/>
    <x v="1"/>
    <n v="8.9930432133245294E-2"/>
    <n v="0.59147374364765704"/>
    <n v="0.37694522868435898"/>
    <n v="0.63729832935560904"/>
    <n v="1.80609524094851"/>
    <n v="2.80609524094851"/>
  </r>
  <r>
    <s v="CMP1409"/>
    <s v="Wishlist Wonders"/>
    <x v="0"/>
    <x v="101"/>
    <d v="2024-05-22T00:00:00"/>
    <n v="59452.800000000003"/>
    <n v="1534.4"/>
    <n v="1312"/>
    <n v="6201.7120000000004"/>
    <n v="8395.4560000000001"/>
    <x v="0"/>
    <x v="1"/>
    <x v="1"/>
    <n v="2.5808708757199001E-2"/>
    <n v="0.85505735140771599"/>
    <n v="4.0417831074035497"/>
    <n v="4.7269146341463397"/>
    <n v="0.35373200174403402"/>
    <n v="1.35373200174403"/>
  </r>
  <r>
    <s v="CMP1410"/>
    <s v="Shop &amp; Share"/>
    <x v="3"/>
    <x v="266"/>
    <d v="2024-05-17T00:00:00"/>
    <n v="48843.199999999997"/>
    <n v="36976"/>
    <n v="21481.599999999999"/>
    <n v="1530.144"/>
    <n v="5243.8559999999998"/>
    <x v="1"/>
    <x v="3"/>
    <x v="1"/>
    <n v="0.75703475611753501"/>
    <n v="0.58096062310688001"/>
    <n v="4.1382085677196E-2"/>
    <n v="7.1230448383733103E-2"/>
    <n v="2.42703431833867"/>
    <n v="3.42703431833867"/>
  </r>
  <r>
    <s v="CMP1411"/>
    <s v="Seasonal Steals"/>
    <x v="3"/>
    <x v="296"/>
    <d v="2024-08-14T00:00:00"/>
    <n v="11177.6"/>
    <n v="1464"/>
    <n v="1160"/>
    <n v="7999.6639999999998"/>
    <n v="31609.727999999999"/>
    <x v="4"/>
    <x v="3"/>
    <x v="1"/>
    <n v="0.130976238190667"/>
    <n v="0.79234972677595605"/>
    <n v="5.4642513661202203"/>
    <n v="6.8962620689655196"/>
    <n v="2.9513819580422398"/>
    <n v="3.9513819580422398"/>
  </r>
  <r>
    <s v="CMP1412"/>
    <s v="Seasonal Steals"/>
    <x v="2"/>
    <x v="220"/>
    <d v="2024-03-25T00:00:00"/>
    <n v="25713.599999999999"/>
    <n v="16419.2"/>
    <n v="7081.6"/>
    <n v="6741.808"/>
    <n v="24631.567999999999"/>
    <x v="0"/>
    <x v="4"/>
    <x v="1"/>
    <n v="0.63854147221703705"/>
    <n v="0.43129994153186502"/>
    <n v="0.41060514519586799"/>
    <n v="0.95201762313601401"/>
    <n v="2.6535552480877498"/>
    <n v="3.6535552480877498"/>
  </r>
  <r>
    <s v="CMP1413"/>
    <s v="Shop &amp; Share"/>
    <x v="3"/>
    <x v="127"/>
    <d v="2024-09-22T00:00:00"/>
    <n v="72753.600000000006"/>
    <n v="4017.6"/>
    <n v="2796.8"/>
    <n v="1868.8"/>
    <n v="5779.6639999999998"/>
    <x v="1"/>
    <x v="1"/>
    <x v="1"/>
    <n v="5.5222009632513003E-2"/>
    <n v="0.69613699721226596"/>
    <n v="0.465153325368379"/>
    <n v="0.66819221967963405"/>
    <n v="2.0927140410958902"/>
    <n v="3.0927140410958902"/>
  </r>
  <r>
    <s v="CMP1414"/>
    <s v="Wishlist Wonders"/>
    <x v="1"/>
    <x v="125"/>
    <d v="2024-01-16T00:00:00"/>
    <n v="76643.199999999997"/>
    <n v="9353.6"/>
    <n v="6016"/>
    <n v="6080.8"/>
    <n v="19984.48"/>
    <x v="4"/>
    <x v="4"/>
    <x v="1"/>
    <n v="0.122040833368127"/>
    <n v="0.64317482039000995"/>
    <n v="0.65010263427984905"/>
    <n v="1.01077127659574"/>
    <n v="2.2864886199184302"/>
    <n v="3.2864886199184302"/>
  </r>
  <r>
    <s v="CMP1415"/>
    <s v="Seasonal Steals"/>
    <x v="0"/>
    <x v="256"/>
    <d v="2024-07-24T00:00:00"/>
    <n v="68534.399999999994"/>
    <n v="50358.400000000001"/>
    <n v="21720"/>
    <n v="6452.0159999999996"/>
    <n v="12629.472"/>
    <x v="3"/>
    <x v="1"/>
    <x v="0"/>
    <n v="0.73479011999813204"/>
    <n v="0.431308381521256"/>
    <n v="0.12812194192031501"/>
    <n v="0.29705414364640897"/>
    <n v="0.95744585878274302"/>
    <n v="1.9574458587827399"/>
  </r>
  <r>
    <s v="CMP1416"/>
    <s v="Cart to Couch"/>
    <x v="1"/>
    <x v="56"/>
    <d v="2024-09-26T00:00:00"/>
    <n v="40214.400000000001"/>
    <n v="20121.599999999999"/>
    <n v="15280"/>
    <n v="3322.0320000000002"/>
    <n v="8608.5120000000006"/>
    <x v="3"/>
    <x v="0"/>
    <x v="0"/>
    <n v="0.50035808068751497"/>
    <n v="0.75938295165394398"/>
    <n v="0.16509780534351101"/>
    <n v="0.21741047120418799"/>
    <n v="1.59133927668367"/>
    <n v="2.5913392766836698"/>
  </r>
  <r>
    <s v="CMP1417"/>
    <s v="Wishlist Wonders"/>
    <x v="2"/>
    <x v="134"/>
    <d v="2024-07-28T00:00:00"/>
    <n v="30540.799999999999"/>
    <n v="19996.8"/>
    <n v="12788.8"/>
    <n v="4251.92"/>
    <n v="9879.8559999999998"/>
    <x v="4"/>
    <x v="1"/>
    <x v="0"/>
    <n v="0.65475691533947999"/>
    <n v="0.63954232677228395"/>
    <n v="0.21263002080332899"/>
    <n v="0.33247216314275002"/>
    <n v="1.32362226946885"/>
    <n v="2.3236222694688502"/>
  </r>
  <r>
    <s v="CMP1418"/>
    <s v="Deal of the Day"/>
    <x v="2"/>
    <x v="211"/>
    <d v="2024-10-31T00:00:00"/>
    <n v="45107.199999999997"/>
    <n v="11953.6"/>
    <n v="10790.4"/>
    <n v="897.77599999999995"/>
    <n v="2046.4960000000001"/>
    <x v="0"/>
    <x v="4"/>
    <x v="1"/>
    <n v="0.26500425652667398"/>
    <n v="0.90269040289117897"/>
    <n v="7.5105072948735099E-2"/>
    <n v="8.3201364175563494E-2"/>
    <n v="1.27951738518294"/>
    <n v="2.27951738518294"/>
  </r>
  <r>
    <s v="CMP1419"/>
    <s v="Wishlist Wonders"/>
    <x v="0"/>
    <x v="119"/>
    <d v="2024-06-23T00:00:00"/>
    <n v="60022.400000000001"/>
    <n v="43868.800000000003"/>
    <n v="36580.800000000003"/>
    <n v="2782.48"/>
    <n v="10291.664000000001"/>
    <x v="2"/>
    <x v="1"/>
    <x v="1"/>
    <n v="0.730873807112012"/>
    <n v="0.83386826172587303"/>
    <n v="6.3427310525931896E-2"/>
    <n v="7.6063946113808303E-2"/>
    <n v="2.6987378166240199"/>
    <n v="3.6987378166240199"/>
  </r>
  <r>
    <s v="CMP1420"/>
    <s v="Deal of the Day"/>
    <x v="0"/>
    <x v="44"/>
    <d v="2024-09-30T00:00:00"/>
    <n v="25246.400000000001"/>
    <n v="24924.799999999999"/>
    <n v="19982.400000000001"/>
    <n v="497.87200000000001"/>
    <n v="1518.432"/>
    <x v="2"/>
    <x v="2"/>
    <x v="1"/>
    <n v="0.98726155016160699"/>
    <n v="0.80170753626909796"/>
    <n v="1.9974964693798902E-2"/>
    <n v="2.49155256625831E-2"/>
    <n v="2.04984413664556"/>
    <n v="3.04984413664556"/>
  </r>
  <r>
    <s v="CMP1421"/>
    <s v="Deal of the Day"/>
    <x v="2"/>
    <x v="281"/>
    <d v="2024-02-22T00:00:00"/>
    <n v="35716.800000000003"/>
    <n v="18203.2"/>
    <n v="17979.2"/>
    <n v="5118.3040000000001"/>
    <n v="17727.664000000001"/>
    <x v="3"/>
    <x v="4"/>
    <x v="1"/>
    <n v="0.50965372037808498"/>
    <n v="0.98769447130174903"/>
    <n v="0.28117605695701903"/>
    <n v="0.28467918483581001"/>
    <n v="2.46358168643363"/>
    <n v="3.46358168643363"/>
  </r>
  <r>
    <s v="CMP1422"/>
    <s v="Flash Sale Frenzy"/>
    <x v="2"/>
    <x v="130"/>
    <d v="2024-03-19T00:00:00"/>
    <n v="68550.399999999994"/>
    <n v="59884.800000000003"/>
    <n v="46432"/>
    <n v="3778.192"/>
    <n v="7504.768"/>
    <x v="2"/>
    <x v="3"/>
    <x v="1"/>
    <n v="0.87358790028942201"/>
    <n v="0.77535534893662506"/>
    <n v="6.3091001389334198E-2"/>
    <n v="8.1370434183321794E-2"/>
    <n v="0.98633843912643904"/>
    <n v="1.98633843912644"/>
  </r>
  <r>
    <s v="CMP1423"/>
    <s v="Cart to Couch"/>
    <x v="2"/>
    <x v="284"/>
    <d v="2024-09-17T00:00:00"/>
    <n v="35672"/>
    <n v="10979.2"/>
    <n v="4099.2"/>
    <n v="2940.32"/>
    <n v="9984.4480000000003"/>
    <x v="2"/>
    <x v="4"/>
    <x v="1"/>
    <n v="0.30778201390446303"/>
    <n v="0.373360536286797"/>
    <n v="0.26780821917808201"/>
    <n v="0.71729117876658899"/>
    <n v="2.39570114817435"/>
    <n v="3.39570114817435"/>
  </r>
  <r>
    <s v="CMP1424"/>
    <s v="Shop &amp; Share"/>
    <x v="0"/>
    <x v="43"/>
    <d v="2024-03-10T00:00:00"/>
    <n v="45950.400000000001"/>
    <n v="29403.200000000001"/>
    <n v="4497.6000000000004"/>
    <n v="4969.9679999999998"/>
    <n v="19816.128000000001"/>
    <x v="3"/>
    <x v="3"/>
    <x v="0"/>
    <n v="0.63988996831365996"/>
    <n v="0.15296294280894601"/>
    <n v="0.169028132992327"/>
    <n v="1.1050266808964799"/>
    <n v="2.9871741628919901"/>
    <n v="3.9871741628919901"/>
  </r>
  <r>
    <s v="CMP1425"/>
    <s v="Shop &amp; Share"/>
    <x v="2"/>
    <x v="226"/>
    <d v="2024-01-16T00:00:00"/>
    <n v="74648"/>
    <n v="67025.600000000006"/>
    <n v="63571.199999999997"/>
    <n v="6887.0240000000003"/>
    <n v="12615.28"/>
    <x v="0"/>
    <x v="2"/>
    <x v="0"/>
    <n v="0.89788875790376199"/>
    <n v="0.94846148337351699"/>
    <n v="0.102752142464969"/>
    <n v="0.10833559851001701"/>
    <n v="0.83174619400193806"/>
    <n v="1.8317461940019399"/>
  </r>
  <r>
    <s v="CMP1426"/>
    <s v="Seasonal Steals"/>
    <x v="1"/>
    <x v="294"/>
    <d v="2024-08-10T00:00:00"/>
    <n v="69980.800000000003"/>
    <n v="58568"/>
    <n v="15224"/>
    <n v="3949.1680000000001"/>
    <n v="5673.5519999999997"/>
    <x v="0"/>
    <x v="3"/>
    <x v="0"/>
    <n v="0.83691526818784601"/>
    <n v="0.25993716705368097"/>
    <n v="6.7428766561945103E-2"/>
    <n v="0.25940409879138199"/>
    <n v="0.43664488317539302"/>
    <n v="1.43664488317539"/>
  </r>
  <r>
    <s v="CMP1427"/>
    <s v="Deal of the Day"/>
    <x v="1"/>
    <x v="152"/>
    <d v="2024-08-13T00:00:00"/>
    <n v="2609.6"/>
    <n v="1747.2"/>
    <n v="1715.2"/>
    <n v="696.81600000000003"/>
    <n v="1074.5119999999999"/>
    <x v="3"/>
    <x v="0"/>
    <x v="1"/>
    <n v="0.66952789699570803"/>
    <n v="0.98168498168498197"/>
    <n v="0.39881868131868098"/>
    <n v="0.40625932835820899"/>
    <n v="0.54203118183279397"/>
    <n v="1.5420311818327901"/>
  </r>
  <r>
    <s v="CMP1428"/>
    <s v="Shop &amp; Share"/>
    <x v="3"/>
    <x v="238"/>
    <d v="2024-08-02T00:00:00"/>
    <n v="46603.199999999997"/>
    <n v="33563.199999999997"/>
    <n v="12081.6"/>
    <n v="4070"/>
    <n v="6697.8559999999998"/>
    <x v="3"/>
    <x v="1"/>
    <x v="1"/>
    <n v="0.72019088817935295"/>
    <n v="0.35996567669352197"/>
    <n v="0.12126376507603601"/>
    <n v="0.33687591047543403"/>
    <n v="0.64566486486486496"/>
    <n v="1.64566486486486"/>
  </r>
  <r>
    <s v="CMP1429"/>
    <s v="Wishlist Wonders"/>
    <x v="0"/>
    <x v="217"/>
    <d v="2024-07-27T00:00:00"/>
    <n v="5200"/>
    <n v="2009.6"/>
    <n v="251.2"/>
    <n v="989.2"/>
    <n v="3609.5680000000002"/>
    <x v="4"/>
    <x v="3"/>
    <x v="1"/>
    <n v="0.38646153846153802"/>
    <n v="0.125"/>
    <n v="0.49223726114649702"/>
    <n v="3.9378980891719699"/>
    <n v="2.6489769510715702"/>
    <n v="3.6489769510715702"/>
  </r>
  <r>
    <s v="CMP1430"/>
    <s v="Seasonal Steals"/>
    <x v="3"/>
    <x v="182"/>
    <d v="2024-08-01T00:00:00"/>
    <n v="61899.199999999997"/>
    <n v="42504"/>
    <n v="3374.4"/>
    <n v="6208.88"/>
    <n v="19346.912"/>
    <x v="2"/>
    <x v="4"/>
    <x v="0"/>
    <n v="0.68666477111174296"/>
    <n v="7.9390175042349007E-2"/>
    <n v="0.14607754564276301"/>
    <n v="1.83999525841631"/>
    <n v="2.1160067516202599"/>
    <n v="3.1160067516202599"/>
  </r>
  <r>
    <s v="CMP1431"/>
    <s v="Seasonal Steals"/>
    <x v="0"/>
    <x v="250"/>
    <d v="2024-07-06T00:00:00"/>
    <n v="61846.400000000001"/>
    <n v="3152"/>
    <n v="3097.6"/>
    <n v="1653.12"/>
    <n v="3794.576"/>
    <x v="1"/>
    <x v="3"/>
    <x v="1"/>
    <n v="5.0964971283696398E-2"/>
    <n v="0.98274111675126896"/>
    <n v="0.52446700507614197"/>
    <n v="0.53367768595041298"/>
    <n v="1.2954026325977499"/>
    <n v="2.2954026325977499"/>
  </r>
  <r>
    <s v="CMP1432"/>
    <s v="Seasonal Steals"/>
    <x v="2"/>
    <x v="137"/>
    <d v="2024-06-14T00:00:00"/>
    <n v="51499.199999999997"/>
    <n v="11542.4"/>
    <n v="200"/>
    <n v="7763.8879999999999"/>
    <n v="19212.560000000001"/>
    <x v="1"/>
    <x v="4"/>
    <x v="1"/>
    <n v="0.22412775344083"/>
    <n v="1.7327418907679502E-2"/>
    <n v="0.67264069864152998"/>
    <n v="38.81944"/>
    <n v="1.47460550693158"/>
    <n v="2.4746055069315802"/>
  </r>
  <r>
    <s v="CMP1433"/>
    <s v="Cart to Couch"/>
    <x v="1"/>
    <x v="131"/>
    <d v="2024-05-17T00:00:00"/>
    <n v="49836.800000000003"/>
    <n v="8424"/>
    <n v="6361.6"/>
    <n v="5976.9279999999999"/>
    <n v="10040.544"/>
    <x v="3"/>
    <x v="3"/>
    <x v="1"/>
    <n v="0.169031719532554"/>
    <n v="0.75517568850902195"/>
    <n v="0.70951187084520395"/>
    <n v="0.93953219315895398"/>
    <n v="0.67988371283709603"/>
    <n v="1.6798837128371"/>
  </r>
  <r>
    <s v="CMP1434"/>
    <s v="Flash Sale Frenzy"/>
    <x v="3"/>
    <x v="104"/>
    <d v="2024-05-02T00:00:00"/>
    <n v="44115.199999999997"/>
    <n v="41406.400000000001"/>
    <n v="37118.400000000001"/>
    <n v="1721.6959999999999"/>
    <n v="6115.8559999999998"/>
    <x v="3"/>
    <x v="0"/>
    <x v="0"/>
    <n v="0.93859712752067304"/>
    <n v="0.89644112987364299"/>
    <n v="4.1580432010510399E-2"/>
    <n v="4.6383895857580099E-2"/>
    <n v="2.5522275709532898"/>
    <n v="3.5522275709532898"/>
  </r>
  <r>
    <s v="CMP1435"/>
    <s v="Seasonal Steals"/>
    <x v="1"/>
    <x v="195"/>
    <d v="2024-04-11T00:00:00"/>
    <n v="44091.199999999997"/>
    <n v="41353.599999999999"/>
    <n v="36214.400000000001"/>
    <n v="4885.4080000000004"/>
    <n v="14340.864"/>
    <x v="2"/>
    <x v="2"/>
    <x v="1"/>
    <n v="0.93791051275537995"/>
    <n v="0.87572545074673103"/>
    <n v="0.11813742938946099"/>
    <n v="0.134902359282495"/>
    <n v="1.93544858484696"/>
    <n v="2.9354485848469598"/>
  </r>
  <r>
    <s v="CMP1436"/>
    <s v="Shop &amp; Share"/>
    <x v="1"/>
    <x v="197"/>
    <d v="2024-08-27T00:00:00"/>
    <n v="29961.599999999999"/>
    <n v="22027.200000000001"/>
    <n v="14155.2"/>
    <n v="416.048"/>
    <n v="1127.8240000000001"/>
    <x v="1"/>
    <x v="2"/>
    <x v="0"/>
    <n v="0.73518103172060201"/>
    <n v="0.64262366528655501"/>
    <n v="1.8887920389336801E-2"/>
    <n v="2.93918842545496E-2"/>
    <n v="1.71080259970003"/>
    <n v="2.7108025997000298"/>
  </r>
  <r>
    <s v="CMP1437"/>
    <s v="Shop &amp; Share"/>
    <x v="1"/>
    <x v="52"/>
    <d v="2024-02-13T00:00:00"/>
    <n v="13686.4"/>
    <n v="7993.6"/>
    <n v="7956.8"/>
    <n v="7321.1360000000004"/>
    <n v="9793.5360000000001"/>
    <x v="1"/>
    <x v="4"/>
    <x v="1"/>
    <n v="0.58405424362871206"/>
    <n v="0.99539631705364295"/>
    <n v="0.91587469975980795"/>
    <n v="0.92011059722501498"/>
    <n v="0.33770715364391501"/>
    <n v="1.33770715364392"/>
  </r>
  <r>
    <s v="CMP1438"/>
    <s v="Flash Sale Frenzy"/>
    <x v="2"/>
    <x v="216"/>
    <d v="2024-03-13T00:00:00"/>
    <n v="2651.2"/>
    <n v="1555.2"/>
    <n v="409.6"/>
    <n v="6562.7839999999997"/>
    <n v="10826.031999999999"/>
    <x v="3"/>
    <x v="2"/>
    <x v="1"/>
    <n v="0.58660229330114699"/>
    <n v="0.26337448559670801"/>
    <n v="4.2198971193415602"/>
    <n v="16.022421874999999"/>
    <n v="0.649609677844037"/>
    <n v="1.6496096778440399"/>
  </r>
  <r>
    <s v="CMP1439"/>
    <s v="Shop &amp; Share"/>
    <x v="2"/>
    <x v="239"/>
    <d v="2024-08-09T00:00:00"/>
    <n v="72889.600000000006"/>
    <n v="31016"/>
    <n v="24628.799999999999"/>
    <n v="1397.088"/>
    <n v="5116.9759999999997"/>
    <x v="0"/>
    <x v="4"/>
    <x v="0"/>
    <n v="0.42552023882693801"/>
    <n v="0.79406757802424599"/>
    <n v="4.5044106267732802E-2"/>
    <n v="5.6725784447476099E-2"/>
    <n v="2.6626010673629699"/>
    <n v="3.6626010673629699"/>
  </r>
  <r>
    <s v="CMP1440"/>
    <s v="Seasonal Steals"/>
    <x v="0"/>
    <x v="277"/>
    <d v="2024-03-06T00:00:00"/>
    <n v="71910.399999999994"/>
    <n v="40806.400000000001"/>
    <n v="20009.599999999999"/>
    <n v="6279.6"/>
    <n v="24628.864000000001"/>
    <x v="1"/>
    <x v="3"/>
    <x v="0"/>
    <n v="0.56746173015307899"/>
    <n v="0.49035445420326201"/>
    <n v="0.15388762547051399"/>
    <n v="0.31382936190628502"/>
    <n v="2.9220434422574701"/>
    <n v="3.9220434422574701"/>
  </r>
  <r>
    <s v="CMP1441"/>
    <s v="Shop &amp; Share"/>
    <x v="1"/>
    <x v="100"/>
    <d v="2024-02-09T00:00:00"/>
    <n v="66547.199999999997"/>
    <n v="8792"/>
    <n v="580.79999999999995"/>
    <n v="5801.3119999999999"/>
    <n v="8606"/>
    <x v="0"/>
    <x v="0"/>
    <x v="1"/>
    <n v="0.13211675322177299"/>
    <n v="6.6060054595086404E-2"/>
    <n v="0.659839854413103"/>
    <n v="9.9884848484848501"/>
    <n v="0.48345753512308898"/>
    <n v="1.4834575351230901"/>
  </r>
  <r>
    <s v="CMP1442"/>
    <s v="Seasonal Steals"/>
    <x v="3"/>
    <x v="55"/>
    <d v="2024-08-15T00:00:00"/>
    <n v="72684.800000000003"/>
    <n v="23833.599999999999"/>
    <n v="2113.6"/>
    <n v="626.22400000000005"/>
    <n v="2023.8720000000001"/>
    <x v="3"/>
    <x v="4"/>
    <x v="1"/>
    <n v="0.32790349564145499"/>
    <n v="8.8681525241675593E-2"/>
    <n v="2.6274838882921599E-2"/>
    <n v="0.29628311884935699"/>
    <n v="2.2318659137944201"/>
    <n v="3.2318659137944201"/>
  </r>
  <r>
    <s v="CMP1443"/>
    <s v="Cart to Couch"/>
    <x v="1"/>
    <x v="269"/>
    <d v="2024-03-19T00:00:00"/>
    <n v="2688"/>
    <n v="628.79999999999995"/>
    <n v="500.8"/>
    <n v="1499.568"/>
    <n v="3110.8319999999999"/>
    <x v="4"/>
    <x v="3"/>
    <x v="1"/>
    <n v="0.23392857142857101"/>
    <n v="0.79643765903307895"/>
    <n v="2.3848091603053398"/>
    <n v="2.99434504792332"/>
    <n v="1.0744854518101199"/>
    <n v="2.0744854518101201"/>
  </r>
  <r>
    <s v="CMP1444"/>
    <s v="Cart to Couch"/>
    <x v="1"/>
    <x v="150"/>
    <d v="2024-09-07T00:00:00"/>
    <n v="34704"/>
    <n v="31571.200000000001"/>
    <n v="30976"/>
    <n v="2430.8000000000002"/>
    <n v="7722.96"/>
    <x v="4"/>
    <x v="0"/>
    <x v="0"/>
    <n v="0.90972798524665699"/>
    <n v="0.98114737482262304"/>
    <n v="7.6994222582606894E-2"/>
    <n v="7.8473657024793406E-2"/>
    <n v="2.1771268718117498"/>
    <n v="3.1771268718117498"/>
  </r>
  <r>
    <s v="CMP1445"/>
    <s v="Wishlist Wonders"/>
    <x v="0"/>
    <x v="104"/>
    <d v="2024-05-19T00:00:00"/>
    <n v="29571.200000000001"/>
    <n v="25280"/>
    <n v="14368"/>
    <n v="1660.1120000000001"/>
    <n v="3922.752"/>
    <x v="2"/>
    <x v="2"/>
    <x v="1"/>
    <n v="0.85488583486635605"/>
    <n v="0.56835443037974698"/>
    <n v="6.5668987341772206E-2"/>
    <n v="0.115542316258352"/>
    <n v="1.3629441868982299"/>
    <n v="2.3629441868982299"/>
  </r>
  <r>
    <s v="CMP1446"/>
    <s v="Shop &amp; Share"/>
    <x v="0"/>
    <x v="237"/>
    <d v="2024-05-15T00:00:00"/>
    <n v="44412.800000000003"/>
    <n v="2030.4"/>
    <n v="1643.2"/>
    <n v="6793.3280000000004"/>
    <n v="20166.240000000002"/>
    <x v="0"/>
    <x v="0"/>
    <x v="0"/>
    <n v="4.5716550183730803E-2"/>
    <n v="0.80929866036248999"/>
    <n v="3.3458077226162302"/>
    <n v="4.1342064264849103"/>
    <n v="1.9685361872708"/>
    <n v="2.9685361872708"/>
  </r>
  <r>
    <s v="CMP1447"/>
    <s v="Deal of the Day"/>
    <x v="3"/>
    <x v="113"/>
    <d v="2024-04-26T00:00:00"/>
    <n v="47608"/>
    <n v="36616"/>
    <n v="34996.800000000003"/>
    <n v="443.392"/>
    <n v="659.12"/>
    <x v="3"/>
    <x v="0"/>
    <x v="1"/>
    <n v="0.76911443454881501"/>
    <n v="0.95577889447236197"/>
    <n v="1.2109241861481299E-2"/>
    <n v="1.26695012115393E-2"/>
    <n v="0.48654012702078497"/>
    <n v="1.4865401270207901"/>
  </r>
  <r>
    <s v="CMP1448"/>
    <s v="Cart to Couch"/>
    <x v="2"/>
    <x v="199"/>
    <d v="2024-06-29T00:00:00"/>
    <n v="72676.800000000003"/>
    <n v="25252.799999999999"/>
    <n v="20856"/>
    <n v="4467.7759999999998"/>
    <n v="14466.992"/>
    <x v="1"/>
    <x v="2"/>
    <x v="0"/>
    <n v="0.34746714219668401"/>
    <n v="0.82588861433187599"/>
    <n v="0.17692200468858901"/>
    <n v="0.21422017644802499"/>
    <n v="2.2380746035611501"/>
    <n v="3.2380746035611501"/>
  </r>
  <r>
    <s v="CMP1449"/>
    <s v="Cart to Couch"/>
    <x v="0"/>
    <x v="10"/>
    <d v="2024-01-26T00:00:00"/>
    <n v="13123.2"/>
    <n v="10008"/>
    <n v="5294.4"/>
    <n v="5906.0320000000002"/>
    <n v="13613.28"/>
    <x v="1"/>
    <x v="1"/>
    <x v="1"/>
    <n v="0.76261887344550106"/>
    <n v="0.52901678657074303"/>
    <n v="0.59013109512390105"/>
    <n v="1.11552432759142"/>
    <n v="1.3049790451524801"/>
    <n v="2.3049790451524799"/>
  </r>
  <r>
    <s v="CMP1450"/>
    <s v="Wishlist Wonders"/>
    <x v="1"/>
    <x v="179"/>
    <d v="2024-04-04T00:00:00"/>
    <n v="75817.600000000006"/>
    <n v="3291.2"/>
    <n v="2872"/>
    <n v="2408.9119999999998"/>
    <n v="7185.8559999999998"/>
    <x v="3"/>
    <x v="1"/>
    <x v="0"/>
    <n v="4.3409445827881699E-2"/>
    <n v="0.87263004375303799"/>
    <n v="0.73192513368984002"/>
    <n v="0.83875766016713105"/>
    <n v="1.98302968311005"/>
    <n v="2.98302968311005"/>
  </r>
  <r>
    <s v="CMP1451"/>
    <s v="Wishlist Wonders"/>
    <x v="3"/>
    <x v="289"/>
    <d v="2024-08-19T00:00:00"/>
    <n v="64696"/>
    <n v="5011.2"/>
    <n v="3886.4"/>
    <n v="7225.152"/>
    <n v="9936.3040000000001"/>
    <x v="3"/>
    <x v="2"/>
    <x v="1"/>
    <n v="7.7457648077160907E-2"/>
    <n v="0.775542784163474"/>
    <n v="1.4418007662835299"/>
    <n v="1.8590860436393599"/>
    <n v="0.37523805727547299"/>
    <n v="1.3752380572754701"/>
  </r>
  <r>
    <s v="CMP1452"/>
    <s v="Wishlist Wonders"/>
    <x v="3"/>
    <x v="79"/>
    <d v="2024-07-06T00:00:00"/>
    <n v="11945.6"/>
    <n v="4660.8"/>
    <n v="3272"/>
    <n v="5325.5360000000001"/>
    <n v="11581.664000000001"/>
    <x v="3"/>
    <x v="4"/>
    <x v="0"/>
    <n v="0.39016876506831"/>
    <n v="0.70202540336422903"/>
    <n v="1.14262272571232"/>
    <n v="1.62760880195599"/>
    <n v="1.1747414720321101"/>
    <n v="2.1747414720321099"/>
  </r>
  <r>
    <s v="CMP1453"/>
    <s v="Wishlist Wonders"/>
    <x v="0"/>
    <x v="143"/>
    <d v="2024-07-29T00:00:00"/>
    <n v="45068.800000000003"/>
    <n v="30827.200000000001"/>
    <n v="3142.4"/>
    <n v="5386.5919999999996"/>
    <n v="9401.9680000000008"/>
    <x v="3"/>
    <x v="1"/>
    <x v="0"/>
    <n v="0.684003124112468"/>
    <n v="0.10193595266517901"/>
    <n v="0.174735039186173"/>
    <n v="1.7141649694501"/>
    <n v="0.74543904568974295"/>
    <n v="1.74543904568974"/>
  </r>
  <r>
    <s v="CMP1454"/>
    <s v="Cart to Couch"/>
    <x v="1"/>
    <x v="133"/>
    <d v="2024-08-22T00:00:00"/>
    <n v="8136"/>
    <n v="6340.8"/>
    <n v="1528"/>
    <n v="3198.6559999999999"/>
    <n v="10904.72"/>
    <x v="2"/>
    <x v="2"/>
    <x v="1"/>
    <n v="0.779351032448378"/>
    <n v="0.24097905627050201"/>
    <n v="0.50445622003532697"/>
    <n v="2.0933612565445001"/>
    <n v="2.4091568458752701"/>
    <n v="3.4091568458752701"/>
  </r>
  <r>
    <s v="CMP1455"/>
    <s v="Cart to Couch"/>
    <x v="2"/>
    <x v="273"/>
    <d v="2024-08-28T00:00:00"/>
    <n v="67745.600000000006"/>
    <n v="18166.400000000001"/>
    <n v="15416"/>
    <n v="1297.8879999999999"/>
    <n v="3447.6959999999999"/>
    <x v="2"/>
    <x v="3"/>
    <x v="1"/>
    <n v="0.26815616069530701"/>
    <n v="0.84859961247137605"/>
    <n v="7.1444424872291704E-2"/>
    <n v="8.4190970420342501E-2"/>
    <n v="1.6563894573337601"/>
    <n v="2.6563894573337601"/>
  </r>
  <r>
    <s v="CMP1456"/>
    <s v="Shop &amp; Share"/>
    <x v="1"/>
    <x v="76"/>
    <d v="2024-09-30T00:00:00"/>
    <n v="10593.6"/>
    <n v="5792"/>
    <n v="2708.8"/>
    <n v="6375.2640000000001"/>
    <n v="24729.040000000001"/>
    <x v="2"/>
    <x v="1"/>
    <x v="1"/>
    <n v="0.54674520465186505"/>
    <n v="0.46767955801104999"/>
    <n v="1.10070165745856"/>
    <n v="2.3535380980507998"/>
    <n v="2.8789044657601601"/>
    <n v="3.8789044657601601"/>
  </r>
  <r>
    <s v="CMP1457"/>
    <s v="Shop &amp; Share"/>
    <x v="3"/>
    <x v="253"/>
    <d v="2024-08-23T00:00:00"/>
    <n v="3118.4"/>
    <n v="1932.8"/>
    <n v="1411.2"/>
    <n v="5514.48"/>
    <n v="8374.32"/>
    <x v="1"/>
    <x v="4"/>
    <x v="1"/>
    <n v="0.61980502821960004"/>
    <n v="0.73013245033112595"/>
    <n v="2.8531043046357598"/>
    <n v="3.9076530612244902"/>
    <n v="0.51860556208382302"/>
    <n v="1.5186055620838199"/>
  </r>
  <r>
    <s v="CMP1458"/>
    <s v="Deal of the Day"/>
    <x v="2"/>
    <x v="294"/>
    <d v="2024-08-19T00:00:00"/>
    <n v="64430.400000000001"/>
    <n v="13488"/>
    <n v="5440"/>
    <n v="1949.4079999999999"/>
    <n v="4367.92"/>
    <x v="1"/>
    <x v="4"/>
    <x v="0"/>
    <n v="0.20934217388065299"/>
    <n v="0.403321470937129"/>
    <n v="0.1445290628707"/>
    <n v="0.35834705882352902"/>
    <n v="1.24063920944205"/>
    <n v="2.2406392094420502"/>
  </r>
  <r>
    <s v="CMP1459"/>
    <s v="Flash Sale Frenzy"/>
    <x v="0"/>
    <x v="93"/>
    <d v="2024-04-21T00:00:00"/>
    <n v="33540.800000000003"/>
    <n v="24609.599999999999"/>
    <n v="19868.8"/>
    <n v="3941.248"/>
    <n v="5066.0479999999998"/>
    <x v="1"/>
    <x v="3"/>
    <x v="1"/>
    <n v="0.73372131851357103"/>
    <n v="0.80735972953644097"/>
    <n v="0.16015083544632999"/>
    <n v="0.19836366564664201"/>
    <n v="0.28539183527654199"/>
    <n v="1.2853918352765401"/>
  </r>
  <r>
    <s v="CMP1460"/>
    <s v="Wishlist Wonders"/>
    <x v="2"/>
    <x v="182"/>
    <d v="2024-07-15T00:00:00"/>
    <n v="27734.400000000001"/>
    <n v="2208"/>
    <n v="1708.8"/>
    <n v="7604.9279999999999"/>
    <n v="15386.575999999999"/>
    <x v="3"/>
    <x v="1"/>
    <x v="0"/>
    <n v="7.9612322602976807E-2"/>
    <n v="0.77391304347826095"/>
    <n v="3.4442608695652202"/>
    <n v="4.4504494382022504"/>
    <n v="1.02323756385333"/>
    <n v="2.0232375638533302"/>
  </r>
  <r>
    <s v="CMP1461"/>
    <s v="Deal of the Day"/>
    <x v="2"/>
    <x v="291"/>
    <d v="2024-03-01T00:00:00"/>
    <n v="68619.199999999997"/>
    <n v="52198.400000000001"/>
    <n v="18694.400000000001"/>
    <n v="4522.4799999999996"/>
    <n v="15102.08"/>
    <x v="1"/>
    <x v="3"/>
    <x v="0"/>
    <n v="0.76069671462214705"/>
    <n v="0.358141245708681"/>
    <n v="8.6640203531142698E-2"/>
    <n v="0.241916295789113"/>
    <n v="2.33933593957298"/>
    <n v="3.33933593957298"/>
  </r>
  <r>
    <s v="CMP1462"/>
    <s v="Flash Sale Frenzy"/>
    <x v="0"/>
    <x v="225"/>
    <d v="2024-05-13T00:00:00"/>
    <n v="26480"/>
    <n v="23928"/>
    <n v="2332.8000000000002"/>
    <n v="5419.5519999999997"/>
    <n v="21016.128000000001"/>
    <x v="2"/>
    <x v="3"/>
    <x v="0"/>
    <n v="0.90362537764350404"/>
    <n v="9.7492477432296901E-2"/>
    <n v="0.226494149114009"/>
    <n v="2.3231961591220802"/>
    <n v="2.8778349206724099"/>
    <n v="3.8778349206724099"/>
  </r>
  <r>
    <s v="CMP1463"/>
    <s v="Deal of the Day"/>
    <x v="3"/>
    <x v="247"/>
    <d v="2024-06-02T00:00:00"/>
    <n v="32252.799999999999"/>
    <n v="28080"/>
    <n v="27808"/>
    <n v="1897.008"/>
    <n v="7372.2879999999996"/>
    <x v="1"/>
    <x v="0"/>
    <x v="0"/>
    <n v="0.87062208552435805"/>
    <n v="0.99031339031339005"/>
    <n v="6.7557264957264995E-2"/>
    <n v="6.8218066743383196E-2"/>
    <n v="2.8862714337525199"/>
    <n v="3.8862714337525199"/>
  </r>
  <r>
    <s v="CMP1464"/>
    <s v="Wishlist Wonders"/>
    <x v="2"/>
    <x v="280"/>
    <d v="2024-07-15T00:00:00"/>
    <n v="50060.800000000003"/>
    <n v="29204.799999999999"/>
    <n v="13764.8"/>
    <n v="3901.136"/>
    <n v="14990.335999999999"/>
    <x v="1"/>
    <x v="3"/>
    <x v="1"/>
    <n v="0.58338660189209901"/>
    <n v="0.47131978304936201"/>
    <n v="0.133578589820851"/>
    <n v="0.28341392537486898"/>
    <n v="2.84255662965864"/>
    <n v="3.84255662965864"/>
  </r>
  <r>
    <s v="CMP1465"/>
    <s v="Flash Sale Frenzy"/>
    <x v="1"/>
    <x v="231"/>
    <d v="2024-03-09T00:00:00"/>
    <n v="54227.199999999997"/>
    <n v="5603.2"/>
    <n v="2915.2"/>
    <n v="5450.9920000000002"/>
    <n v="11467.951999999999"/>
    <x v="4"/>
    <x v="1"/>
    <x v="1"/>
    <n v="0.10332821904874299"/>
    <n v="0.52027412906910298"/>
    <n v="0.972835522558538"/>
    <n v="1.8698518111964899"/>
    <n v="1.10382844076821"/>
    <n v="2.10382844076821"/>
  </r>
  <r>
    <s v="CMP1466"/>
    <s v="Shop &amp; Share"/>
    <x v="1"/>
    <x v="33"/>
    <d v="2024-06-05T00:00:00"/>
    <n v="69848"/>
    <n v="2876.8"/>
    <n v="329.6"/>
    <n v="5536.64"/>
    <n v="21875.168000000001"/>
    <x v="1"/>
    <x v="4"/>
    <x v="0"/>
    <n v="4.1186576566258203E-2"/>
    <n v="0.114571746384872"/>
    <n v="1.92458286985539"/>
    <n v="16.7980582524272"/>
    <n v="2.9509825453704801"/>
    <n v="3.9509825453704801"/>
  </r>
  <r>
    <s v="CMP1467"/>
    <s v="Shop &amp; Share"/>
    <x v="3"/>
    <x v="83"/>
    <d v="2024-07-13T00:00:00"/>
    <n v="17817.599999999999"/>
    <n v="1217.5999999999999"/>
    <n v="684.8"/>
    <n v="2482.3040000000001"/>
    <n v="3644.1759999999999"/>
    <x v="1"/>
    <x v="4"/>
    <x v="0"/>
    <n v="6.8336925287356298E-2"/>
    <n v="0.56241787122207598"/>
    <n v="2.0386859395532202"/>
    <n v="3.6248598130841101"/>
    <n v="0.46806192956221299"/>
    <n v="1.4680619295622099"/>
  </r>
  <r>
    <s v="CMP1468"/>
    <s v="Deal of the Day"/>
    <x v="3"/>
    <x v="198"/>
    <d v="2024-04-15T00:00:00"/>
    <n v="48425.599999999999"/>
    <n v="10702.4"/>
    <n v="2972.8"/>
    <n v="4077.68"/>
    <n v="15118.048000000001"/>
    <x v="1"/>
    <x v="1"/>
    <x v="0"/>
    <n v="0.22100707064032199"/>
    <n v="0.27776947226790299"/>
    <n v="0.38100612946628798"/>
    <n v="1.37166307857912"/>
    <n v="2.7075121147319101"/>
    <n v="3.7075121147319101"/>
  </r>
  <r>
    <s v="CMP1469"/>
    <s v="Flash Sale Frenzy"/>
    <x v="1"/>
    <x v="293"/>
    <d v="2024-02-22T00:00:00"/>
    <n v="43779.199999999997"/>
    <n v="33862.400000000001"/>
    <n v="32396.799999999999"/>
    <n v="5168.9759999999997"/>
    <n v="15688.784"/>
    <x v="0"/>
    <x v="2"/>
    <x v="1"/>
    <n v="0.77348147065272999"/>
    <n v="0.95671895671895701"/>
    <n v="0.152646475146475"/>
    <n v="0.159552054523904"/>
    <n v="2.0351822101708299"/>
    <n v="3.0351822101708299"/>
  </r>
  <r>
    <s v="CMP1470"/>
    <s v="Shop &amp; Share"/>
    <x v="1"/>
    <x v="114"/>
    <d v="2024-01-30T00:00:00"/>
    <n v="2977.6"/>
    <n v="2187.1999999999998"/>
    <n v="843.2"/>
    <n v="3099.52"/>
    <n v="12240.432000000001"/>
    <x v="2"/>
    <x v="1"/>
    <x v="1"/>
    <n v="0.73455131649650696"/>
    <n v="0.38551572787125099"/>
    <n v="1.4171177761521601"/>
    <n v="3.6759013282732398"/>
    <n v="2.9491379310344801"/>
    <n v="3.9491379310344801"/>
  </r>
  <r>
    <s v="CMP1471"/>
    <s v="Seasonal Steals"/>
    <x v="3"/>
    <x v="215"/>
    <d v="2024-03-12T00:00:00"/>
    <n v="55876.800000000003"/>
    <n v="40484.800000000003"/>
    <n v="36091.199999999997"/>
    <n v="7171.0720000000001"/>
    <n v="18650.223999999998"/>
    <x v="4"/>
    <x v="2"/>
    <x v="1"/>
    <n v="0.72453683818686798"/>
    <n v="0.89147531913211897"/>
    <n v="0.17712998458680801"/>
    <n v="0.19869308861994101"/>
    <n v="1.60075815721833"/>
    <n v="2.6007581572183298"/>
  </r>
  <r>
    <s v="CMP1472"/>
    <s v="Cart to Couch"/>
    <x v="1"/>
    <x v="228"/>
    <d v="2024-06-26T00:00:00"/>
    <n v="74672"/>
    <n v="13990.4"/>
    <n v="7008"/>
    <n v="6383.9840000000004"/>
    <n v="10062.896000000001"/>
    <x v="4"/>
    <x v="1"/>
    <x v="1"/>
    <n v="0.187358045853868"/>
    <n v="0.50091491308325697"/>
    <n v="0.45631175663312001"/>
    <n v="0.91095662100456598"/>
    <n v="0.57627212098275904"/>
    <n v="1.5762721209827599"/>
  </r>
  <r>
    <s v="CMP1473"/>
    <s v="Seasonal Steals"/>
    <x v="0"/>
    <x v="122"/>
    <d v="2024-02-04T00:00:00"/>
    <n v="5774.4"/>
    <n v="582.4"/>
    <n v="508.8"/>
    <n v="2100.0479999999998"/>
    <n v="3477.7759999999998"/>
    <x v="0"/>
    <x v="3"/>
    <x v="1"/>
    <n v="0.100858963701856"/>
    <n v="0.87362637362637396"/>
    <n v="3.6058516483516501"/>
    <n v="4.1274528301886804"/>
    <n v="0.65604595704479096"/>
    <n v="1.6560459570447901"/>
  </r>
  <r>
    <s v="CMP1474"/>
    <s v="Deal of the Day"/>
    <x v="1"/>
    <x v="288"/>
    <d v="2024-02-27T00:00:00"/>
    <n v="72566.399999999994"/>
    <n v="66899.199999999997"/>
    <n v="38816"/>
    <n v="5010.96"/>
    <n v="12418.031999999999"/>
    <x v="3"/>
    <x v="0"/>
    <x v="1"/>
    <n v="0.92190324998897599"/>
    <n v="0.58021620587391198"/>
    <n v="7.49031378551612E-2"/>
    <n v="0.12909521846661201"/>
    <n v="1.4781742420613999"/>
    <n v="2.4781742420613999"/>
  </r>
  <r>
    <s v="CMP1475"/>
    <s v="Flash Sale Frenzy"/>
    <x v="0"/>
    <x v="47"/>
    <d v="2024-06-20T00:00:00"/>
    <n v="21086.400000000001"/>
    <n v="6531.2"/>
    <n v="1766.4"/>
    <n v="6813.04"/>
    <n v="22248.576000000001"/>
    <x v="4"/>
    <x v="2"/>
    <x v="0"/>
    <n v="0.30973518476363898"/>
    <n v="0.27045565899069102"/>
    <n v="1.04315286624204"/>
    <n v="3.8570199275362298"/>
    <n v="2.2655871681363999"/>
    <n v="3.2655871681363999"/>
  </r>
  <r>
    <s v="CMP1476"/>
    <s v="Deal of the Day"/>
    <x v="0"/>
    <x v="199"/>
    <d v="2024-07-14T00:00:00"/>
    <n v="11292.8"/>
    <n v="10137.6"/>
    <n v="3936"/>
    <n v="4024.848"/>
    <n v="8445.84"/>
    <x v="1"/>
    <x v="4"/>
    <x v="1"/>
    <n v="0.89770473221875902"/>
    <n v="0.38825757575757602"/>
    <n v="0.39702178030302998"/>
    <n v="1.0225731707317101"/>
    <n v="1.09842458646886"/>
    <n v="2.0984245864688602"/>
  </r>
  <r>
    <s v="CMP1477"/>
    <s v="Shop &amp; Share"/>
    <x v="1"/>
    <x v="153"/>
    <d v="2024-04-26T00:00:00"/>
    <n v="25200"/>
    <n v="4921.6000000000004"/>
    <n v="2931.2"/>
    <n v="3370.4479999999999"/>
    <n v="8488.7360000000008"/>
    <x v="1"/>
    <x v="3"/>
    <x v="1"/>
    <n v="0.195301587301587"/>
    <n v="0.59557867360208006"/>
    <n v="0.68482769830949297"/>
    <n v="1.14985262008734"/>
    <n v="1.5185779457211599"/>
    <n v="2.5185779457211601"/>
  </r>
  <r>
    <s v="CMP1478"/>
    <s v="Deal of the Day"/>
    <x v="1"/>
    <x v="76"/>
    <d v="2024-10-23T00:00:00"/>
    <n v="55419.199999999997"/>
    <n v="43776"/>
    <n v="7174.4"/>
    <n v="7052.72"/>
    <n v="18684.608"/>
    <x v="2"/>
    <x v="3"/>
    <x v="0"/>
    <n v="0.78990674712013198"/>
    <n v="0.163888888888889"/>
    <n v="0.16110928362573099"/>
    <n v="0.98303969669937596"/>
    <n v="1.64927687473769"/>
    <n v="2.6492768747376898"/>
  </r>
  <r>
    <s v="CMP1479"/>
    <s v="Shop &amp; Share"/>
    <x v="0"/>
    <x v="57"/>
    <d v="2024-10-16T00:00:00"/>
    <n v="26675.200000000001"/>
    <n v="598.4"/>
    <n v="369.6"/>
    <n v="3324.4639999999999"/>
    <n v="9670.6080000000002"/>
    <x v="2"/>
    <x v="4"/>
    <x v="1"/>
    <n v="2.2432821497120899E-2"/>
    <n v="0.61764705882352899"/>
    <n v="5.5555882352941204"/>
    <n v="8.9947619047618996"/>
    <n v="1.9089224608839199"/>
    <n v="2.9089224608839199"/>
  </r>
  <r>
    <s v="CMP1480"/>
    <s v="Deal of the Day"/>
    <x v="2"/>
    <x v="229"/>
    <d v="2024-05-16T00:00:00"/>
    <n v="12700.8"/>
    <n v="7859.2"/>
    <n v="1964.8"/>
    <n v="4412.2240000000002"/>
    <n v="14705.103999999999"/>
    <x v="2"/>
    <x v="4"/>
    <x v="0"/>
    <n v="0.61879566641471395"/>
    <n v="0.25"/>
    <n v="0.56140879478827399"/>
    <n v="2.2456351791530902"/>
    <n v="2.3328099389332899"/>
    <n v="3.3328099389332899"/>
  </r>
  <r>
    <s v="CMP1481"/>
    <s v="Flash Sale Frenzy"/>
    <x v="2"/>
    <x v="209"/>
    <d v="2024-04-15T00:00:00"/>
    <n v="42696"/>
    <n v="628.79999999999995"/>
    <n v="222.4"/>
    <n v="2514.08"/>
    <n v="8159.6480000000001"/>
    <x v="4"/>
    <x v="1"/>
    <x v="1"/>
    <n v="1.47273749297358E-2"/>
    <n v="0.353689567430025"/>
    <n v="3.99821882951654"/>
    <n v="11.3043165467626"/>
    <n v="2.2455800929166898"/>
    <n v="3.2455800929166898"/>
  </r>
  <r>
    <s v="CMP1482"/>
    <s v="Shop &amp; Share"/>
    <x v="0"/>
    <x v="128"/>
    <d v="2024-10-14T00:00:00"/>
    <n v="26702.400000000001"/>
    <n v="25656"/>
    <n v="11544"/>
    <n v="3944.3359999999998"/>
    <n v="9184.7839999999997"/>
    <x v="4"/>
    <x v="4"/>
    <x v="1"/>
    <n v="0.96081251123494504"/>
    <n v="0.44995322731524801"/>
    <n v="0.153739320236982"/>
    <n v="0.34167844767844802"/>
    <n v="1.3286008088560399"/>
    <n v="2.3286008088560401"/>
  </r>
  <r>
    <s v="CMP1483"/>
    <s v="Wishlist Wonders"/>
    <x v="1"/>
    <x v="238"/>
    <d v="2024-08-16T00:00:00"/>
    <n v="26987.200000000001"/>
    <n v="18841.599999999999"/>
    <n v="6524.8"/>
    <n v="4889.04"/>
    <n v="11476.832"/>
    <x v="1"/>
    <x v="1"/>
    <x v="0"/>
    <n v="0.69816802039485404"/>
    <n v="0.346297554347826"/>
    <n v="0.25948114809782602"/>
    <n v="0.74930112800392301"/>
    <n v="1.34746126028832"/>
    <n v="2.3474612602883198"/>
  </r>
  <r>
    <s v="CMP1484"/>
    <s v="Shop &amp; Share"/>
    <x v="2"/>
    <x v="191"/>
    <d v="2024-06-14T00:00:00"/>
    <n v="44974.400000000001"/>
    <n v="20808"/>
    <n v="4086.4"/>
    <n v="6120.3519999999999"/>
    <n v="19510"/>
    <x v="3"/>
    <x v="3"/>
    <x v="1"/>
    <n v="0.462663203956028"/>
    <n v="0.196386005382545"/>
    <n v="0.29413456362937301"/>
    <n v="1.49773688332028"/>
    <n v="2.18772515044886"/>
    <n v="3.18772515044886"/>
  </r>
  <r>
    <s v="CMP1485"/>
    <s v="Seasonal Steals"/>
    <x v="3"/>
    <x v="7"/>
    <d v="2024-02-04T00:00:00"/>
    <n v="28659.200000000001"/>
    <n v="24414.400000000001"/>
    <n v="10116.799999999999"/>
    <n v="7058.5439999999999"/>
    <n v="22003.407999999999"/>
    <x v="4"/>
    <x v="3"/>
    <x v="0"/>
    <n v="0.85188700312639598"/>
    <n v="0.41437839963300299"/>
    <n v="0.28911396552854102"/>
    <n v="0.69770520322631702"/>
    <n v="2.1172729106739299"/>
    <n v="3.1172729106739299"/>
  </r>
  <r>
    <s v="CMP1486"/>
    <s v="Flash Sale Frenzy"/>
    <x v="2"/>
    <x v="275"/>
    <d v="2024-03-27T00:00:00"/>
    <n v="41409.599999999999"/>
    <n v="21585.599999999999"/>
    <n v="19788.8"/>
    <n v="4284.5600000000004"/>
    <n v="10462.592000000001"/>
    <x v="2"/>
    <x v="3"/>
    <x v="1"/>
    <n v="0.52127043004520701"/>
    <n v="0.91675932102883395"/>
    <n v="0.198491586983915"/>
    <n v="0.216514391979301"/>
    <n v="1.4419291595869801"/>
    <n v="2.4419291595869801"/>
  </r>
  <r>
    <s v="CMP1487"/>
    <s v="Flash Sale Frenzy"/>
    <x v="3"/>
    <x v="35"/>
    <d v="2024-10-18T00:00:00"/>
    <n v="11864"/>
    <n v="1537.6"/>
    <n v="992"/>
    <n v="3731.5039999999999"/>
    <n v="8919.84"/>
    <x v="2"/>
    <x v="0"/>
    <x v="1"/>
    <n v="0.129602157788267"/>
    <n v="0.64516129032258096"/>
    <n v="2.4268366285119698"/>
    <n v="3.7615967741935501"/>
    <n v="1.3904141600813"/>
    <n v="2.3904141600813"/>
  </r>
  <r>
    <s v="CMP1488"/>
    <s v="Flash Sale Frenzy"/>
    <x v="0"/>
    <x v="276"/>
    <d v="2024-05-28T00:00:00"/>
    <n v="14958.4"/>
    <n v="2932.8"/>
    <n v="137.6"/>
    <n v="4990.8959999999997"/>
    <n v="19440.288"/>
    <x v="4"/>
    <x v="3"/>
    <x v="0"/>
    <n v="0.196063750133704"/>
    <n v="4.6917621385706501E-2"/>
    <n v="1.7017512274959099"/>
    <n v="36.271046511627901"/>
    <n v="2.8951498889177398"/>
    <n v="3.8951498889177398"/>
  </r>
  <r>
    <s v="CMP1489"/>
    <s v="Cart to Couch"/>
    <x v="0"/>
    <x v="161"/>
    <d v="2024-09-12T00:00:00"/>
    <n v="46148.800000000003"/>
    <n v="23526.400000000001"/>
    <n v="12862.4"/>
    <n v="4633.0559999999996"/>
    <n v="16736.48"/>
    <x v="1"/>
    <x v="1"/>
    <x v="1"/>
    <n v="0.509794404188191"/>
    <n v="0.54672198041349296"/>
    <n v="0.19693008705114301"/>
    <n v="0.360201517601692"/>
    <n v="2.6124061526560398"/>
    <n v="3.6124061526560398"/>
  </r>
  <r>
    <s v="CMP1490"/>
    <s v="Flash Sale Frenzy"/>
    <x v="1"/>
    <x v="18"/>
    <d v="2024-08-17T00:00:00"/>
    <n v="79118.399999999994"/>
    <n v="62288"/>
    <n v="15715.2"/>
    <n v="4034.7840000000001"/>
    <n v="5837.3919999999998"/>
    <x v="2"/>
    <x v="3"/>
    <x v="1"/>
    <n v="0.78727577908552204"/>
    <n v="0.25229899820190099"/>
    <n v="6.4776265091189306E-2"/>
    <n v="0.25674404398289602"/>
    <n v="0.44676691490796"/>
    <n v="1.4467669149079601"/>
  </r>
  <r>
    <s v="CMP1491"/>
    <s v="Wishlist Wonders"/>
    <x v="0"/>
    <x v="241"/>
    <d v="2024-01-26T00:00:00"/>
    <n v="55550.400000000001"/>
    <n v="45075.199999999997"/>
    <n v="33972.800000000003"/>
    <n v="7030.88"/>
    <n v="20039.856"/>
    <x v="2"/>
    <x v="4"/>
    <x v="0"/>
    <n v="0.81142890060197603"/>
    <n v="0.75369160868947904"/>
    <n v="0.155981116001704"/>
    <n v="0.20695615315782001"/>
    <n v="1.85026284049792"/>
    <n v="2.85026284049792"/>
  </r>
  <r>
    <s v="CMP1492"/>
    <s v="Cart to Couch"/>
    <x v="1"/>
    <x v="100"/>
    <d v="2024-01-22T00:00:00"/>
    <n v="4347.2"/>
    <n v="1180.8"/>
    <n v="73.599999999999994"/>
    <n v="7390.576"/>
    <n v="15706.88"/>
    <x v="2"/>
    <x v="0"/>
    <x v="1"/>
    <n v="0.271623113728377"/>
    <n v="6.2330623306233103E-2"/>
    <n v="6.2589566395664002"/>
    <n v="100.415434782609"/>
    <n v="1.12525789600161"/>
    <n v="2.1252578960016102"/>
  </r>
  <r>
    <s v="CMP1493"/>
    <s v="Flash Sale Frenzy"/>
    <x v="3"/>
    <x v="225"/>
    <d v="2024-05-07T00:00:00"/>
    <n v="70232"/>
    <n v="14787.2"/>
    <n v="1598.4"/>
    <n v="4616.2079999999996"/>
    <n v="14076.144"/>
    <x v="2"/>
    <x v="3"/>
    <x v="1"/>
    <n v="0.21054789839389501"/>
    <n v="0.108093486258386"/>
    <n v="0.31217593594460102"/>
    <n v="2.8880180180180202"/>
    <n v="2.0492872071622399"/>
    <n v="3.0492872071622399"/>
  </r>
  <r>
    <s v="CMP1494"/>
    <s v="Flash Sale Frenzy"/>
    <x v="2"/>
    <x v="146"/>
    <d v="2024-03-25T00:00:00"/>
    <n v="44331.199999999997"/>
    <n v="32656"/>
    <n v="4816"/>
    <n v="7749.152"/>
    <n v="13245.791999999999"/>
    <x v="1"/>
    <x v="2"/>
    <x v="0"/>
    <n v="0.736636950951023"/>
    <n v="0.147476727094561"/>
    <n v="0.23729642332190101"/>
    <n v="1.60904318936877"/>
    <n v="0.70932148446694498"/>
    <n v="1.70932148446695"/>
  </r>
  <r>
    <s v="CMP1495"/>
    <s v="Shop &amp; Share"/>
    <x v="0"/>
    <x v="60"/>
    <d v="2024-09-10T00:00:00"/>
    <n v="74048"/>
    <n v="58864"/>
    <n v="52942.400000000001"/>
    <n v="1921.376"/>
    <n v="2625.808"/>
    <x v="0"/>
    <x v="3"/>
    <x v="1"/>
    <n v="0.79494382022471899"/>
    <n v="0.89940201141614595"/>
    <n v="3.2640935036694803E-2"/>
    <n v="3.62918190335157E-2"/>
    <n v="0.366628915943574"/>
    <n v="1.3666289159435701"/>
  </r>
  <r>
    <s v="CMP1496"/>
    <s v="Shop &amp; Share"/>
    <x v="2"/>
    <x v="1"/>
    <d v="2024-05-15T00:00:00"/>
    <n v="3326.4"/>
    <n v="1745.6"/>
    <n v="219.2"/>
    <n v="3891.04"/>
    <n v="14738.544"/>
    <x v="1"/>
    <x v="3"/>
    <x v="1"/>
    <n v="0.524771524771525"/>
    <n v="0.12557286892758901"/>
    <n v="2.2290559120073299"/>
    <n v="17.751094890510899"/>
    <n v="2.7878161108598198"/>
    <n v="3.7878161108598198"/>
  </r>
  <r>
    <s v="CMP1497"/>
    <s v="Wishlist Wonders"/>
    <x v="0"/>
    <x v="154"/>
    <d v="2024-03-07T00:00:00"/>
    <n v="38398.400000000001"/>
    <n v="10856"/>
    <n v="1945.6"/>
    <n v="2673.6959999999999"/>
    <n v="7989.76"/>
    <x v="0"/>
    <x v="1"/>
    <x v="1"/>
    <n v="0.28272011333805602"/>
    <n v="0.179218865143699"/>
    <n v="0.24628739867354499"/>
    <n v="1.3742269736842101"/>
    <n v="1.9882828863116799"/>
    <n v="2.9882828863116799"/>
  </r>
  <r>
    <s v="CMP1498"/>
    <s v="Deal of the Day"/>
    <x v="0"/>
    <x v="52"/>
    <d v="2024-02-09T00:00:00"/>
    <n v="36876.800000000003"/>
    <n v="9467.2000000000007"/>
    <n v="8360"/>
    <n v="7416.5119999999997"/>
    <n v="11721.152"/>
    <x v="0"/>
    <x v="1"/>
    <x v="1"/>
    <n v="0.25672509545296801"/>
    <n v="0.88304884231874303"/>
    <n v="0.78339023153625098"/>
    <n v="0.88714258373205701"/>
    <n v="0.58041300277003505"/>
    <n v="1.58041300277004"/>
  </r>
  <r>
    <s v="CMP1499"/>
    <s v="Shop &amp; Share"/>
    <x v="2"/>
    <x v="218"/>
    <d v="2024-02-19T00:00:00"/>
    <n v="6600"/>
    <n v="3003.2"/>
    <n v="1556.8"/>
    <n v="1206.576"/>
    <n v="3548.3040000000001"/>
    <x v="2"/>
    <x v="4"/>
    <x v="1"/>
    <n v="0.45503030303030301"/>
    <n v="0.51838039424613702"/>
    <n v="0.40176345231752802"/>
    <n v="0.77503597122302204"/>
    <n v="1.94080439193221"/>
    <n v="2.9408043919322102"/>
  </r>
  <r>
    <s v="CMP1500"/>
    <s v="Wishlist Wonders"/>
    <x v="3"/>
    <x v="7"/>
    <d v="2024-02-03T00:00:00"/>
    <n v="19334.400000000001"/>
    <n v="13012.8"/>
    <n v="12377.6"/>
    <n v="1738.3679999999999"/>
    <n v="3633.3919999999998"/>
    <x v="0"/>
    <x v="3"/>
    <x v="1"/>
    <n v="0.67303872889771599"/>
    <n v="0.95118652403787096"/>
    <n v="0.133589081519734"/>
    <n v="0.140444674250259"/>
    <n v="1.09011670716442"/>
    <n v="2.09011670716442"/>
  </r>
  <r>
    <s v="CMP1501"/>
    <s v="Deal of the Day"/>
    <x v="0"/>
    <x v="204"/>
    <d v="2024-11-05T00:00:00"/>
    <n v="41996.800000000003"/>
    <n v="22476.799999999999"/>
    <n v="14369.6"/>
    <n v="816.16"/>
    <n v="2459.0239999999999"/>
    <x v="1"/>
    <x v="0"/>
    <x v="1"/>
    <n v="0.53520268210911304"/>
    <n v="0.63930808656036497"/>
    <n v="3.6311218678815503E-2"/>
    <n v="5.67976839995546E-2"/>
    <n v="2.01291903548324"/>
    <n v="3.01291903548324"/>
  </r>
  <r>
    <s v="CMP1502"/>
    <s v="Cart to Couch"/>
    <x v="1"/>
    <x v="153"/>
    <d v="2024-05-12T00:00:00"/>
    <n v="38865.599999999999"/>
    <n v="35179.199999999997"/>
    <n v="5436.8"/>
    <n v="5389.808"/>
    <n v="16734.495999999999"/>
    <x v="1"/>
    <x v="2"/>
    <x v="1"/>
    <n v="0.90515005557613903"/>
    <n v="0.154545868012917"/>
    <n v="0.15321007868285799"/>
    <n v="0.99135668040023495"/>
    <n v="2.1048408403416201"/>
    <n v="3.1048408403416201"/>
  </r>
  <r>
    <s v="CMP1503"/>
    <s v="Wishlist Wonders"/>
    <x v="1"/>
    <x v="26"/>
    <d v="2024-08-27T00:00:00"/>
    <n v="12024"/>
    <n v="3289.6"/>
    <n v="1339.2"/>
    <n v="276.91199999999998"/>
    <n v="1031.3920000000001"/>
    <x v="0"/>
    <x v="4"/>
    <x v="1"/>
    <n v="0.273586161011311"/>
    <n v="0.40710116731517498"/>
    <n v="8.4178015564202305E-2"/>
    <n v="0.206774193548387"/>
    <n v="2.72462009591495"/>
    <n v="3.72462009591495"/>
  </r>
  <r>
    <s v="CMP1504"/>
    <s v="Shop &amp; Share"/>
    <x v="1"/>
    <x v="73"/>
    <d v="2024-11-04T00:00:00"/>
    <n v="12980.8"/>
    <n v="9025.6"/>
    <n v="606.4"/>
    <n v="2926.0160000000001"/>
    <n v="9035.7440000000006"/>
    <x v="4"/>
    <x v="2"/>
    <x v="1"/>
    <n v="0.69530383335387702"/>
    <n v="6.7186669030313798E-2"/>
    <n v="0.32419074632157402"/>
    <n v="4.8252242744063301"/>
    <n v="2.08807060521884"/>
    <n v="3.08807060521884"/>
  </r>
  <r>
    <s v="CMP1505"/>
    <s v="Deal of the Day"/>
    <x v="3"/>
    <x v="243"/>
    <d v="2024-09-20T00:00:00"/>
    <n v="12721.6"/>
    <n v="7417.6"/>
    <n v="5033.6000000000004"/>
    <n v="7534.72"/>
    <n v="9974.48"/>
    <x v="4"/>
    <x v="2"/>
    <x v="1"/>
    <n v="0.58307131178468097"/>
    <n v="0.67860224331320096"/>
    <n v="1.0157894736842099"/>
    <n v="1.4968849332485701"/>
    <n v="0.32380234434723498"/>
    <n v="1.32380234434724"/>
  </r>
  <r>
    <s v="CMP1506"/>
    <s v="Seasonal Steals"/>
    <x v="0"/>
    <x v="241"/>
    <d v="2024-02-05T00:00:00"/>
    <n v="75574.399999999994"/>
    <n v="58856"/>
    <n v="33312"/>
    <n v="3092.08"/>
    <n v="10902.224"/>
    <x v="4"/>
    <x v="3"/>
    <x v="1"/>
    <n v="0.77878223313714701"/>
    <n v="0.56599157265189604"/>
    <n v="5.2536359929319001E-2"/>
    <n v="9.2821805955811701E-2"/>
    <n v="2.5258544410235202"/>
    <n v="3.5258544410235202"/>
  </r>
  <r>
    <s v="CMP1507"/>
    <s v="Shop &amp; Share"/>
    <x v="1"/>
    <x v="106"/>
    <d v="2024-08-23T00:00:00"/>
    <n v="37284.800000000003"/>
    <n v="15443.2"/>
    <n v="9590.4"/>
    <n v="7972.8639999999996"/>
    <n v="26594.16"/>
    <x v="1"/>
    <x v="2"/>
    <x v="0"/>
    <n v="0.41419559713341603"/>
    <n v="0.62101118939080002"/>
    <n v="0.516270203066722"/>
    <n v="0.831338004671338"/>
    <n v="2.33558430195222"/>
    <n v="3.33558430195222"/>
  </r>
  <r>
    <s v="CMP1508"/>
    <s v="Deal of the Day"/>
    <x v="2"/>
    <x v="68"/>
    <d v="2024-04-10T00:00:00"/>
    <n v="50489.599999999999"/>
    <n v="39390.400000000001"/>
    <n v="38492.800000000003"/>
    <n v="3060.3679999999999"/>
    <n v="8048.0640000000003"/>
    <x v="3"/>
    <x v="4"/>
    <x v="0"/>
    <n v="0.78016858917480003"/>
    <n v="0.97721272188147401"/>
    <n v="7.7693245054632598E-2"/>
    <n v="7.9504946379582705E-2"/>
    <n v="1.62977001458648"/>
    <n v="2.6297700145864802"/>
  </r>
  <r>
    <s v="CMP1509"/>
    <s v="Deal of the Day"/>
    <x v="0"/>
    <x v="138"/>
    <d v="2024-02-13T00:00:00"/>
    <n v="13574.4"/>
    <n v="8262.4"/>
    <n v="5606.4"/>
    <n v="1170.1600000000001"/>
    <n v="4356.4960000000001"/>
    <x v="2"/>
    <x v="4"/>
    <x v="0"/>
    <n v="0.60867515322960897"/>
    <n v="0.67854376452362497"/>
    <n v="0.14162470952749801"/>
    <n v="0.208718607305936"/>
    <n v="2.7229917276269902"/>
    <n v="3.7229917276269902"/>
  </r>
  <r>
    <s v="CMP1510"/>
    <s v="Shop &amp; Share"/>
    <x v="3"/>
    <x v="187"/>
    <d v="2024-08-05T00:00:00"/>
    <n v="35008"/>
    <n v="14491.2"/>
    <n v="13913.6"/>
    <n v="1313.04"/>
    <n v="4011.136"/>
    <x v="4"/>
    <x v="1"/>
    <x v="1"/>
    <n v="0.41393967093235801"/>
    <n v="0.96014132715027001"/>
    <n v="9.0609473335541604E-2"/>
    <n v="9.4370975160993603E-2"/>
    <n v="2.0548467678060098"/>
    <n v="3.0548467678060098"/>
  </r>
  <r>
    <s v="CMP1511"/>
    <s v="Seasonal Steals"/>
    <x v="2"/>
    <x v="164"/>
    <d v="2024-02-26T00:00:00"/>
    <n v="47171.199999999997"/>
    <n v="5390.4"/>
    <n v="1454.4"/>
    <n v="4932.384"/>
    <n v="9418.0480000000007"/>
    <x v="3"/>
    <x v="4"/>
    <x v="1"/>
    <n v="0.114273115799471"/>
    <n v="0.269813000890472"/>
    <n v="0.915031166518255"/>
    <n v="3.3913531353135302"/>
    <n v="0.909431220278064"/>
    <n v="1.9094312202780599"/>
  </r>
  <r>
    <s v="CMP1512"/>
    <s v="Flash Sale Frenzy"/>
    <x v="3"/>
    <x v="91"/>
    <d v="2024-06-16T00:00:00"/>
    <n v="59625.599999999999"/>
    <n v="10000"/>
    <n v="1024"/>
    <n v="4593.424"/>
    <n v="12761.424000000001"/>
    <x v="2"/>
    <x v="3"/>
    <x v="1"/>
    <n v="0.16771319701604701"/>
    <n v="0.1024"/>
    <n v="0.45934239999999998"/>
    <n v="4.485765625"/>
    <n v="1.7781942185176001"/>
    <n v="2.7781942185176001"/>
  </r>
  <r>
    <s v="CMP1513"/>
    <s v="Cart to Couch"/>
    <x v="1"/>
    <x v="31"/>
    <d v="2024-11-13T00:00:00"/>
    <n v="33243.199999999997"/>
    <n v="4585.6000000000004"/>
    <n v="4361.6000000000004"/>
    <n v="7128.5119999999997"/>
    <n v="17977.599999999999"/>
    <x v="2"/>
    <x v="4"/>
    <x v="1"/>
    <n v="0.137940992443567"/>
    <n v="0.95115143056524798"/>
    <n v="1.5545429169574301"/>
    <n v="1.63438004402054"/>
    <n v="1.5219288401282101"/>
    <n v="2.5219288401282101"/>
  </r>
  <r>
    <s v="CMP1514"/>
    <s v="Flash Sale Frenzy"/>
    <x v="2"/>
    <x v="194"/>
    <d v="2024-02-20T00:00:00"/>
    <n v="5766.4"/>
    <n v="929.6"/>
    <n v="798.4"/>
    <n v="1391.568"/>
    <n v="2184.0320000000002"/>
    <x v="0"/>
    <x v="4"/>
    <x v="1"/>
    <n v="0.16120976692563799"/>
    <n v="0.85886402753872604"/>
    <n v="1.4969535283993101"/>
    <n v="1.7429458917835701"/>
    <n v="0.56947558437676105"/>
    <n v="1.56947558437676"/>
  </r>
  <r>
    <s v="CMP1515"/>
    <s v="Deal of the Day"/>
    <x v="2"/>
    <x v="127"/>
    <d v="2024-09-21T00:00:00"/>
    <n v="44961.599999999999"/>
    <n v="27715.200000000001"/>
    <n v="17459.2"/>
    <n v="6442.9279999999999"/>
    <n v="18619.743999999999"/>
    <x v="0"/>
    <x v="3"/>
    <x v="1"/>
    <n v="0.61641934450731295"/>
    <n v="0.62995035215333095"/>
    <n v="0.23246911442096799"/>
    <n v="0.369027675953079"/>
    <n v="1.8899506559750501"/>
    <n v="2.8899506559750501"/>
  </r>
  <r>
    <s v="CMP1516"/>
    <s v="Flash Sale Frenzy"/>
    <x v="3"/>
    <x v="26"/>
    <d v="2024-08-29T00:00:00"/>
    <n v="65163.199999999997"/>
    <n v="36620.800000000003"/>
    <n v="19024"/>
    <n v="6745.5039999999999"/>
    <n v="22769.455999999998"/>
    <x v="4"/>
    <x v="0"/>
    <x v="1"/>
    <n v="0.56198590615562205"/>
    <n v="0.51948619363858795"/>
    <n v="0.184198706745893"/>
    <n v="0.354578637510513"/>
    <n v="2.3755010744934699"/>
    <n v="3.3755010744934699"/>
  </r>
  <r>
    <s v="CMP1517"/>
    <s v="Flash Sale Frenzy"/>
    <x v="0"/>
    <x v="114"/>
    <d v="2024-02-04T00:00:00"/>
    <n v="40192"/>
    <n v="32472"/>
    <n v="18761.599999999999"/>
    <n v="5521.9040000000005"/>
    <n v="19384.335999999999"/>
    <x v="1"/>
    <x v="3"/>
    <x v="0"/>
    <n v="0.80792197452229297"/>
    <n v="0.57777777777777795"/>
    <n v="0.17005124414880499"/>
    <n v="0.29431946102677797"/>
    <n v="2.5104442235866502"/>
    <n v="3.5104442235866502"/>
  </r>
  <r>
    <s v="CMP1518"/>
    <s v="Cart to Couch"/>
    <x v="3"/>
    <x v="201"/>
    <d v="2024-03-18T00:00:00"/>
    <n v="31875.200000000001"/>
    <n v="17574.400000000001"/>
    <n v="7473.6"/>
    <n v="2851.4079999999999"/>
    <n v="9856.6239999999998"/>
    <x v="1"/>
    <x v="1"/>
    <x v="1"/>
    <n v="0.551350266037546"/>
    <n v="0.425254916241806"/>
    <n v="0.16224781500364199"/>
    <n v="0.381530721472918"/>
    <n v="2.45675680225348"/>
    <n v="3.45675680225348"/>
  </r>
  <r>
    <s v="CMP1519"/>
    <s v="Flash Sale Frenzy"/>
    <x v="2"/>
    <x v="88"/>
    <d v="2024-10-06T00:00:00"/>
    <n v="21035.200000000001"/>
    <n v="9212.7999999999993"/>
    <n v="4849.6000000000004"/>
    <n v="5429.5839999999998"/>
    <n v="19874.704000000002"/>
    <x v="4"/>
    <x v="3"/>
    <x v="0"/>
    <n v="0.43797063968966299"/>
    <n v="0.526398054880167"/>
    <n v="0.58935220562695401"/>
    <n v="1.11959419333553"/>
    <n v="2.66044691453342"/>
    <n v="3.66044691453342"/>
  </r>
  <r>
    <s v="CMP1520"/>
    <s v="Wishlist Wonders"/>
    <x v="1"/>
    <x v="63"/>
    <d v="2024-07-01T00:00:00"/>
    <n v="18281.599999999999"/>
    <n v="2635.2"/>
    <n v="2064"/>
    <n v="6093.68"/>
    <n v="15185.392"/>
    <x v="1"/>
    <x v="1"/>
    <x v="1"/>
    <n v="0.14414493260983699"/>
    <n v="0.78324225865209496"/>
    <n v="2.31241651487553"/>
    <n v="2.95236434108527"/>
    <n v="1.4919903900434499"/>
    <n v="2.4919903900434499"/>
  </r>
  <r>
    <s v="CMP1521"/>
    <s v="Seasonal Steals"/>
    <x v="1"/>
    <x v="152"/>
    <d v="2024-08-03T00:00:00"/>
    <n v="40852.800000000003"/>
    <n v="372.8"/>
    <n v="136"/>
    <n v="6773.9359999999997"/>
    <n v="9600.1280000000006"/>
    <x v="1"/>
    <x v="3"/>
    <x v="0"/>
    <n v="9.1254455018995005E-3"/>
    <n v="0.36480686695279002"/>
    <n v="18.170429184549398"/>
    <n v="49.808352941176501"/>
    <n v="0.417215633569612"/>
    <n v="1.41721563356961"/>
  </r>
  <r>
    <s v="CMP1522"/>
    <s v="Shop &amp; Share"/>
    <x v="2"/>
    <x v="228"/>
    <d v="2024-06-20T00:00:00"/>
    <n v="65996.800000000003"/>
    <n v="19923.2"/>
    <n v="9169.6"/>
    <n v="4513.04"/>
    <n v="13117.407999999999"/>
    <x v="3"/>
    <x v="2"/>
    <x v="0"/>
    <n v="0.301881303335919"/>
    <n v="0.46024734982332199"/>
    <n v="0.22652184388050101"/>
    <n v="0.49217414063863202"/>
    <n v="1.9065569992732201"/>
    <n v="2.9065569992732199"/>
  </r>
  <r>
    <s v="CMP1523"/>
    <s v="Flash Sale Frenzy"/>
    <x v="3"/>
    <x v="106"/>
    <d v="2024-09-08T00:00:00"/>
    <n v="2974.4"/>
    <n v="1966.4"/>
    <n v="1617.6"/>
    <n v="2196.1120000000001"/>
    <n v="2791.92"/>
    <x v="0"/>
    <x v="3"/>
    <x v="1"/>
    <n v="0.66110812264658403"/>
    <n v="0.82262001627339298"/>
    <n v="1.11681855166802"/>
    <n v="1.3576360039564801"/>
    <n v="0.27130128153755401"/>
    <n v="1.27130128153755"/>
  </r>
  <r>
    <s v="CMP1524"/>
    <s v="Cart to Couch"/>
    <x v="2"/>
    <x v="92"/>
    <d v="2024-07-09T00:00:00"/>
    <n v="68918.399999999994"/>
    <n v="48484.800000000003"/>
    <n v="32734.400000000001"/>
    <n v="6446.6719999999996"/>
    <n v="9405.8240000000005"/>
    <x v="1"/>
    <x v="3"/>
    <x v="1"/>
    <n v="0.70351023819473502"/>
    <n v="0.67514767514767504"/>
    <n v="0.13296274296274299"/>
    <n v="0.19693875555990001"/>
    <n v="0.45902009595028298"/>
    <n v="1.4590200959502799"/>
  </r>
  <r>
    <s v="CMP1525"/>
    <s v="Wishlist Wonders"/>
    <x v="2"/>
    <x v="235"/>
    <d v="2024-05-06T00:00:00"/>
    <n v="18902.400000000001"/>
    <n v="9838.4"/>
    <n v="9156.7999999999993"/>
    <n v="2993.152"/>
    <n v="4059.1680000000001"/>
    <x v="0"/>
    <x v="1"/>
    <x v="1"/>
    <n v="0.52048417132215996"/>
    <n v="0.93072044234834905"/>
    <n v="0.30423158237111703"/>
    <n v="0.32687751179451302"/>
    <n v="0.356151642148478"/>
    <n v="1.3561516421484801"/>
  </r>
  <r>
    <s v="CMP1526"/>
    <s v="Cart to Couch"/>
    <x v="0"/>
    <x v="263"/>
    <d v="2024-05-28T00:00:00"/>
    <n v="63278.400000000001"/>
    <n v="52721.599999999999"/>
    <n v="40548.800000000003"/>
    <n v="2142.864"/>
    <n v="3860.2719999999999"/>
    <x v="1"/>
    <x v="2"/>
    <x v="0"/>
    <n v="0.83316898025234498"/>
    <n v="0.76911171132894296"/>
    <n v="4.06448969682255E-2"/>
    <n v="5.2846545397151098E-2"/>
    <n v="0.80145450201225998"/>
    <n v="1.8014545020122601"/>
  </r>
  <r>
    <s v="CMP1527"/>
    <s v="Wishlist Wonders"/>
    <x v="1"/>
    <x v="255"/>
    <d v="2024-06-14T00:00:00"/>
    <n v="41321.599999999999"/>
    <n v="30694.400000000001"/>
    <n v="28563.200000000001"/>
    <n v="7910.6239999999998"/>
    <n v="22741.008000000002"/>
    <x v="2"/>
    <x v="3"/>
    <x v="1"/>
    <n v="0.74281731588321898"/>
    <n v="0.93056713928273604"/>
    <n v="0.257722060050042"/>
    <n v="0.27695160206139402"/>
    <n v="1.87474262460205"/>
    <n v="2.87474262460205"/>
  </r>
  <r>
    <s v="CMP1528"/>
    <s v="Deal of the Day"/>
    <x v="2"/>
    <x v="85"/>
    <d v="2024-08-17T00:00:00"/>
    <n v="68364.800000000003"/>
    <n v="15392"/>
    <n v="12692.8"/>
    <n v="7039.28"/>
    <n v="20983.792000000001"/>
    <x v="0"/>
    <x v="1"/>
    <x v="1"/>
    <n v="0.22514510391312501"/>
    <n v="0.824636174636175"/>
    <n v="0.45733367983368001"/>
    <n v="0.55458842808521402"/>
    <n v="1.9809571433442099"/>
    <n v="2.9809571433442099"/>
  </r>
  <r>
    <s v="CMP1529"/>
    <s v="Wishlist Wonders"/>
    <x v="3"/>
    <x v="277"/>
    <d v="2024-03-05T00:00:00"/>
    <n v="21457.599999999999"/>
    <n v="5755.2"/>
    <n v="5304"/>
    <n v="1175.8399999999999"/>
    <n v="3216.1120000000001"/>
    <x v="0"/>
    <x v="0"/>
    <x v="0"/>
    <n v="0.26821266124822901"/>
    <n v="0.92160133444537096"/>
    <n v="0.204309146510981"/>
    <n v="0.22168929110105601"/>
    <n v="1.7351612464280901"/>
    <n v="2.7351612464280901"/>
  </r>
  <r>
    <s v="CMP1530"/>
    <s v="Deal of the Day"/>
    <x v="0"/>
    <x v="7"/>
    <d v="2024-02-02T00:00:00"/>
    <n v="33737.599999999999"/>
    <n v="25988.799999999999"/>
    <n v="16939.2"/>
    <n v="1207.3920000000001"/>
    <n v="4768.5600000000004"/>
    <x v="0"/>
    <x v="4"/>
    <x v="1"/>
    <n v="0.77032154035853195"/>
    <n v="0.65178846272240398"/>
    <n v="4.6458166594840901E-2"/>
    <n v="7.1277982431283707E-2"/>
    <n v="2.9494712570565298"/>
    <n v="3.9494712570565298"/>
  </r>
  <r>
    <s v="CMP1531"/>
    <s v="Wishlist Wonders"/>
    <x v="0"/>
    <x v="112"/>
    <d v="2024-10-02T00:00:00"/>
    <n v="22304"/>
    <n v="6675.2"/>
    <n v="896"/>
    <n v="3698.9119999999998"/>
    <n v="12797.744000000001"/>
    <x v="3"/>
    <x v="4"/>
    <x v="1"/>
    <n v="0.29928263988522202"/>
    <n v="0.134228187919463"/>
    <n v="0.55412751677852301"/>
    <n v="4.1282500000000004"/>
    <n v="2.4598671176821698"/>
    <n v="3.4598671176821698"/>
  </r>
  <r>
    <s v="CMP1532"/>
    <s v="Seasonal Steals"/>
    <x v="0"/>
    <x v="55"/>
    <d v="2024-08-17T00:00:00"/>
    <n v="28396.799999999999"/>
    <n v="20830.400000000001"/>
    <n v="9054.4"/>
    <n v="1917.6479999999999"/>
    <n v="7504.6080000000002"/>
    <x v="2"/>
    <x v="2"/>
    <x v="0"/>
    <n v="0.73354744196529198"/>
    <n v="0.43467240187418399"/>
    <n v="9.2060066057300896E-2"/>
    <n v="0.21179183601342999"/>
    <n v="2.9134439688618601"/>
    <n v="3.9134439688618601"/>
  </r>
  <r>
    <s v="CMP1533"/>
    <s v="Seasonal Steals"/>
    <x v="3"/>
    <x v="175"/>
    <d v="2024-04-17T00:00:00"/>
    <n v="9876.7999999999993"/>
    <n v="3742.4"/>
    <n v="1336"/>
    <n v="2988.7840000000001"/>
    <n v="11754.096"/>
    <x v="0"/>
    <x v="0"/>
    <x v="1"/>
    <n v="0.37890814838814202"/>
    <n v="0.356990166737922"/>
    <n v="0.79862761864044496"/>
    <n v="2.23711377245509"/>
    <n v="2.93273518594853"/>
    <n v="3.93273518594853"/>
  </r>
  <r>
    <s v="CMP1534"/>
    <s v="Flash Sale Frenzy"/>
    <x v="3"/>
    <x v="224"/>
    <d v="2024-09-23T00:00:00"/>
    <n v="53940.800000000003"/>
    <n v="50193.599999999999"/>
    <n v="23307.200000000001"/>
    <n v="3382.8319999999999"/>
    <n v="11486.368"/>
    <x v="2"/>
    <x v="3"/>
    <x v="0"/>
    <n v="0.93053124907305795"/>
    <n v="0.46434605208632201"/>
    <n v="6.7395683911893198E-2"/>
    <n v="0.145141072286675"/>
    <n v="2.3954887502542199"/>
    <n v="3.3954887502542301"/>
  </r>
  <r>
    <s v="CMP1535"/>
    <s v="Seasonal Steals"/>
    <x v="1"/>
    <x v="289"/>
    <d v="2024-09-12T00:00:00"/>
    <n v="3264"/>
    <n v="2897.6"/>
    <n v="1523.2"/>
    <n v="6384.0640000000003"/>
    <n v="19465.12"/>
    <x v="4"/>
    <x v="4"/>
    <x v="0"/>
    <n v="0.88774509803921597"/>
    <n v="0.52567642186637198"/>
    <n v="2.20322473771397"/>
    <n v="4.1912184873949601"/>
    <n v="2.0490170524606302"/>
    <n v="3.0490170524606302"/>
  </r>
  <r>
    <s v="CMP1536"/>
    <s v="Flash Sale Frenzy"/>
    <x v="2"/>
    <x v="71"/>
    <d v="2024-06-24T00:00:00"/>
    <n v="40340.800000000003"/>
    <n v="39680"/>
    <n v="18958.400000000001"/>
    <n v="2329.3440000000001"/>
    <n v="4340.9120000000003"/>
    <x v="2"/>
    <x v="2"/>
    <x v="1"/>
    <n v="0.98361956133740502"/>
    <n v="0.47778225806451602"/>
    <n v="5.8703225806451598E-2"/>
    <n v="0.12286606464680599"/>
    <n v="0.86357704143312497"/>
    <n v="1.8635770414331201"/>
  </r>
  <r>
    <s v="CMP1537"/>
    <s v="Wishlist Wonders"/>
    <x v="0"/>
    <x v="29"/>
    <d v="2024-10-27T00:00:00"/>
    <n v="22947.200000000001"/>
    <n v="13105.6"/>
    <n v="10620.8"/>
    <n v="7232.6239999999998"/>
    <n v="27739.328000000001"/>
    <x v="2"/>
    <x v="1"/>
    <x v="1"/>
    <n v="0.57111978803514196"/>
    <n v="0.81040166035893002"/>
    <n v="0.55187278720546895"/>
    <n v="0.68098674299487805"/>
    <n v="2.83530624570004"/>
    <n v="3.83530624570004"/>
  </r>
  <r>
    <s v="CMP1538"/>
    <s v="Flash Sale Frenzy"/>
    <x v="1"/>
    <x v="248"/>
    <d v="2024-04-24T00:00:00"/>
    <n v="27753.599999999999"/>
    <n v="11864"/>
    <n v="9428.7999999999993"/>
    <n v="7468.7039999999997"/>
    <n v="19702.655999999999"/>
    <x v="1"/>
    <x v="1"/>
    <x v="1"/>
    <n v="0.42747607517583303"/>
    <n v="0.79474039109912298"/>
    <n v="0.62952663519892105"/>
    <n v="0.79211606991345695"/>
    <n v="1.63802876643659"/>
    <n v="2.63802876643659"/>
  </r>
  <r>
    <s v="CMP1539"/>
    <s v="Shop &amp; Share"/>
    <x v="0"/>
    <x v="107"/>
    <d v="2024-02-21T00:00:00"/>
    <n v="16947.2"/>
    <n v="9246.4"/>
    <n v="6720"/>
    <n v="7751.9040000000005"/>
    <n v="18761.232"/>
    <x v="1"/>
    <x v="4"/>
    <x v="1"/>
    <n v="0.54560045317220496"/>
    <n v="0.72676933725558102"/>
    <n v="0.83836996020072696"/>
    <n v="1.1535571428571401"/>
    <n v="1.4202095381986199"/>
    <n v="2.4202095381986202"/>
  </r>
  <r>
    <s v="CMP1540"/>
    <s v="Wishlist Wonders"/>
    <x v="1"/>
    <x v="181"/>
    <d v="2024-08-25T00:00:00"/>
    <n v="53532.800000000003"/>
    <n v="28633.599999999999"/>
    <n v="27377.599999999999"/>
    <n v="4474.4480000000003"/>
    <n v="11715.712"/>
    <x v="0"/>
    <x v="1"/>
    <x v="1"/>
    <n v="0.53487955048119995"/>
    <n v="0.95613544926240501"/>
    <n v="0.15626564595440301"/>
    <n v="0.16343463269242001"/>
    <n v="1.6183591808419699"/>
    <n v="2.6183591808419702"/>
  </r>
  <r>
    <s v="CMP1541"/>
    <s v="Flash Sale Frenzy"/>
    <x v="3"/>
    <x v="211"/>
    <d v="2024-11-01T00:00:00"/>
    <n v="49028.800000000003"/>
    <n v="33820.800000000003"/>
    <n v="3756.8"/>
    <n v="1330.48"/>
    <n v="3975.3440000000001"/>
    <x v="4"/>
    <x v="4"/>
    <x v="1"/>
    <n v="0.68981496589759494"/>
    <n v="0.111079572334185"/>
    <n v="3.9339104929510801E-2"/>
    <n v="0.35415247018739299"/>
    <n v="1.98790211051651"/>
    <n v="2.9879021105165098"/>
  </r>
  <r>
    <s v="CMP1542"/>
    <s v="Shop &amp; Share"/>
    <x v="1"/>
    <x v="105"/>
    <d v="2024-10-03T00:00:00"/>
    <n v="34524.800000000003"/>
    <n v="17272"/>
    <n v="8536"/>
    <n v="2832.0639999999999"/>
    <n v="6122.3519999999999"/>
    <x v="0"/>
    <x v="3"/>
    <x v="1"/>
    <n v="0.50027806098804295"/>
    <n v="0.49421028253821198"/>
    <n v="0.16396850393700799"/>
    <n v="0.33177881911902501"/>
    <n v="1.1617986034213901"/>
    <n v="2.1617986034213899"/>
  </r>
  <r>
    <s v="CMP1543"/>
    <s v="Wishlist Wonders"/>
    <x v="1"/>
    <x v="206"/>
    <d v="2024-02-17T00:00:00"/>
    <n v="43721.599999999999"/>
    <n v="12107.2"/>
    <n v="2270.4"/>
    <n v="2789.056"/>
    <n v="3692.8159999999998"/>
    <x v="4"/>
    <x v="3"/>
    <x v="0"/>
    <n v="0.27691575788626199"/>
    <n v="0.18752477864411299"/>
    <n v="0.23036342011365099"/>
    <n v="1.2284425651867501"/>
    <n v="0.324037954060442"/>
    <n v="1.3240379540604399"/>
  </r>
  <r>
    <s v="CMP1544"/>
    <s v="Wishlist Wonders"/>
    <x v="2"/>
    <x v="65"/>
    <d v="2024-03-21T00:00:00"/>
    <n v="37499.199999999997"/>
    <n v="15208"/>
    <n v="2220.8000000000002"/>
    <n v="5713.4880000000003"/>
    <n v="6858.4639999999999"/>
    <x v="3"/>
    <x v="3"/>
    <x v="1"/>
    <n v="0.40555531851346199"/>
    <n v="0.14602840610205201"/>
    <n v="0.37568963703314001"/>
    <n v="2.5727161383285302"/>
    <n v="0.20039877566908301"/>
    <n v="1.2003987756690799"/>
  </r>
  <r>
    <s v="CMP1545"/>
    <s v="Deal of the Day"/>
    <x v="3"/>
    <x v="213"/>
    <d v="2024-06-22T00:00:00"/>
    <n v="52960"/>
    <n v="13553.6"/>
    <n v="12348.8"/>
    <n v="5497.6"/>
    <n v="18863.36"/>
    <x v="2"/>
    <x v="0"/>
    <x v="1"/>
    <n v="0.255921450151057"/>
    <n v="0.91110848778184395"/>
    <n v="0.40561917129028502"/>
    <n v="0.445193055195647"/>
    <n v="2.4311990686845202"/>
    <n v="3.4311990686845202"/>
  </r>
  <r>
    <s v="CMP1546"/>
    <s v="Flash Sale Frenzy"/>
    <x v="0"/>
    <x v="88"/>
    <d v="2024-10-27T00:00:00"/>
    <n v="29190.400000000001"/>
    <n v="4944"/>
    <n v="1579.2"/>
    <n v="6561.1840000000002"/>
    <n v="24525.439999999999"/>
    <x v="1"/>
    <x v="4"/>
    <x v="1"/>
    <n v="0.16937075202806401"/>
    <n v="0.31941747572815499"/>
    <n v="1.3271003236246"/>
    <n v="4.1547517730496502"/>
    <n v="2.7379594902383499"/>
    <n v="3.7379594902383499"/>
  </r>
  <r>
    <s v="CMP1547"/>
    <s v="Flash Sale Frenzy"/>
    <x v="1"/>
    <x v="288"/>
    <d v="2024-02-28T00:00:00"/>
    <n v="67275.199999999997"/>
    <n v="4252.8"/>
    <n v="1308.8"/>
    <n v="2689.8719999999998"/>
    <n v="6497.6"/>
    <x v="1"/>
    <x v="3"/>
    <x v="0"/>
    <n v="6.3214973719884895E-2"/>
    <n v="0.30775018811136201"/>
    <n v="0.632494356659142"/>
    <n v="2.0552200488997601"/>
    <n v="1.4155796260937299"/>
    <n v="2.4155796260937299"/>
  </r>
  <r>
    <s v="CMP1548"/>
    <s v="Shop &amp; Share"/>
    <x v="1"/>
    <x v="202"/>
    <d v="2024-05-26T00:00:00"/>
    <n v="3184"/>
    <n v="3027.2"/>
    <n v="612.79999999999995"/>
    <n v="4207.12"/>
    <n v="8782.9439999999995"/>
    <x v="0"/>
    <x v="1"/>
    <x v="1"/>
    <n v="0.95075376884422103"/>
    <n v="0.20243128964059201"/>
    <n v="1.38977272727273"/>
    <n v="6.8654046997389004"/>
    <n v="1.0876380992222701"/>
    <n v="2.0876380992222701"/>
  </r>
  <r>
    <s v="CMP1549"/>
    <s v="Cart to Couch"/>
    <x v="3"/>
    <x v="76"/>
    <d v="2024-10-25T00:00:00"/>
    <n v="46278.400000000001"/>
    <n v="31134.400000000001"/>
    <n v="27556.799999999999"/>
    <n v="3474.2719999999999"/>
    <n v="9903.4719999999998"/>
    <x v="1"/>
    <x v="2"/>
    <x v="0"/>
    <n v="0.67276310330521405"/>
    <n v="0.88509173133254504"/>
    <n v="0.11158949586309699"/>
    <n v="0.12607675782384001"/>
    <n v="1.8505171730940999"/>
    <n v="2.8505171730940999"/>
  </r>
  <r>
    <s v="CMP1550"/>
    <s v="Cart to Couch"/>
    <x v="1"/>
    <x v="88"/>
    <d v="2024-10-02T00:00:00"/>
    <n v="9393.6"/>
    <n v="7404.8"/>
    <n v="1364.8"/>
    <n v="6034.9120000000003"/>
    <n v="19812.784"/>
    <x v="1"/>
    <x v="1"/>
    <x v="0"/>
    <n v="0.78828138306932405"/>
    <n v="0.18431287813310299"/>
    <n v="0.81499999999999995"/>
    <n v="4.4218288393903897"/>
    <n v="2.2830278221124001"/>
    <n v="3.2830278221124001"/>
  </r>
  <r>
    <s v="CMP1551"/>
    <s v="Seasonal Steals"/>
    <x v="1"/>
    <x v="42"/>
    <d v="2024-04-09T00:00:00"/>
    <n v="59601.599999999999"/>
    <n v="33944"/>
    <n v="7307.2"/>
    <n v="6836.4"/>
    <n v="23352.720000000001"/>
    <x v="3"/>
    <x v="0"/>
    <x v="0"/>
    <n v="0.56951491235134599"/>
    <n v="0.215272213056799"/>
    <n v="0.20140230968654299"/>
    <n v="0.93557039632143602"/>
    <n v="2.4159382130946101"/>
    <n v="3.4159382130946101"/>
  </r>
  <r>
    <s v="CMP1552"/>
    <s v="Deal of the Day"/>
    <x v="1"/>
    <x v="81"/>
    <d v="2024-01-20T00:00:00"/>
    <n v="41808"/>
    <n v="17217.599999999999"/>
    <n v="6267.2"/>
    <n v="743.42399999999998"/>
    <n v="1736.576"/>
    <x v="2"/>
    <x v="2"/>
    <x v="0"/>
    <n v="0.41182548794489099"/>
    <n v="0.36399962828733401"/>
    <n v="4.3178143295232799E-2"/>
    <n v="0.118621393923921"/>
    <n v="1.33591597796143"/>
    <n v="2.33591597796143"/>
  </r>
  <r>
    <s v="CMP1553"/>
    <s v="Shop &amp; Share"/>
    <x v="0"/>
    <x v="195"/>
    <d v="2024-04-06T00:00:00"/>
    <n v="24596.799999999999"/>
    <n v="1932.8"/>
    <n v="219.2"/>
    <n v="255.71199999999999"/>
    <n v="370.928"/>
    <x v="2"/>
    <x v="2"/>
    <x v="1"/>
    <n v="7.8579327392181098E-2"/>
    <n v="0.11341059602648999"/>
    <n v="0.132301324503311"/>
    <n v="1.16656934306569"/>
    <n v="0.450569390564385"/>
    <n v="1.4505693905643899"/>
  </r>
  <r>
    <s v="CMP1554"/>
    <s v="Wishlist Wonders"/>
    <x v="0"/>
    <x v="275"/>
    <d v="2024-04-04T00:00:00"/>
    <n v="26769.599999999999"/>
    <n v="20009.599999999999"/>
    <n v="19587.2"/>
    <n v="2302.864"/>
    <n v="4071.4079999999999"/>
    <x v="4"/>
    <x v="4"/>
    <x v="1"/>
    <n v="0.74747474747474796"/>
    <n v="0.978890132736287"/>
    <n v="0.115087957780265"/>
    <n v="0.117569841529162"/>
    <n v="0.76797587699490699"/>
    <n v="1.7679758769949101"/>
  </r>
  <r>
    <s v="CMP1555"/>
    <s v="Shop &amp; Share"/>
    <x v="1"/>
    <x v="0"/>
    <d v="2024-03-29T00:00:00"/>
    <n v="66320"/>
    <n v="33707.199999999997"/>
    <n v="11988.8"/>
    <n v="5266.6239999999998"/>
    <n v="15725.36"/>
    <x v="1"/>
    <x v="1"/>
    <x v="1"/>
    <n v="0.50825090470446299"/>
    <n v="0.35567475198177201"/>
    <n v="0.156246261926235"/>
    <n v="0.43929534231949802"/>
    <n v="1.9858520372823301"/>
    <n v="2.9858520372823301"/>
  </r>
  <r>
    <s v="CMP1556"/>
    <s v="Seasonal Steals"/>
    <x v="3"/>
    <x v="114"/>
    <d v="2024-02-15T00:00:00"/>
    <n v="70326.399999999994"/>
    <n v="11568"/>
    <n v="3665.6"/>
    <n v="3226.672"/>
    <n v="8644.6080000000002"/>
    <x v="3"/>
    <x v="2"/>
    <x v="0"/>
    <n v="0.16449014879191901"/>
    <n v="0.31687413554633498"/>
    <n v="0.27893084370677701"/>
    <n v="0.88025752946311697"/>
    <n v="1.6791096213064101"/>
    <n v="2.6791096213064098"/>
  </r>
  <r>
    <s v="CMP1557"/>
    <s v="Wishlist Wonders"/>
    <x v="1"/>
    <x v="212"/>
    <d v="2024-09-04T00:00:00"/>
    <n v="62545.599999999999"/>
    <n v="8212.7999999999993"/>
    <n v="6500.8"/>
    <n v="2327.808"/>
    <n v="7799.4719999999998"/>
    <x v="0"/>
    <x v="3"/>
    <x v="0"/>
    <n v="0.13130899695582099"/>
    <n v="0.791544905513345"/>
    <n v="0.28343658679134998"/>
    <n v="0.35808023627861202"/>
    <n v="2.35056499505114"/>
    <n v="3.35056499505114"/>
  </r>
  <r>
    <s v="CMP1558"/>
    <s v="Deal of the Day"/>
    <x v="0"/>
    <x v="226"/>
    <d v="2024-01-18T00:00:00"/>
    <n v="35867.199999999997"/>
    <n v="736"/>
    <n v="508.8"/>
    <n v="6085.92"/>
    <n v="8442.8320000000003"/>
    <x v="1"/>
    <x v="1"/>
    <x v="1"/>
    <n v="2.0520140964446602E-2"/>
    <n v="0.69130434782608696"/>
    <n v="8.2689130434782605"/>
    <n v="11.961320754717001"/>
    <n v="0.38727291847411699"/>
    <n v="1.3872729184741199"/>
  </r>
  <r>
    <s v="CMP1559"/>
    <s v="Deal of the Day"/>
    <x v="1"/>
    <x v="247"/>
    <d v="2024-05-14T00:00:00"/>
    <n v="41520"/>
    <n v="29448"/>
    <n v="9795.2000000000007"/>
    <n v="546.55999999999995"/>
    <n v="1864.944"/>
    <x v="1"/>
    <x v="3"/>
    <x v="1"/>
    <n v="0.70924855491329497"/>
    <n v="0.33262700353164898"/>
    <n v="1.8560173865797301E-2"/>
    <n v="5.5798758575628903E-2"/>
    <n v="2.4121487119437899"/>
    <n v="3.4121487119437899"/>
  </r>
  <r>
    <s v="CMP1560"/>
    <s v="Flash Sale Frenzy"/>
    <x v="0"/>
    <x v="167"/>
    <d v="2024-01-24T00:00:00"/>
    <n v="76582.399999999994"/>
    <n v="62620.800000000003"/>
    <n v="34072"/>
    <n v="6366.4480000000003"/>
    <n v="16114.896000000001"/>
    <x v="1"/>
    <x v="3"/>
    <x v="1"/>
    <n v="0.81769179341467502"/>
    <n v="0.54410036281874397"/>
    <n v="0.101666666666667"/>
    <n v="0.18685278234327299"/>
    <n v="1.5312224336081901"/>
    <n v="2.5312224336081899"/>
  </r>
  <r>
    <s v="CMP1561"/>
    <s v="Wishlist Wonders"/>
    <x v="2"/>
    <x v="275"/>
    <d v="2024-03-30T00:00:00"/>
    <n v="33108.800000000003"/>
    <n v="15486.4"/>
    <n v="3822.4"/>
    <n v="1595.52"/>
    <n v="2181.6480000000001"/>
    <x v="2"/>
    <x v="3"/>
    <x v="1"/>
    <n v="0.46774271492775299"/>
    <n v="0.246823018906912"/>
    <n v="0.103027172228536"/>
    <n v="0.41741314357471698"/>
    <n v="0.36735860409145599"/>
    <n v="1.36735860409146"/>
  </r>
  <r>
    <s v="CMP1562"/>
    <s v="Cart to Couch"/>
    <x v="0"/>
    <x v="97"/>
    <d v="2024-10-01T00:00:00"/>
    <n v="20022.400000000001"/>
    <n v="2078.4"/>
    <n v="614.4"/>
    <n v="6155.0720000000001"/>
    <n v="8183.232"/>
    <x v="0"/>
    <x v="1"/>
    <x v="0"/>
    <n v="0.103803739811411"/>
    <n v="0.29561200923787501"/>
    <n v="2.9614472671285599"/>
    <n v="10.018020833333299"/>
    <n v="0.32951036153598201"/>
    <n v="1.32951036153598"/>
  </r>
  <r>
    <s v="CMP1563"/>
    <s v="Flash Sale Frenzy"/>
    <x v="2"/>
    <x v="23"/>
    <d v="2024-10-19T00:00:00"/>
    <n v="7646.4"/>
    <n v="4136"/>
    <n v="236.8"/>
    <n v="7967.4719999999998"/>
    <n v="10057.487999999999"/>
    <x v="3"/>
    <x v="4"/>
    <x v="0"/>
    <n v="0.54090813977819596"/>
    <n v="5.72533849129594E-2"/>
    <n v="1.92637137330754"/>
    <n v="33.646418918918897"/>
    <n v="0.26231858737627201"/>
    <n v="1.2623185873762699"/>
  </r>
  <r>
    <s v="CMP1564"/>
    <s v="Seasonal Steals"/>
    <x v="3"/>
    <x v="218"/>
    <d v="2024-01-27T00:00:00"/>
    <n v="22422.400000000001"/>
    <n v="20795.2"/>
    <n v="3764.8"/>
    <n v="4431.8559999999998"/>
    <n v="7426.72"/>
    <x v="1"/>
    <x v="2"/>
    <x v="1"/>
    <n v="0.92742971314399902"/>
    <n v="0.181041778872047"/>
    <n v="0.213119181349542"/>
    <n v="1.17718232044199"/>
    <n v="0.67575841814354998"/>
    <n v="1.6757584181435501"/>
  </r>
  <r>
    <s v="CMP1565"/>
    <s v="Cart to Couch"/>
    <x v="0"/>
    <x v="188"/>
    <d v="2024-01-16T00:00:00"/>
    <n v="65915.199999999997"/>
    <n v="12521.6"/>
    <n v="8547.2000000000007"/>
    <n v="2755.2"/>
    <n v="5762.8639999999996"/>
    <x v="2"/>
    <x v="4"/>
    <x v="1"/>
    <n v="0.18996528873461699"/>
    <n v="0.68259647329414797"/>
    <n v="0.220035778175313"/>
    <n v="0.32235117933358298"/>
    <n v="1.09163182346109"/>
    <n v="2.09163182346109"/>
  </r>
  <r>
    <s v="CMP1566"/>
    <s v="Deal of the Day"/>
    <x v="2"/>
    <x v="68"/>
    <d v="2024-04-13T00:00:00"/>
    <n v="51419.199999999997"/>
    <n v="38398.400000000001"/>
    <n v="37440"/>
    <n v="4108.4480000000003"/>
    <n v="14846.016"/>
    <x v="3"/>
    <x v="4"/>
    <x v="1"/>
    <n v="0.74677163394218504"/>
    <n v="0.97504062669277902"/>
    <n v="0.106995291470478"/>
    <n v="0.109734188034188"/>
    <n v="2.6135338697240398"/>
    <n v="3.6135338697240398"/>
  </r>
  <r>
    <s v="CMP1567"/>
    <s v="Seasonal Steals"/>
    <x v="0"/>
    <x v="262"/>
    <d v="2024-08-06T00:00:00"/>
    <n v="56233.599999999999"/>
    <n v="4865.6000000000004"/>
    <n v="1385.6"/>
    <n v="5141.92"/>
    <n v="11603.456"/>
    <x v="1"/>
    <x v="1"/>
    <x v="1"/>
    <n v="8.6524782336539E-2"/>
    <n v="0.28477474514962198"/>
    <n v="1.05679052943111"/>
    <n v="3.7109699769053099"/>
    <n v="1.25663876528612"/>
    <n v="2.25663876528612"/>
  </r>
  <r>
    <s v="CMP1568"/>
    <s v="Flash Sale Frenzy"/>
    <x v="0"/>
    <x v="45"/>
    <d v="2024-06-13T00:00:00"/>
    <n v="28353.599999999999"/>
    <n v="24987.200000000001"/>
    <n v="3059.2"/>
    <n v="7717.9679999999998"/>
    <n v="9609.9519999999993"/>
    <x v="3"/>
    <x v="1"/>
    <x v="0"/>
    <n v="0.88127080864510998"/>
    <n v="0.122430684510469"/>
    <n v="0.308876864954857"/>
    <n v="2.5228713389121298"/>
    <n v="0.24514017160993701"/>
    <n v="1.2451401716099399"/>
  </r>
  <r>
    <s v="CMP1569"/>
    <s v="Flash Sale Frenzy"/>
    <x v="3"/>
    <x v="179"/>
    <d v="2024-03-23T00:00:00"/>
    <n v="54400"/>
    <n v="5500.8"/>
    <n v="2046.4"/>
    <n v="3499.2159999999999"/>
    <n v="7166.3040000000001"/>
    <x v="4"/>
    <x v="2"/>
    <x v="0"/>
    <n v="0.10111764705882401"/>
    <n v="0.37201861547411302"/>
    <n v="0.63612856311809196"/>
    <n v="1.7099374511337"/>
    <n v="1.0479741747865801"/>
    <n v="2.0479741747865798"/>
  </r>
  <r>
    <s v="CMP1570"/>
    <s v="Seasonal Steals"/>
    <x v="0"/>
    <x v="188"/>
    <d v="2024-01-25T00:00:00"/>
    <n v="70452.800000000003"/>
    <n v="6931.2"/>
    <n v="1974.4"/>
    <n v="4387.6319999999996"/>
    <n v="8271.8719999999994"/>
    <x v="3"/>
    <x v="2"/>
    <x v="1"/>
    <n v="9.8380759884632005E-2"/>
    <n v="0.28485687903970502"/>
    <n v="0.63302631578947399"/>
    <n v="2.22226094003241"/>
    <n v="0.88527023232577395"/>
    <n v="1.88527023232577"/>
  </r>
  <r>
    <s v="CMP1571"/>
    <s v="Deal of the Day"/>
    <x v="2"/>
    <x v="123"/>
    <d v="2024-03-15T00:00:00"/>
    <n v="5649.6"/>
    <n v="3812.8"/>
    <n v="2844.8"/>
    <n v="6522.6559999999999"/>
    <n v="18779.455999999998"/>
    <x v="2"/>
    <x v="4"/>
    <x v="1"/>
    <n v="0.67487963749645996"/>
    <n v="0.74611833822912299"/>
    <n v="1.7107259756609301"/>
    <n v="2.2928346456692901"/>
    <n v="1.8791118219326599"/>
    <n v="2.8791118219326601"/>
  </r>
  <r>
    <s v="CMP1572"/>
    <s v="Wishlist Wonders"/>
    <x v="1"/>
    <x v="31"/>
    <d v="2024-10-26T00:00:00"/>
    <n v="57771.199999999997"/>
    <n v="44387.199999999997"/>
    <n v="32774.400000000001"/>
    <n v="7710.7839999999997"/>
    <n v="29002.592000000001"/>
    <x v="2"/>
    <x v="1"/>
    <x v="1"/>
    <n v="0.76832747112748201"/>
    <n v="0.73837502703482105"/>
    <n v="0.173716386706077"/>
    <n v="0.23526850224565499"/>
    <n v="2.7613026120301098"/>
    <n v="3.7613026120301098"/>
  </r>
  <r>
    <s v="CMP1573"/>
    <s v="Flash Sale Frenzy"/>
    <x v="3"/>
    <x v="282"/>
    <d v="2024-06-09T00:00:00"/>
    <n v="34984"/>
    <n v="7286.4"/>
    <n v="5864"/>
    <n v="7318.1760000000004"/>
    <n v="9984.7520000000004"/>
    <x v="1"/>
    <x v="4"/>
    <x v="0"/>
    <n v="0.20827806997484599"/>
    <n v="0.80478700043917395"/>
    <n v="1.0043610013175199"/>
    <n v="1.2479836289222399"/>
    <n v="0.364377134411635"/>
    <n v="1.36437713441163"/>
  </r>
  <r>
    <s v="CMP1574"/>
    <s v="Cart to Couch"/>
    <x v="0"/>
    <x v="140"/>
    <d v="2024-09-23T00:00:00"/>
    <n v="69816"/>
    <n v="20115.2"/>
    <n v="5993.6"/>
    <n v="3928.7040000000002"/>
    <n v="4940.1279999999997"/>
    <x v="0"/>
    <x v="3"/>
    <x v="0"/>
    <n v="0.28811733700011499"/>
    <n v="0.29796372892141298"/>
    <n v="0.19531021317212899"/>
    <n v="0.65548318206086498"/>
    <n v="0.25744469422995497"/>
    <n v="1.25744469422995"/>
  </r>
  <r>
    <s v="CMP1575"/>
    <s v="Flash Sale Frenzy"/>
    <x v="2"/>
    <x v="223"/>
    <d v="2024-08-07T00:00:00"/>
    <n v="69294.399999999994"/>
    <n v="37812.800000000003"/>
    <n v="21766.400000000001"/>
    <n v="665.44"/>
    <n v="1274.8320000000001"/>
    <x v="0"/>
    <x v="4"/>
    <x v="0"/>
    <n v="0.54568334526310902"/>
    <n v="0.57563576355096702"/>
    <n v="1.7598273600473901E-2"/>
    <n v="3.0571890620405801E-2"/>
    <n v="0.91577302236114499"/>
    <n v="1.91577302236114"/>
  </r>
  <r>
    <s v="CMP1576"/>
    <s v="Deal of the Day"/>
    <x v="3"/>
    <x v="19"/>
    <d v="2024-08-19T00:00:00"/>
    <n v="1787.2"/>
    <n v="1451.2"/>
    <n v="425.6"/>
    <n v="227.24799999999999"/>
    <n v="441.34399999999999"/>
    <x v="1"/>
    <x v="1"/>
    <x v="1"/>
    <n v="0.811996418979409"/>
    <n v="0.293274531422271"/>
    <n v="0.15659316427783901"/>
    <n v="0.53394736842105295"/>
    <n v="0.94212490318946696"/>
    <n v="1.9421249031894701"/>
  </r>
  <r>
    <s v="CMP1577"/>
    <s v="Seasonal Steals"/>
    <x v="3"/>
    <x v="225"/>
    <d v="2024-04-30T00:00:00"/>
    <n v="59553.599999999999"/>
    <n v="49049.599999999999"/>
    <n v="37515.199999999997"/>
    <n v="7799.1360000000004"/>
    <n v="24000.464"/>
    <x v="1"/>
    <x v="0"/>
    <x v="1"/>
    <n v="0.82362107412482199"/>
    <n v="0.76484211899791199"/>
    <n v="0.159005088726514"/>
    <n v="0.20789269416129999"/>
    <n v="2.07732343685249"/>
    <n v="3.07732343685249"/>
  </r>
  <r>
    <s v="CMP1578"/>
    <s v="Shop &amp; Share"/>
    <x v="1"/>
    <x v="142"/>
    <d v="2024-02-04T00:00:00"/>
    <n v="10934.4"/>
    <n v="7244.8"/>
    <n v="3217.6"/>
    <n v="2627.1840000000002"/>
    <n v="3413.808"/>
    <x v="2"/>
    <x v="2"/>
    <x v="0"/>
    <n v="0.66256950541410597"/>
    <n v="0.44412544169611301"/>
    <n v="0.36263030035335703"/>
    <n v="0.81650422675285905"/>
    <n v="0.29941717062832301"/>
    <n v="1.29941717062832"/>
  </r>
  <r>
    <s v="CMP1579"/>
    <s v="Cart to Couch"/>
    <x v="3"/>
    <x v="14"/>
    <d v="2024-08-24T00:00:00"/>
    <n v="32766.400000000001"/>
    <n v="20825.599999999999"/>
    <n v="5096"/>
    <n v="7303.2160000000003"/>
    <n v="19571.919999999998"/>
    <x v="0"/>
    <x v="2"/>
    <x v="0"/>
    <n v="0.63557790907759204"/>
    <n v="0.244698832206515"/>
    <n v="0.35068454210202799"/>
    <n v="1.4331271585557299"/>
    <n v="1.6799043051718601"/>
    <n v="2.6799043051718598"/>
  </r>
  <r>
    <s v="CMP1580"/>
    <s v="Cart to Couch"/>
    <x v="3"/>
    <x v="272"/>
    <d v="2024-10-14T00:00:00"/>
    <n v="58364.800000000003"/>
    <n v="28769.599999999999"/>
    <n v="396.8"/>
    <n v="5578.4960000000001"/>
    <n v="15309.376"/>
    <x v="0"/>
    <x v="4"/>
    <x v="1"/>
    <n v="0.49292724381819197"/>
    <n v="1.37923363550414E-2"/>
    <n v="0.193902452588844"/>
    <n v="14.058709677419399"/>
    <n v="1.7443554678537001"/>
    <n v="2.7443554678536999"/>
  </r>
  <r>
    <s v="CMP1581"/>
    <s v="Shop &amp; Share"/>
    <x v="3"/>
    <x v="51"/>
    <d v="2024-09-12T00:00:00"/>
    <n v="6878.4"/>
    <n v="3596.8"/>
    <n v="3227.2"/>
    <n v="4620.6719999999996"/>
    <n v="8071.424"/>
    <x v="1"/>
    <x v="3"/>
    <x v="1"/>
    <n v="0.52291230518725296"/>
    <n v="0.89724199288256201"/>
    <n v="1.2846619217081801"/>
    <n v="1.4317897868120999"/>
    <n v="0.74680739078644898"/>
    <n v="1.7468073907864501"/>
  </r>
  <r>
    <s v="CMP1582"/>
    <s v="Shop &amp; Share"/>
    <x v="2"/>
    <x v="184"/>
    <d v="2024-08-11T00:00:00"/>
    <n v="58420.800000000003"/>
    <n v="17889.599999999999"/>
    <n v="6801.6"/>
    <n v="689.23199999999997"/>
    <n v="2741.84"/>
    <x v="1"/>
    <x v="2"/>
    <x v="1"/>
    <n v="0.30621970257168701"/>
    <n v="0.38019855111349599"/>
    <n v="3.8526965387711297E-2"/>
    <n v="0.101333803810868"/>
    <n v="2.9781089676625601"/>
    <n v="3.9781089676625601"/>
  </r>
  <r>
    <s v="CMP1583"/>
    <s v="Seasonal Steals"/>
    <x v="1"/>
    <x v="264"/>
    <d v="2024-08-16T00:00:00"/>
    <n v="57892.800000000003"/>
    <n v="15372.8"/>
    <n v="13243.2"/>
    <n v="5939.9359999999997"/>
    <n v="15732.656000000001"/>
    <x v="0"/>
    <x v="1"/>
    <x v="0"/>
    <n v="0.26553906530691201"/>
    <n v="0.86146960865945099"/>
    <n v="0.386392589508743"/>
    <n v="0.44852724417059298"/>
    <n v="1.64862382355635"/>
    <n v="2.64862382355635"/>
  </r>
  <r>
    <s v="CMP1584"/>
    <s v="Wishlist Wonders"/>
    <x v="3"/>
    <x v="247"/>
    <d v="2024-05-24T00:00:00"/>
    <n v="16640"/>
    <n v="16395.2"/>
    <n v="13939.2"/>
    <n v="2638.08"/>
    <n v="9789.7440000000006"/>
    <x v="3"/>
    <x v="4"/>
    <x v="1"/>
    <n v="0.98528846153846195"/>
    <n v="0.85020005855372305"/>
    <n v="0.160905630916366"/>
    <n v="0.189256198347107"/>
    <n v="2.7109352256186301"/>
    <n v="3.7109352256186301"/>
  </r>
  <r>
    <s v="CMP1585"/>
    <s v="Flash Sale Frenzy"/>
    <x v="1"/>
    <x v="37"/>
    <d v="2024-11-07T00:00:00"/>
    <n v="16139.2"/>
    <n v="7531.2"/>
    <n v="923.2"/>
    <n v="306.88"/>
    <n v="593.40800000000002"/>
    <x v="0"/>
    <x v="1"/>
    <x v="0"/>
    <n v="0.466640229999009"/>
    <n v="0.12258338644571901"/>
    <n v="4.0747822392181901E-2"/>
    <n v="0.33240901213171598"/>
    <n v="0.93368091762252403"/>
    <n v="1.93368091762252"/>
  </r>
  <r>
    <s v="CMP1586"/>
    <s v="Shop &amp; Share"/>
    <x v="0"/>
    <x v="297"/>
    <d v="2024-05-01T00:00:00"/>
    <n v="67121.600000000006"/>
    <n v="52470.400000000001"/>
    <n v="21924.799999999999"/>
    <n v="7844.6559999999999"/>
    <n v="23315.360000000001"/>
    <x v="4"/>
    <x v="2"/>
    <x v="0"/>
    <n v="0.78172153226383201"/>
    <n v="0.417850826370678"/>
    <n v="0.14950631213026799"/>
    <n v="0.35779829234474197"/>
    <n v="1.97213287618985"/>
    <n v="2.9721328761898498"/>
  </r>
  <r>
    <s v="CMP1587"/>
    <s v="Deal of the Day"/>
    <x v="3"/>
    <x v="297"/>
    <d v="2024-05-13T00:00:00"/>
    <n v="11419.2"/>
    <n v="10267.200000000001"/>
    <n v="3945.6"/>
    <n v="4088.08"/>
    <n v="6540.8"/>
    <x v="2"/>
    <x v="2"/>
    <x v="1"/>
    <n v="0.89911727616645698"/>
    <n v="0.384291725105189"/>
    <n v="0.39816892628954298"/>
    <n v="1.0361111111111101"/>
    <n v="0.59996868945813198"/>
    <n v="1.59996868945813"/>
  </r>
  <r>
    <s v="CMP1588"/>
    <s v="Flash Sale Frenzy"/>
    <x v="0"/>
    <x v="116"/>
    <d v="2024-08-02T00:00:00"/>
    <n v="75027.199999999997"/>
    <n v="61240"/>
    <n v="53995.199999999997"/>
    <n v="7139.8559999999998"/>
    <n v="16597.583999999999"/>
    <x v="1"/>
    <x v="3"/>
    <x v="1"/>
    <n v="0.81623731126844701"/>
    <n v="0.88169823644676704"/>
    <n v="0.116588112344873"/>
    <n v="0.132231309449729"/>
    <n v="1.3246384801038"/>
    <n v="2.3246384801038"/>
  </r>
  <r>
    <s v="CMP1589"/>
    <s v="Wishlist Wonders"/>
    <x v="2"/>
    <x v="255"/>
    <d v="2024-06-17T00:00:00"/>
    <n v="41393.599999999999"/>
    <n v="28168"/>
    <n v="19656"/>
    <n v="5855.232"/>
    <n v="20412.256000000001"/>
    <x v="3"/>
    <x v="3"/>
    <x v="0"/>
    <n v="0.68049167020988799"/>
    <n v="0.69781312127236605"/>
    <n v="0.20786821925589299"/>
    <n v="0.29788522588522598"/>
    <n v="2.4861566544246201"/>
    <n v="3.4861566544246201"/>
  </r>
  <r>
    <s v="CMP1590"/>
    <s v="Wishlist Wonders"/>
    <x v="1"/>
    <x v="164"/>
    <d v="2024-03-24T00:00:00"/>
    <n v="21792"/>
    <n v="5467.2"/>
    <n v="4606.3999999999996"/>
    <n v="7928.1440000000002"/>
    <n v="19262.96"/>
    <x v="2"/>
    <x v="1"/>
    <x v="1"/>
    <n v="0.25088105726872201"/>
    <n v="0.84255194615159501"/>
    <n v="1.4501287679250801"/>
    <n v="1.7211149704758599"/>
    <n v="1.4296935070806001"/>
    <n v="2.4296935070806001"/>
  </r>
  <r>
    <s v="CMP1591"/>
    <s v="Cart to Couch"/>
    <x v="3"/>
    <x v="124"/>
    <d v="2024-08-11T00:00:00"/>
    <n v="23600"/>
    <n v="11622.4"/>
    <n v="8336"/>
    <n v="1516.88"/>
    <n v="5363.8720000000003"/>
    <x v="3"/>
    <x v="2"/>
    <x v="1"/>
    <n v="0.49247457627118602"/>
    <n v="0.71723568281938299"/>
    <n v="0.13051349118942701"/>
    <n v="0.181967370441459"/>
    <n v="2.53612151257845"/>
    <n v="3.53612151257845"/>
  </r>
  <r>
    <s v="CMP1592"/>
    <s v="Wishlist Wonders"/>
    <x v="2"/>
    <x v="286"/>
    <d v="2024-06-25T00:00:00"/>
    <n v="54267.199999999997"/>
    <n v="6873.6"/>
    <n v="1457.6"/>
    <n v="5751.6319999999996"/>
    <n v="9670.0640000000003"/>
    <x v="4"/>
    <x v="4"/>
    <x v="1"/>
    <n v="0.12666214582657701"/>
    <n v="0.212057728119181"/>
    <n v="0.83677141527001897"/>
    <n v="3.94596048298573"/>
    <n v="0.68127307171251605"/>
    <n v="1.6812730717125199"/>
  </r>
  <r>
    <s v="CMP1593"/>
    <s v="Flash Sale Frenzy"/>
    <x v="3"/>
    <x v="247"/>
    <d v="2024-05-26T00:00:00"/>
    <n v="55160"/>
    <n v="6803.2"/>
    <n v="310.39999999999998"/>
    <n v="5868.192"/>
    <n v="22476.256000000001"/>
    <x v="0"/>
    <x v="1"/>
    <x v="1"/>
    <n v="0.123335750543872"/>
    <n v="4.5625587958607702E-2"/>
    <n v="0.86256349952963296"/>
    <n v="18.905257731958802"/>
    <n v="2.83018415212045"/>
    <n v="3.83018415212045"/>
  </r>
  <r>
    <s v="CMP1594"/>
    <s v="Deal of the Day"/>
    <x v="1"/>
    <x v="107"/>
    <d v="2024-02-06T00:00:00"/>
    <n v="12912"/>
    <n v="249.6"/>
    <n v="105.6"/>
    <n v="896.38400000000001"/>
    <n v="2038.4159999999999"/>
    <x v="3"/>
    <x v="0"/>
    <x v="1"/>
    <n v="1.93308550185874E-2"/>
    <n v="0.42307692307692302"/>
    <n v="3.5912820512820498"/>
    <n v="8.4884848484848501"/>
    <n v="1.2740432671712101"/>
    <n v="2.2740432671712099"/>
  </r>
  <r>
    <s v="CMP1595"/>
    <s v="Seasonal Steals"/>
    <x v="1"/>
    <x v="81"/>
    <d v="2024-01-27T00:00:00"/>
    <n v="74312"/>
    <n v="30233.599999999999"/>
    <n v="9385.6"/>
    <n v="4754.8"/>
    <n v="9086.5439999999999"/>
    <x v="2"/>
    <x v="1"/>
    <x v="0"/>
    <n v="0.40684680805253498"/>
    <n v="0.310436071126164"/>
    <n v="0.15726873412362399"/>
    <n v="0.506605864302762"/>
    <n v="0.91102549003112598"/>
    <n v="1.9110254900311301"/>
  </r>
  <r>
    <s v="CMP1596"/>
    <s v="Flash Sale Frenzy"/>
    <x v="3"/>
    <x v="161"/>
    <d v="2024-09-07T00:00:00"/>
    <n v="11614.4"/>
    <n v="8961.6"/>
    <n v="4385.6000000000004"/>
    <n v="7851.28"/>
    <n v="13274.08"/>
    <x v="4"/>
    <x v="0"/>
    <x v="1"/>
    <n v="0.771593883455021"/>
    <n v="0.489376896982682"/>
    <n v="0.87610248169969596"/>
    <n v="1.79024078803356"/>
    <n v="0.69068992571911803"/>
    <n v="1.6906899257191199"/>
  </r>
  <r>
    <s v="CMP1597"/>
    <s v="Seasonal Steals"/>
    <x v="2"/>
    <x v="120"/>
    <d v="2024-03-07T00:00:00"/>
    <n v="70550.399999999994"/>
    <n v="18100.8"/>
    <n v="12363.2"/>
    <n v="743.63199999999995"/>
    <n v="2050.2240000000002"/>
    <x v="3"/>
    <x v="2"/>
    <x v="1"/>
    <n v="0.25656551911824699"/>
    <n v="0.68301953504817503"/>
    <n v="4.1082825068505302E-2"/>
    <n v="6.0148828782192298E-2"/>
    <n v="1.75704111711169"/>
    <n v="2.7570411171116902"/>
  </r>
  <r>
    <s v="CMP1598"/>
    <s v="Flash Sale Frenzy"/>
    <x v="1"/>
    <x v="112"/>
    <d v="2024-10-12T00:00:00"/>
    <n v="69009.600000000006"/>
    <n v="6604.8"/>
    <n v="1320"/>
    <n v="265.23200000000003"/>
    <n v="599.61599999999999"/>
    <x v="4"/>
    <x v="3"/>
    <x v="0"/>
    <n v="9.5708423175905999E-2"/>
    <n v="0.199854651162791"/>
    <n v="4.0157461240310097E-2"/>
    <n v="0.20093333333333299"/>
    <n v="1.2607226880617699"/>
    <n v="2.2607226880617701"/>
  </r>
  <r>
    <s v="CMP1599"/>
    <s v="Shop &amp; Share"/>
    <x v="0"/>
    <x v="197"/>
    <d v="2024-08-12T00:00:00"/>
    <n v="65403.199999999997"/>
    <n v="25611.200000000001"/>
    <n v="21764.799999999999"/>
    <n v="1630.528"/>
    <n v="5604.8"/>
    <x v="3"/>
    <x v="3"/>
    <x v="1"/>
    <n v="0.39158940235340201"/>
    <n v="0.84981570562878705"/>
    <n v="6.3664646717061305E-2"/>
    <n v="7.4915827391016696E-2"/>
    <n v="2.4374141382423402"/>
    <n v="3.4374141382423402"/>
  </r>
  <r>
    <s v="CMP1600"/>
    <s v="Cart to Couch"/>
    <x v="3"/>
    <x v="211"/>
    <d v="2024-10-26T00:00:00"/>
    <n v="10401.6"/>
    <n v="10326.4"/>
    <n v="2184"/>
    <n v="7179.04"/>
    <n v="12572.335999999999"/>
    <x v="0"/>
    <x v="3"/>
    <x v="0"/>
    <n v="0.99277034302415001"/>
    <n v="0.21149674620390499"/>
    <n v="0.69521227145955999"/>
    <n v="3.2871062271062299"/>
    <n v="0.751255878223272"/>
    <n v="1.7512558782232699"/>
  </r>
  <r>
    <s v="CMP1601"/>
    <s v="Flash Sale Frenzy"/>
    <x v="1"/>
    <x v="2"/>
    <d v="2024-03-31T00:00:00"/>
    <n v="31182.400000000001"/>
    <n v="1860.8"/>
    <n v="1484.8"/>
    <n v="7798.8"/>
    <n v="21721.664000000001"/>
    <x v="1"/>
    <x v="3"/>
    <x v="0"/>
    <n v="5.9674688285699599E-2"/>
    <n v="0.797936371453138"/>
    <n v="4.1911006018916597"/>
    <n v="5.2524245689655196"/>
    <n v="1.7852572190593401"/>
    <n v="2.7852572190593401"/>
  </r>
  <r>
    <s v="CMP1602"/>
    <s v="Seasonal Steals"/>
    <x v="3"/>
    <x v="34"/>
    <d v="2024-04-16T00:00:00"/>
    <n v="49608"/>
    <n v="48979.199999999997"/>
    <n v="26320"/>
    <n v="5448.384"/>
    <n v="13175.567999999999"/>
    <x v="3"/>
    <x v="1"/>
    <x v="1"/>
    <n v="0.98732462506047403"/>
    <n v="0.53737096563439202"/>
    <n v="0.111238729909839"/>
    <n v="0.20700547112462001"/>
    <n v="1.4182524579765301"/>
    <n v="2.4182524579765299"/>
  </r>
  <r>
    <s v="CMP1603"/>
    <s v="Deal of the Day"/>
    <x v="1"/>
    <x v="128"/>
    <d v="2024-10-07T00:00:00"/>
    <n v="71206.399999999994"/>
    <n v="54833.599999999999"/>
    <n v="15304"/>
    <n v="4377.9359999999997"/>
    <n v="14369.392"/>
    <x v="4"/>
    <x v="2"/>
    <x v="1"/>
    <n v="0.77006561207981306"/>
    <n v="0.279098946631263"/>
    <n v="7.9840389833970404E-2"/>
    <n v="0.28606481965499198"/>
    <n v="2.2822297996133298"/>
    <n v="3.2822297996133298"/>
  </r>
  <r>
    <s v="CMP1604"/>
    <s v="Wishlist Wonders"/>
    <x v="1"/>
    <x v="66"/>
    <d v="2024-11-05T00:00:00"/>
    <n v="67259.199999999997"/>
    <n v="42708.800000000003"/>
    <n v="22745.599999999999"/>
    <n v="4515.6319999999996"/>
    <n v="17686.944"/>
    <x v="2"/>
    <x v="0"/>
    <x v="1"/>
    <n v="0.63498822465922899"/>
    <n v="0.53257408309294596"/>
    <n v="0.105730715918031"/>
    <n v="0.19852771525042201"/>
    <n v="2.91682581751569"/>
    <n v="3.91682581751569"/>
  </r>
  <r>
    <s v="CMP1605"/>
    <s v="Seasonal Steals"/>
    <x v="3"/>
    <x v="68"/>
    <d v="2024-04-01T00:00:00"/>
    <n v="2336"/>
    <n v="894.4"/>
    <n v="81.599999999999994"/>
    <n v="4346.1440000000002"/>
    <n v="6037.2"/>
    <x v="2"/>
    <x v="3"/>
    <x v="1"/>
    <n v="0.38287671232876702"/>
    <n v="9.1234347048300496E-2"/>
    <n v="4.8592844364937404"/>
    <n v="53.261568627450998"/>
    <n v="0.38909341245941198"/>
    <n v="1.3890934124594101"/>
  </r>
  <r>
    <s v="CMP1606"/>
    <s v="Shop &amp; Share"/>
    <x v="0"/>
    <x v="130"/>
    <d v="2024-03-31T00:00:00"/>
    <n v="30918.400000000001"/>
    <n v="27688"/>
    <n v="180.8"/>
    <n v="6351.2160000000003"/>
    <n v="23689.135999999999"/>
    <x v="4"/>
    <x v="0"/>
    <x v="0"/>
    <n v="0.89551852618505501"/>
    <n v="6.5299046518347299E-3"/>
    <n v="0.229385148800925"/>
    <n v="35.128407079646003"/>
    <n v="2.7298583452365701"/>
    <n v="3.7298583452365701"/>
  </r>
  <r>
    <s v="CMP1607"/>
    <s v="Cart to Couch"/>
    <x v="1"/>
    <x v="33"/>
    <d v="2024-06-08T00:00:00"/>
    <n v="12697.6"/>
    <n v="4617.6000000000004"/>
    <n v="2200"/>
    <n v="4441.9679999999998"/>
    <n v="6787.424"/>
    <x v="4"/>
    <x v="0"/>
    <x v="1"/>
    <n v="0.36365927419354799"/>
    <n v="0.47643797643797597"/>
    <n v="0.96196465696465705"/>
    <n v="2.0190763636363598"/>
    <n v="0.52802181375462398"/>
    <n v="1.52802181375462"/>
  </r>
  <r>
    <s v="CMP1608"/>
    <s v="Seasonal Steals"/>
    <x v="2"/>
    <x v="9"/>
    <d v="2024-06-03T00:00:00"/>
    <n v="71851.199999999997"/>
    <n v="44795.199999999997"/>
    <n v="10694.4"/>
    <n v="517.32799999999997"/>
    <n v="791.80799999999999"/>
    <x v="2"/>
    <x v="3"/>
    <x v="0"/>
    <n v="0.62344400650232701"/>
    <n v="0.23873986498553401"/>
    <n v="1.15487373647176E-2"/>
    <n v="4.83737283064034E-2"/>
    <n v="0.53057248012866098"/>
    <n v="1.53057248012866"/>
  </r>
  <r>
    <s v="CMP1609"/>
    <s v="Seasonal Steals"/>
    <x v="2"/>
    <x v="106"/>
    <d v="2024-08-21T00:00:00"/>
    <n v="77587.199999999997"/>
    <n v="577.6"/>
    <n v="124.8"/>
    <n v="3354.1280000000002"/>
    <n v="12537.248"/>
    <x v="4"/>
    <x v="0"/>
    <x v="1"/>
    <n v="7.4445269322774904E-3"/>
    <n v="0.21606648199445999"/>
    <n v="5.8070083102493104"/>
    <n v="26.876025641025599"/>
    <n v="2.7378561581430398"/>
    <n v="3.7378561581430398"/>
  </r>
  <r>
    <s v="CMP1610"/>
    <s v="Wishlist Wonders"/>
    <x v="0"/>
    <x v="9"/>
    <d v="2024-06-08T00:00:00"/>
    <n v="20273.599999999999"/>
    <n v="7070.4"/>
    <n v="3416"/>
    <n v="499.50400000000002"/>
    <n v="696.27200000000005"/>
    <x v="3"/>
    <x v="4"/>
    <x v="1"/>
    <n v="0.34874911214584497"/>
    <n v="0.483140982122652"/>
    <n v="7.0647205250056605E-2"/>
    <n v="0.14622482435597201"/>
    <n v="0.393926775361158"/>
    <n v="1.3939267753611599"/>
  </r>
  <r>
    <s v="CMP1611"/>
    <s v="Shop &amp; Share"/>
    <x v="1"/>
    <x v="24"/>
    <d v="2024-03-27T00:00:00"/>
    <n v="44603.199999999997"/>
    <n v="26380.799999999999"/>
    <n v="6328"/>
    <n v="6766.7520000000004"/>
    <n v="11254.864"/>
    <x v="1"/>
    <x v="4"/>
    <x v="0"/>
    <n v="0.59145532159127601"/>
    <n v="0.23987142163998099"/>
    <n v="0.256502911208151"/>
    <n v="1.0693350189633399"/>
    <n v="0.66325941899451901"/>
    <n v="1.66325941899452"/>
  </r>
  <r>
    <s v="CMP1612"/>
    <s v="Wishlist Wonders"/>
    <x v="3"/>
    <x v="281"/>
    <d v="2024-02-26T00:00:00"/>
    <n v="69992"/>
    <n v="46828.800000000003"/>
    <n v="19833.599999999999"/>
    <n v="1479.5519999999999"/>
    <n v="4998.9120000000003"/>
    <x v="2"/>
    <x v="2"/>
    <x v="0"/>
    <n v="0.669059321065265"/>
    <n v="0.42353423534235302"/>
    <n v="3.1594915949159502E-2"/>
    <n v="7.4598257502420107E-2"/>
    <n v="2.3786659745652701"/>
    <n v="3.3786659745652701"/>
  </r>
  <r>
    <s v="CMP1613"/>
    <s v="Cart to Couch"/>
    <x v="2"/>
    <x v="75"/>
    <d v="2024-10-13T00:00:00"/>
    <n v="33668.800000000003"/>
    <n v="27934.400000000001"/>
    <n v="18731.2"/>
    <n v="5277.28"/>
    <n v="16333.183999999999"/>
    <x v="4"/>
    <x v="4"/>
    <x v="1"/>
    <n v="0.82968207955139495"/>
    <n v="0.67054241365484801"/>
    <n v="0.188916891001776"/>
    <n v="0.28173742205518099"/>
    <n v="2.0950004547797301"/>
    <n v="3.0950004547797301"/>
  </r>
  <r>
    <s v="CMP1614"/>
    <s v="Cart to Couch"/>
    <x v="3"/>
    <x v="213"/>
    <d v="2024-06-25T00:00:00"/>
    <n v="25145.599999999999"/>
    <n v="10184"/>
    <n v="7688"/>
    <n v="3179.6320000000001"/>
    <n v="8030.576"/>
    <x v="0"/>
    <x v="0"/>
    <x v="1"/>
    <n v="0.40500127258844498"/>
    <n v="0.75490966221524003"/>
    <n v="0.31221838177533401"/>
    <n v="0.41358376690946902"/>
    <n v="1.52563063901735"/>
    <n v="2.5256306390173502"/>
  </r>
  <r>
    <s v="CMP1615"/>
    <s v="Cart to Couch"/>
    <x v="2"/>
    <x v="95"/>
    <d v="2024-02-18T00:00:00"/>
    <n v="43032"/>
    <n v="31542.400000000001"/>
    <n v="10494.4"/>
    <n v="2035.9839999999999"/>
    <n v="6240.2719999999999"/>
    <x v="1"/>
    <x v="0"/>
    <x v="1"/>
    <n v="0.73299869864287004"/>
    <n v="0.33270772040174501"/>
    <n v="6.4547529674343102E-2"/>
    <n v="0.194006708339686"/>
    <n v="2.06499068754961"/>
    <n v="3.06499068754961"/>
  </r>
  <r>
    <s v="CMP1616"/>
    <s v="Shop &amp; Share"/>
    <x v="2"/>
    <x v="218"/>
    <d v="2024-02-09T00:00:00"/>
    <n v="42118.400000000001"/>
    <n v="20049.599999999999"/>
    <n v="9657.6"/>
    <n v="952.64"/>
    <n v="2845.2959999999998"/>
    <x v="3"/>
    <x v="3"/>
    <x v="1"/>
    <n v="0.47602947880261398"/>
    <n v="0.48168542015800803"/>
    <n v="4.7514164871119598E-2"/>
    <n v="9.8641484426772702E-2"/>
    <n v="1.98674840443399"/>
    <n v="2.9867484044339898"/>
  </r>
  <r>
    <s v="CMP1617"/>
    <s v="Wishlist Wonders"/>
    <x v="1"/>
    <x v="205"/>
    <d v="2024-06-29T00:00:00"/>
    <n v="30979.200000000001"/>
    <n v="13843.2"/>
    <n v="12118.4"/>
    <n v="5766.5439999999999"/>
    <n v="14092.432000000001"/>
    <x v="3"/>
    <x v="3"/>
    <x v="0"/>
    <n v="0.44685466377440303"/>
    <n v="0.87540453074433699"/>
    <n v="0.41656148867313902"/>
    <n v="0.47585027726432499"/>
    <n v="1.4438263195425201"/>
    <n v="2.4438263195425201"/>
  </r>
  <r>
    <s v="CMP1618"/>
    <s v="Deal of the Day"/>
    <x v="0"/>
    <x v="111"/>
    <d v="2024-08-22T00:00:00"/>
    <n v="78372.800000000003"/>
    <n v="19590.400000000001"/>
    <n v="15552"/>
    <n v="702.28800000000001"/>
    <n v="1053.52"/>
    <x v="2"/>
    <x v="0"/>
    <x v="1"/>
    <n v="0.24996427331931501"/>
    <n v="0.79385821626919295"/>
    <n v="3.5848578895785702E-2"/>
    <n v="4.5157407407407403E-2"/>
    <n v="0.50012530471829197"/>
    <n v="1.5001253047182901"/>
  </r>
  <r>
    <s v="CMP1619"/>
    <s v="Flash Sale Frenzy"/>
    <x v="0"/>
    <x v="232"/>
    <d v="2024-10-11T00:00:00"/>
    <n v="18507.2"/>
    <n v="6217.6"/>
    <n v="4894.3999999999996"/>
    <n v="403.80799999999999"/>
    <n v="1022.56"/>
    <x v="3"/>
    <x v="0"/>
    <x v="1"/>
    <n v="0.33595573614593199"/>
    <n v="0.78718476582604202"/>
    <n v="6.4945959855892896E-2"/>
    <n v="8.2504086302713303E-2"/>
    <n v="1.53229257468896"/>
    <n v="2.53229257468896"/>
  </r>
  <r>
    <s v="CMP1620"/>
    <s v="Cart to Couch"/>
    <x v="2"/>
    <x v="170"/>
    <d v="2024-04-19T00:00:00"/>
    <n v="32846.400000000001"/>
    <n v="537.6"/>
    <n v="422.4"/>
    <n v="4961.6639999999998"/>
    <n v="8520.2720000000008"/>
    <x v="4"/>
    <x v="2"/>
    <x v="1"/>
    <n v="1.6367090457401701E-2"/>
    <n v="0.78571428571428603"/>
    <n v="9.2292857142857105"/>
    <n v="11.746363636363601"/>
    <n v="0.71722067435440995"/>
    <n v="1.7172206743544101"/>
  </r>
  <r>
    <s v="CMP1621"/>
    <s v="Wishlist Wonders"/>
    <x v="2"/>
    <x v="204"/>
    <d v="2024-11-10T00:00:00"/>
    <n v="49864"/>
    <n v="4907.2"/>
    <n v="1955.2"/>
    <n v="4765.232"/>
    <n v="9133.9359999999997"/>
    <x v="4"/>
    <x v="1"/>
    <x v="1"/>
    <n v="9.8411679768971597E-2"/>
    <n v="0.39843495272252999"/>
    <n v="0.97106944897293801"/>
    <n v="2.4372094926350201"/>
    <n v="0.91678726240401298"/>
    <n v="1.9167872624040101"/>
  </r>
  <r>
    <s v="CMP1622"/>
    <s v="Flash Sale Frenzy"/>
    <x v="3"/>
    <x v="245"/>
    <d v="2024-03-15T00:00:00"/>
    <n v="44281.599999999999"/>
    <n v="15427.2"/>
    <n v="11363.2"/>
    <n v="1009.792"/>
    <n v="2564.9119999999998"/>
    <x v="0"/>
    <x v="4"/>
    <x v="1"/>
    <n v="0.34838849544731898"/>
    <n v="0.73656917651939402"/>
    <n v="6.5455299730346403E-2"/>
    <n v="8.8865108420163305E-2"/>
    <n v="1.5400399290150799"/>
    <n v="2.5400399290150801"/>
  </r>
  <r>
    <s v="CMP1623"/>
    <s v="Cart to Couch"/>
    <x v="3"/>
    <x v="80"/>
    <d v="2024-11-15T00:00:00"/>
    <n v="43211.199999999997"/>
    <n v="7808"/>
    <n v="5604.8"/>
    <n v="2667.328"/>
    <n v="5037.0720000000001"/>
    <x v="2"/>
    <x v="0"/>
    <x v="1"/>
    <n v="0.18069389417558401"/>
    <n v="0.71782786885245897"/>
    <n v="0.34161475409836101"/>
    <n v="0.47590065658007402"/>
    <n v="0.88843366845022398"/>
    <n v="1.8884336684502201"/>
  </r>
  <r>
    <s v="CMP1624"/>
    <s v="Wishlist Wonders"/>
    <x v="3"/>
    <x v="84"/>
    <d v="2024-06-13T00:00:00"/>
    <n v="4606.3999999999996"/>
    <n v="1963.2"/>
    <n v="1849.6"/>
    <n v="3078.4160000000002"/>
    <n v="6239.4560000000001"/>
    <x v="3"/>
    <x v="4"/>
    <x v="1"/>
    <n v="0.42618964918374402"/>
    <n v="0.94213528932355295"/>
    <n v="1.56806030969845"/>
    <n v="1.6643685121107299"/>
    <n v="1.02683977734003"/>
    <n v="2.02683977734003"/>
  </r>
  <r>
    <s v="CMP1625"/>
    <s v="Deal of the Day"/>
    <x v="3"/>
    <x v="59"/>
    <d v="2024-05-19T00:00:00"/>
    <n v="16584"/>
    <n v="16024"/>
    <n v="2750.4"/>
    <n v="441.36"/>
    <n v="1301.44"/>
    <x v="1"/>
    <x v="0"/>
    <x v="0"/>
    <n v="0.96623251326579795"/>
    <n v="0.17164253619570599"/>
    <n v="2.75436844732901E-2"/>
    <n v="0.16047120418848199"/>
    <n v="1.94870400580025"/>
    <n v="2.9487040058002498"/>
  </r>
  <r>
    <s v="CMP1626"/>
    <s v="Deal of the Day"/>
    <x v="2"/>
    <x v="65"/>
    <d v="2024-03-30T00:00:00"/>
    <n v="14875.2"/>
    <n v="1545.6"/>
    <n v="836.8"/>
    <n v="3307.424"/>
    <n v="5661.0879999999997"/>
    <x v="1"/>
    <x v="3"/>
    <x v="1"/>
    <n v="0.10390448531784401"/>
    <n v="0.54140786749482395"/>
    <n v="2.1398964803312599"/>
    <n v="3.9524665391969398"/>
    <n v="0.71163056203256703"/>
    <n v="1.71163056203257"/>
  </r>
  <r>
    <s v="CMP1627"/>
    <s v="Flash Sale Frenzy"/>
    <x v="0"/>
    <x v="246"/>
    <d v="2024-07-20T00:00:00"/>
    <n v="3896"/>
    <n v="1147.2"/>
    <n v="865.6"/>
    <n v="7206.7520000000004"/>
    <n v="13790.8"/>
    <x v="3"/>
    <x v="2"/>
    <x v="0"/>
    <n v="0.29445585215605802"/>
    <n v="0.75453277545327802"/>
    <n v="6.2820362622036301"/>
    <n v="8.3257301293900206"/>
    <n v="0.91359436261994298"/>
    <n v="1.9135943626199401"/>
  </r>
  <r>
    <s v="CMP1628"/>
    <s v="Seasonal Steals"/>
    <x v="1"/>
    <x v="280"/>
    <d v="2024-07-27T00:00:00"/>
    <n v="1849.6"/>
    <n v="470.4"/>
    <n v="292.8"/>
    <n v="6610.4160000000002"/>
    <n v="13045.616"/>
    <x v="1"/>
    <x v="1"/>
    <x v="1"/>
    <n v="0.254325259515571"/>
    <n v="0.62244897959183698"/>
    <n v="14.0527551020408"/>
    <n v="22.576557377049198"/>
    <n v="0.97349395257423998"/>
    <n v="1.9734939525742401"/>
  </r>
  <r>
    <s v="CMP1629"/>
    <s v="Cart to Couch"/>
    <x v="3"/>
    <x v="100"/>
    <d v="2024-01-20T00:00:00"/>
    <n v="13648"/>
    <n v="6068.8"/>
    <n v="2059.1999999999998"/>
    <n v="7562.7359999999999"/>
    <n v="16255.647999999999"/>
    <x v="1"/>
    <x v="3"/>
    <x v="1"/>
    <n v="0.44466588511137201"/>
    <n v="0.339309253888742"/>
    <n v="1.2461666227260699"/>
    <n v="3.6726573426573399"/>
    <n v="1.1494400968115199"/>
    <n v="2.1494400968115199"/>
  </r>
  <r>
    <s v="CMP1630"/>
    <s v="Flash Sale Frenzy"/>
    <x v="0"/>
    <x v="43"/>
    <d v="2024-02-25T00:00:00"/>
    <n v="11768"/>
    <n v="819.2"/>
    <n v="772.8"/>
    <n v="6288.0479999999998"/>
    <n v="17838.736000000001"/>
    <x v="3"/>
    <x v="0"/>
    <x v="0"/>
    <n v="6.9612508497620698E-2"/>
    <n v="0.943359375"/>
    <n v="7.6758398437500004"/>
    <n v="8.1367080745341607"/>
    <n v="1.83692745348"/>
    <n v="2.83692745348"/>
  </r>
  <r>
    <s v="CMP1631"/>
    <s v="Cart to Couch"/>
    <x v="1"/>
    <x v="85"/>
    <d v="2024-08-15T00:00:00"/>
    <n v="51555.199999999997"/>
    <n v="42675.199999999997"/>
    <n v="307.2"/>
    <n v="7899.92"/>
    <n v="17439.28"/>
    <x v="1"/>
    <x v="1"/>
    <x v="1"/>
    <n v="0.82775743280988101"/>
    <n v="7.19856028794241E-3"/>
    <n v="0.185117351529694"/>
    <n v="25.715885416666701"/>
    <n v="1.2075261521635701"/>
    <n v="2.2075261521635698"/>
  </r>
  <r>
    <s v="CMP1632"/>
    <s v="Flash Sale Frenzy"/>
    <x v="0"/>
    <x v="185"/>
    <d v="2024-10-19T00:00:00"/>
    <n v="58380.800000000003"/>
    <n v="51592"/>
    <n v="44192"/>
    <n v="841.072"/>
    <n v="2580.7040000000002"/>
    <x v="0"/>
    <x v="0"/>
    <x v="1"/>
    <n v="0.88371519403639598"/>
    <n v="0.85656690959838699"/>
    <n v="1.6302372460846599E-2"/>
    <n v="1.9032223026792201E-2"/>
    <n v="2.0683508665132102"/>
    <n v="3.0683508665132102"/>
  </r>
  <r>
    <s v="CMP1633"/>
    <s v="Cart to Couch"/>
    <x v="3"/>
    <x v="138"/>
    <d v="2024-02-13T00:00:00"/>
    <n v="40753.599999999999"/>
    <n v="35568"/>
    <n v="7774.4"/>
    <n v="4587.7280000000001"/>
    <n v="9380.6560000000009"/>
    <x v="1"/>
    <x v="0"/>
    <x v="0"/>
    <n v="0.87275725334694398"/>
    <n v="0.218578497525866"/>
    <n v="0.12898470535312601"/>
    <n v="0.59010701790491904"/>
    <n v="1.0447280222367199"/>
    <n v="2.0447280222367201"/>
  </r>
  <r>
    <s v="CMP1634"/>
    <s v="Wishlist Wonders"/>
    <x v="1"/>
    <x v="152"/>
    <d v="2024-07-20T00:00:00"/>
    <n v="70808"/>
    <n v="17515.2"/>
    <n v="13824"/>
    <n v="5985.2479999999996"/>
    <n v="18409.856"/>
    <x v="4"/>
    <x v="1"/>
    <x v="1"/>
    <n v="0.24736188001355799"/>
    <n v="0.78925733077555504"/>
    <n v="0.34171736548826198"/>
    <n v="0.432960648148148"/>
    <n v="2.0758718769882201"/>
    <n v="3.0758718769882201"/>
  </r>
  <r>
    <s v="CMP1635"/>
    <s v="Deal of the Day"/>
    <x v="3"/>
    <x v="244"/>
    <d v="2024-03-31T00:00:00"/>
    <n v="23430.400000000001"/>
    <n v="17368"/>
    <n v="6318.4"/>
    <n v="2399.8879999999999"/>
    <n v="8436.16"/>
    <x v="3"/>
    <x v="2"/>
    <x v="1"/>
    <n v="0.74125921879267997"/>
    <n v="0.363795485951175"/>
    <n v="0.13817871948410901"/>
    <n v="0.37982527222081502"/>
    <n v="2.5152307107665002"/>
    <n v="3.5152307107665002"/>
  </r>
  <r>
    <s v="CMP1636"/>
    <s v="Shop &amp; Share"/>
    <x v="2"/>
    <x v="182"/>
    <d v="2024-07-20T00:00:00"/>
    <n v="72528"/>
    <n v="606.4"/>
    <n v="603.20000000000005"/>
    <n v="2892.1120000000001"/>
    <n v="4256.0640000000003"/>
    <x v="3"/>
    <x v="3"/>
    <x v="1"/>
    <n v="8.3609088903595797E-3"/>
    <n v="0.99472295514511899"/>
    <n v="4.7693139841688703"/>
    <n v="4.7946153846153798"/>
    <n v="0.47161105793966501"/>
    <n v="1.47161105793966"/>
  </r>
  <r>
    <s v="CMP1637"/>
    <s v="Shop &amp; Share"/>
    <x v="2"/>
    <x v="127"/>
    <d v="2024-09-27T00:00:00"/>
    <n v="24780.799999999999"/>
    <n v="14412.8"/>
    <n v="1958.4"/>
    <n v="4294.4160000000002"/>
    <n v="11571.312"/>
    <x v="0"/>
    <x v="4"/>
    <x v="0"/>
    <n v="0.58161157024793397"/>
    <n v="0.135879218472469"/>
    <n v="0.29795848134991099"/>
    <n v="2.19281862745098"/>
    <n v="1.6945018833759899"/>
    <n v="2.6945018833759899"/>
  </r>
  <r>
    <s v="CMP1638"/>
    <s v="Deal of the Day"/>
    <x v="1"/>
    <x v="76"/>
    <d v="2024-10-23T00:00:00"/>
    <n v="63934.400000000001"/>
    <n v="23892.799999999999"/>
    <n v="16137.6"/>
    <n v="7370.96"/>
    <n v="27317.392"/>
    <x v="3"/>
    <x v="3"/>
    <x v="1"/>
    <n v="0.37370805075202101"/>
    <n v="0.67541686198352602"/>
    <n v="0.30850130583272001"/>
    <n v="0.45675689073963899"/>
    <n v="2.70608333242888"/>
    <n v="3.70608333242888"/>
  </r>
  <r>
    <s v="CMP1639"/>
    <s v="Wishlist Wonders"/>
    <x v="0"/>
    <x v="86"/>
    <d v="2024-09-12T00:00:00"/>
    <n v="63510.400000000001"/>
    <n v="5526.4"/>
    <n v="1097.5999999999999"/>
    <n v="659.82399999999996"/>
    <n v="1631.5360000000001"/>
    <x v="4"/>
    <x v="0"/>
    <x v="1"/>
    <n v="8.7015669874540194E-2"/>
    <n v="0.198610306890562"/>
    <n v="0.119394904458599"/>
    <n v="0.60115160349854202"/>
    <n v="1.4726836247241699"/>
    <n v="2.4726836247241701"/>
  </r>
  <r>
    <s v="CMP1640"/>
    <s v="Seasonal Steals"/>
    <x v="0"/>
    <x v="284"/>
    <d v="2024-09-30T00:00:00"/>
    <n v="73792"/>
    <n v="9720"/>
    <n v="5230.3999999999996"/>
    <n v="7267.0879999999997"/>
    <n v="12432.688"/>
    <x v="3"/>
    <x v="1"/>
    <x v="1"/>
    <n v="0.13172159583694701"/>
    <n v="0.53810699588477395"/>
    <n v="0.74764279835390901"/>
    <n v="1.3893943101866"/>
    <n v="0.71082117073578899"/>
    <n v="1.7108211707357901"/>
  </r>
  <r>
    <s v="CMP1641"/>
    <s v="Flash Sale Frenzy"/>
    <x v="0"/>
    <x v="3"/>
    <d v="2024-04-18T00:00:00"/>
    <n v="3659.2"/>
    <n v="2958.4"/>
    <n v="611.20000000000005"/>
    <n v="3530.72"/>
    <n v="5803.5680000000002"/>
    <x v="1"/>
    <x v="2"/>
    <x v="0"/>
    <n v="0.80848272846523805"/>
    <n v="0.20659816116819901"/>
    <n v="1.19345592212006"/>
    <n v="5.7767015706806299"/>
    <n v="0.64373498889744896"/>
    <n v="1.64373498889745"/>
  </r>
  <r>
    <s v="CMP1642"/>
    <s v="Wishlist Wonders"/>
    <x v="2"/>
    <x v="244"/>
    <d v="2024-04-24T00:00:00"/>
    <n v="26809.599999999999"/>
    <n v="14283.2"/>
    <n v="7848"/>
    <n v="3468.944"/>
    <n v="7830.8"/>
    <x v="2"/>
    <x v="0"/>
    <x v="0"/>
    <n v="0.53276438290761496"/>
    <n v="0.54945670437997096"/>
    <n v="0.24286882491318501"/>
    <n v="0.442016309887869"/>
    <n v="1.25740167612968"/>
    <n v="2.25740167612968"/>
  </r>
  <r>
    <s v="CMP1643"/>
    <s v="Shop &amp; Share"/>
    <x v="0"/>
    <x v="207"/>
    <d v="2024-06-09T00:00:00"/>
    <n v="57822.400000000001"/>
    <n v="32422.400000000001"/>
    <n v="7920"/>
    <n v="4164.4799999999996"/>
    <n v="14372.224"/>
    <x v="1"/>
    <x v="0"/>
    <x v="1"/>
    <n v="0.56072387171753502"/>
    <n v="0.244275562574023"/>
    <n v="0.12844453217528601"/>
    <n v="0.52581818181818196"/>
    <n v="2.45114492085446"/>
    <n v="3.45114492085446"/>
  </r>
  <r>
    <s v="CMP1644"/>
    <s v="Deal of the Day"/>
    <x v="3"/>
    <x v="68"/>
    <d v="2024-04-15T00:00:00"/>
    <n v="33200"/>
    <n v="19238.400000000001"/>
    <n v="8120"/>
    <n v="5820.6719999999996"/>
    <n v="17451.759999999998"/>
    <x v="4"/>
    <x v="3"/>
    <x v="1"/>
    <n v="0.57946987951807205"/>
    <n v="0.42207252162342002"/>
    <n v="0.302554890219561"/>
    <n v="0.71683152709359599"/>
    <n v="1.99823800413423"/>
    <n v="2.99823800413423"/>
  </r>
  <r>
    <s v="CMP1645"/>
    <s v="Cart to Couch"/>
    <x v="3"/>
    <x v="1"/>
    <d v="2024-05-26T00:00:00"/>
    <n v="60504"/>
    <n v="22953.599999999999"/>
    <n v="777.6"/>
    <n v="4389.3599999999997"/>
    <n v="11345.472"/>
    <x v="1"/>
    <x v="3"/>
    <x v="0"/>
    <n v="0.379373264577549"/>
    <n v="3.3877038895859503E-2"/>
    <n v="0.19122751986616501"/>
    <n v="5.6447530864197502"/>
    <n v="1.58476679971568"/>
    <n v="2.58476679971568"/>
  </r>
  <r>
    <s v="CMP1646"/>
    <s v="Deal of the Day"/>
    <x v="2"/>
    <x v="75"/>
    <d v="2024-10-03T00:00:00"/>
    <n v="50891.199999999997"/>
    <n v="23004.799999999999"/>
    <n v="388.8"/>
    <n v="3394.8319999999999"/>
    <n v="5399.0720000000001"/>
    <x v="1"/>
    <x v="3"/>
    <x v="0"/>
    <n v="0.45203885937057903"/>
    <n v="1.6900820698289101E-2"/>
    <n v="0.14757059396299901"/>
    <n v="8.7315637860082305"/>
    <n v="0.590379730130976"/>
    <n v="1.5903797301309801"/>
  </r>
  <r>
    <s v="CMP1647"/>
    <s v="Wishlist Wonders"/>
    <x v="0"/>
    <x v="174"/>
    <d v="2024-06-02T00:00:00"/>
    <n v="57899.199999999997"/>
    <n v="43216"/>
    <n v="30142.400000000001"/>
    <n v="572.72"/>
    <n v="1948.9760000000001"/>
    <x v="1"/>
    <x v="3"/>
    <x v="1"/>
    <n v="0.746400641114212"/>
    <n v="0.69748241392077004"/>
    <n v="1.3252499074416901E-2"/>
    <n v="1.9000477732363699E-2"/>
    <n v="2.4030171811705499"/>
    <n v="3.4030171811705499"/>
  </r>
  <r>
    <s v="CMP1648"/>
    <s v="Deal of the Day"/>
    <x v="3"/>
    <x v="90"/>
    <d v="2024-07-30T00:00:00"/>
    <n v="6188.8"/>
    <n v="2035.2"/>
    <n v="680"/>
    <n v="4120.3999999999996"/>
    <n v="11711.664000000001"/>
    <x v="0"/>
    <x v="0"/>
    <x v="0"/>
    <n v="0.328852119958635"/>
    <n v="0.33411949685534598"/>
    <n v="2.0245676100628902"/>
    <n v="6.0594117647058798"/>
    <n v="1.8423609358314701"/>
    <n v="2.8423609358314699"/>
  </r>
  <r>
    <s v="CMP1649"/>
    <s v="Flash Sale Frenzy"/>
    <x v="1"/>
    <x v="277"/>
    <d v="2024-03-25T00:00:00"/>
    <n v="8193.6"/>
    <n v="3859.2"/>
    <n v="790.4"/>
    <n v="4526.848"/>
    <n v="7256.2079999999996"/>
    <x v="3"/>
    <x v="4"/>
    <x v="1"/>
    <n v="0.471001757469244"/>
    <n v="0.20480928689883901"/>
    <n v="1.17300165837479"/>
    <n v="5.7272874493927102"/>
    <n v="0.60292724650794505"/>
    <n v="1.60292724650795"/>
  </r>
  <r>
    <s v="CMP1650"/>
    <s v="Flash Sale Frenzy"/>
    <x v="2"/>
    <x v="284"/>
    <d v="2024-09-24T00:00:00"/>
    <n v="8508.7999999999993"/>
    <n v="3038.4"/>
    <n v="712"/>
    <n v="5568.0479999999998"/>
    <n v="21454.592000000001"/>
    <x v="1"/>
    <x v="0"/>
    <x v="1"/>
    <n v="0.35708913125235098"/>
    <n v="0.23433385992627701"/>
    <n v="1.83255924170616"/>
    <n v="7.82029213483146"/>
    <n v="2.8531621853834599"/>
    <n v="3.8531621853834599"/>
  </r>
  <r>
    <s v="CMP1651"/>
    <s v="Wishlist Wonders"/>
    <x v="1"/>
    <x v="157"/>
    <d v="2024-10-02T00:00:00"/>
    <n v="43355.199999999997"/>
    <n v="35753.599999999999"/>
    <n v="2587.1999999999998"/>
    <n v="2725.136"/>
    <n v="10298.335999999999"/>
    <x v="2"/>
    <x v="1"/>
    <x v="1"/>
    <n v="0.82466693729933205"/>
    <n v="7.2361943972075501E-2"/>
    <n v="7.6219905128434601E-2"/>
    <n v="1.0533147804576399"/>
    <n v="2.7790172673950901"/>
    <n v="3.7790172673950901"/>
  </r>
  <r>
    <s v="CMP1652"/>
    <s v="Cart to Couch"/>
    <x v="0"/>
    <x v="295"/>
    <d v="2024-08-21T00:00:00"/>
    <n v="23230.400000000001"/>
    <n v="5574.4"/>
    <n v="3468.8"/>
    <n v="4507.7120000000004"/>
    <n v="11429.232"/>
    <x v="4"/>
    <x v="4"/>
    <x v="1"/>
    <n v="0.239961429850541"/>
    <n v="0.62227324913892101"/>
    <n v="0.808645235361653"/>
    <n v="1.2995018450184499"/>
    <n v="1.53548407706615"/>
    <n v="2.5354840770661502"/>
  </r>
  <r>
    <s v="CMP1653"/>
    <s v="Cart to Couch"/>
    <x v="0"/>
    <x v="183"/>
    <d v="2024-07-29T00:00:00"/>
    <n v="50784"/>
    <n v="33188.800000000003"/>
    <n v="7113.6"/>
    <n v="562.24"/>
    <n v="1411.424"/>
    <x v="0"/>
    <x v="2"/>
    <x v="0"/>
    <n v="0.65352867044738505"/>
    <n v="0.21433736682254301"/>
    <n v="1.6940654678686801E-2"/>
    <n v="7.9037336932073807E-2"/>
    <n v="1.51035856573705"/>
    <n v="2.5103585657370502"/>
  </r>
  <r>
    <s v="CMP1654"/>
    <s v="Deal of the Day"/>
    <x v="2"/>
    <x v="265"/>
    <d v="2024-09-11T00:00:00"/>
    <n v="5099.2"/>
    <n v="1105.5999999999999"/>
    <n v="236.8"/>
    <n v="4842.3519999999999"/>
    <n v="18081.135999999999"/>
    <x v="0"/>
    <x v="4"/>
    <x v="0"/>
    <n v="0.21681832444304999"/>
    <n v="0.21418234442836501"/>
    <n v="4.3798408104196804"/>
    <n v="20.4491216216216"/>
    <n v="2.7339573826933701"/>
    <n v="3.7339573826933701"/>
  </r>
  <r>
    <s v="CMP1655"/>
    <s v="Flash Sale Frenzy"/>
    <x v="2"/>
    <x v="193"/>
    <d v="2024-06-04T00:00:00"/>
    <n v="62105.599999999999"/>
    <n v="52003.199999999997"/>
    <n v="7804.8"/>
    <n v="5151.7439999999997"/>
    <n v="8544.4480000000003"/>
    <x v="3"/>
    <x v="1"/>
    <x v="1"/>
    <n v="0.83733511953833495"/>
    <n v="0.150083071810966"/>
    <n v="9.9065903636699301E-2"/>
    <n v="0.66007380073800703"/>
    <n v="0.65855446233353199"/>
    <n v="1.65855446233353"/>
  </r>
  <r>
    <s v="CMP1656"/>
    <s v="Deal of the Day"/>
    <x v="2"/>
    <x v="144"/>
    <d v="2024-04-14T00:00:00"/>
    <n v="63264"/>
    <n v="38686.400000000001"/>
    <n v="14379.2"/>
    <n v="1934.816"/>
    <n v="7650.9759999999997"/>
    <x v="0"/>
    <x v="2"/>
    <x v="0"/>
    <n v="0.61150733434496696"/>
    <n v="0.371686173952604"/>
    <n v="5.00128210430539E-2"/>
    <n v="0.13455658172916399"/>
    <n v="2.9543687875229501"/>
    <n v="3.9543687875229501"/>
  </r>
  <r>
    <s v="CMP1657"/>
    <s v="Seasonal Steals"/>
    <x v="0"/>
    <x v="235"/>
    <d v="2024-04-24T00:00:00"/>
    <n v="62664"/>
    <n v="38736"/>
    <n v="26337.599999999999"/>
    <n v="4046.8960000000002"/>
    <n v="12320"/>
    <x v="0"/>
    <x v="4"/>
    <x v="1"/>
    <n v="0.618153963998468"/>
    <n v="0.679925650557621"/>
    <n v="0.104473771168938"/>
    <n v="0.15365469898548101"/>
    <n v="2.0443085268314301"/>
    <n v="3.0443085268314301"/>
  </r>
  <r>
    <s v="CMP1658"/>
    <s v="Seasonal Steals"/>
    <x v="1"/>
    <x v="21"/>
    <d v="2024-07-06T00:00:00"/>
    <n v="53334.400000000001"/>
    <n v="23491.200000000001"/>
    <n v="11113.6"/>
    <n v="7099.0879999999997"/>
    <n v="14480.944"/>
    <x v="1"/>
    <x v="1"/>
    <x v="1"/>
    <n v="0.44045119097618002"/>
    <n v="0.47309630840484901"/>
    <n v="0.30220201607410402"/>
    <n v="0.63877483443708605"/>
    <n v="1.0398315952696999"/>
    <n v="2.0398315952697001"/>
  </r>
  <r>
    <s v="CMP1659"/>
    <s v="Wishlist Wonders"/>
    <x v="3"/>
    <x v="242"/>
    <d v="2024-02-20T00:00:00"/>
    <n v="26696"/>
    <n v="4764.8"/>
    <n v="3472"/>
    <n v="2321.2959999999998"/>
    <n v="3509.2"/>
    <x v="4"/>
    <x v="4"/>
    <x v="1"/>
    <n v="0.17848366796523801"/>
    <n v="0.728676964405641"/>
    <n v="0.48717595701813299"/>
    <n v="0.66857603686635902"/>
    <n v="0.51174171669618995"/>
    <n v="1.51174171669619"/>
  </r>
  <r>
    <s v="CMP1660"/>
    <s v="Deal of the Day"/>
    <x v="1"/>
    <x v="140"/>
    <d v="2024-09-15T00:00:00"/>
    <n v="45960"/>
    <n v="45660.800000000003"/>
    <n v="28369.599999999999"/>
    <n v="1821.0719999999999"/>
    <n v="3335.4720000000002"/>
    <x v="3"/>
    <x v="3"/>
    <x v="1"/>
    <n v="0.99348999129677995"/>
    <n v="0.62131193496390802"/>
    <n v="3.9882612656808501E-2"/>
    <n v="6.4190964976594697E-2"/>
    <n v="0.83159809167347598"/>
    <n v="1.83159809167348"/>
  </r>
  <r>
    <s v="CMP1661"/>
    <s v="Wishlist Wonders"/>
    <x v="3"/>
    <x v="96"/>
    <d v="2024-02-22T00:00:00"/>
    <n v="70806.399999999994"/>
    <n v="26464"/>
    <n v="17017.599999999999"/>
    <n v="1201.04"/>
    <n v="2226.16"/>
    <x v="1"/>
    <x v="4"/>
    <x v="1"/>
    <n v="0.37375152528584998"/>
    <n v="0.64304715840386895"/>
    <n v="4.5383917775090703E-2"/>
    <n v="7.0576344490409906E-2"/>
    <n v="0.85352694331579304"/>
    <n v="1.8535269433157899"/>
  </r>
  <r>
    <s v="CMP1662"/>
    <s v="Cart to Couch"/>
    <x v="0"/>
    <x v="21"/>
    <d v="2024-07-09T00:00:00"/>
    <n v="63123.199999999997"/>
    <n v="21532.799999999999"/>
    <n v="4040"/>
    <n v="1258.9280000000001"/>
    <n v="4186.7039999999997"/>
    <x v="2"/>
    <x v="0"/>
    <x v="1"/>
    <n v="0.34112339044915302"/>
    <n v="0.18762074602466899"/>
    <n v="5.8465596671124997E-2"/>
    <n v="0.311615841584158"/>
    <n v="2.3256103605607299"/>
    <n v="3.3256103605607299"/>
  </r>
  <r>
    <s v="CMP1663"/>
    <s v="Cart to Couch"/>
    <x v="0"/>
    <x v="122"/>
    <d v="2024-02-24T00:00:00"/>
    <n v="29532.799999999999"/>
    <n v="27443.200000000001"/>
    <n v="21094.400000000001"/>
    <n v="7202.2879999999996"/>
    <n v="24915.664000000001"/>
    <x v="4"/>
    <x v="3"/>
    <x v="1"/>
    <n v="0.92924477191461696"/>
    <n v="0.76865671641791"/>
    <n v="0.26244344682835802"/>
    <n v="0.34143128033980602"/>
    <n v="2.4594095654047701"/>
    <n v="3.4594095654047701"/>
  </r>
  <r>
    <s v="CMP1664"/>
    <s v="Wishlist Wonders"/>
    <x v="3"/>
    <x v="30"/>
    <d v="2024-08-11T00:00:00"/>
    <n v="3960"/>
    <n v="1888"/>
    <n v="1064"/>
    <n v="5894.6719999999996"/>
    <n v="13733.632"/>
    <x v="1"/>
    <x v="2"/>
    <x v="1"/>
    <n v="0.47676767676767701"/>
    <n v="0.56355932203389802"/>
    <n v="3.12217796610169"/>
    <n v="5.5401052631578898"/>
    <n v="1.32983819964877"/>
    <n v="2.32983819964877"/>
  </r>
  <r>
    <s v="CMP1665"/>
    <s v="Cart to Couch"/>
    <x v="0"/>
    <x v="25"/>
    <d v="2024-10-31T00:00:00"/>
    <n v="4976"/>
    <n v="636.79999999999995"/>
    <n v="619.20000000000005"/>
    <n v="6980.8"/>
    <n v="25840.400000000001"/>
    <x v="4"/>
    <x v="1"/>
    <x v="1"/>
    <n v="0.12797427652733101"/>
    <n v="0.97236180904522596"/>
    <n v="10.962311557788899"/>
    <n v="11.273901808785499"/>
    <n v="2.70163878065551"/>
    <n v="3.70163878065551"/>
  </r>
  <r>
    <s v="CMP1666"/>
    <s v="Deal of the Day"/>
    <x v="3"/>
    <x v="79"/>
    <d v="2024-07-10T00:00:00"/>
    <n v="47222.400000000001"/>
    <n v="35489.599999999999"/>
    <n v="3164.8"/>
    <n v="6799.0879999999997"/>
    <n v="18652.047999999999"/>
    <x v="1"/>
    <x v="3"/>
    <x v="1"/>
    <n v="0.75154164125499801"/>
    <n v="8.9175420404851005E-2"/>
    <n v="0.19157973039989201"/>
    <n v="2.1483468149646101"/>
    <n v="1.7433161624029601"/>
    <n v="2.7433161624029601"/>
  </r>
  <r>
    <s v="CMP1667"/>
    <s v="Shop &amp; Share"/>
    <x v="3"/>
    <x v="263"/>
    <d v="2024-05-14T00:00:00"/>
    <n v="74180.800000000003"/>
    <n v="55739.199999999997"/>
    <n v="38875.199999999997"/>
    <n v="821.85599999999999"/>
    <n v="2515.2800000000002"/>
    <x v="4"/>
    <x v="3"/>
    <x v="0"/>
    <n v="0.75139658779630303"/>
    <n v="0.69744811550937202"/>
    <n v="1.47446680253753E-2"/>
    <n v="2.11408815903198E-2"/>
    <n v="2.0604874819919798"/>
    <n v="3.0604874819919798"/>
  </r>
  <r>
    <s v="CMP1668"/>
    <s v="Shop &amp; Share"/>
    <x v="0"/>
    <x v="45"/>
    <d v="2024-06-23T00:00:00"/>
    <n v="78220.800000000003"/>
    <n v="47001.599999999999"/>
    <n v="32507.200000000001"/>
    <n v="6607.3280000000004"/>
    <n v="8348.848"/>
    <x v="4"/>
    <x v="4"/>
    <x v="1"/>
    <n v="0.60088365243004405"/>
    <n v="0.69161900871459703"/>
    <n v="0.140576661220044"/>
    <n v="0.20325737067480401"/>
    <n v="0.26357401963395799"/>
    <n v="1.26357401963396"/>
  </r>
  <r>
    <s v="CMP1669"/>
    <s v="Wishlist Wonders"/>
    <x v="3"/>
    <x v="52"/>
    <d v="2024-02-04T00:00:00"/>
    <n v="34596.800000000003"/>
    <n v="15654.4"/>
    <n v="7811.2"/>
    <n v="2911.4079999999999"/>
    <n v="8636.5120000000006"/>
    <x v="2"/>
    <x v="3"/>
    <x v="1"/>
    <n v="0.45248115432641201"/>
    <n v="0.49897792313981998"/>
    <n v="0.18598017170891301"/>
    <n v="0.37272224498156498"/>
    <n v="1.9664382319482501"/>
    <n v="2.9664382319482501"/>
  </r>
  <r>
    <s v="CMP1670"/>
    <s v="Cart to Couch"/>
    <x v="3"/>
    <x v="76"/>
    <d v="2024-10-14T00:00:00"/>
    <n v="10908.8"/>
    <n v="174.4"/>
    <n v="128"/>
    <n v="4955.12"/>
    <n v="14317.632"/>
    <x v="2"/>
    <x v="2"/>
    <x v="1"/>
    <n v="1.5987092989146402E-2"/>
    <n v="0.73394495412843996"/>
    <n v="28.412385321100899"/>
    <n v="38.711874999999999"/>
    <n v="1.88946221282229"/>
    <n v="2.88946221282229"/>
  </r>
  <r>
    <s v="CMP1671"/>
    <s v="Flash Sale Frenzy"/>
    <x v="2"/>
    <x v="205"/>
    <d v="2024-07-09T00:00:00"/>
    <n v="12340.8"/>
    <n v="9204.7999999999993"/>
    <n v="5411.2"/>
    <n v="4546.8959999999997"/>
    <n v="10467.696"/>
    <x v="3"/>
    <x v="4"/>
    <x v="0"/>
    <n v="0.74588357318812404"/>
    <n v="0.58786719972188395"/>
    <n v="0.49397010255518897"/>
    <n v="0.84027498521584898"/>
    <n v="1.3021630580510299"/>
    <n v="2.3021630580510299"/>
  </r>
  <r>
    <s v="CMP1672"/>
    <s v="Cart to Couch"/>
    <x v="3"/>
    <x v="43"/>
    <d v="2024-03-03T00:00:00"/>
    <n v="6198.4"/>
    <n v="6150.4"/>
    <n v="830.4"/>
    <n v="4886.0479999999998"/>
    <n v="18373.008000000002"/>
    <x v="2"/>
    <x v="1"/>
    <x v="1"/>
    <n v="0.99225606608156902"/>
    <n v="0.13501560874089499"/>
    <n v="0.79442767950051996"/>
    <n v="5.8839691714836198"/>
    <n v="2.7603003490755702"/>
    <n v="3.7603003490755702"/>
  </r>
  <r>
    <s v="CMP1673"/>
    <s v="Cart to Couch"/>
    <x v="3"/>
    <x v="297"/>
    <d v="2024-05-02T00:00:00"/>
    <n v="69540.800000000003"/>
    <n v="68652.800000000003"/>
    <n v="43988.800000000003"/>
    <n v="3202.08"/>
    <n v="5486.2079999999996"/>
    <x v="2"/>
    <x v="0"/>
    <x v="0"/>
    <n v="0.98723051791178695"/>
    <n v="0.64074298499114402"/>
    <n v="4.6641651906404402E-2"/>
    <n v="7.27930746008075E-2"/>
    <n v="0.71332633788037803"/>
    <n v="1.71332633788038"/>
  </r>
  <r>
    <s v="CMP1674"/>
    <s v="Wishlist Wonders"/>
    <x v="3"/>
    <x v="290"/>
    <d v="2024-03-28T00:00:00"/>
    <n v="38608"/>
    <n v="36233.599999999999"/>
    <n v="35643.199999999997"/>
    <n v="4480.576"/>
    <n v="10770.784"/>
    <x v="1"/>
    <x v="2"/>
    <x v="1"/>
    <n v="0.93849979278905904"/>
    <n v="0.98370573169654696"/>
    <n v="0.123658041155171"/>
    <n v="0.125706333886969"/>
    <n v="1.40388378637032"/>
    <n v="2.40388378637032"/>
  </r>
  <r>
    <s v="CMP1675"/>
    <s v="Shop &amp; Share"/>
    <x v="3"/>
    <x v="115"/>
    <d v="2024-07-20T00:00:00"/>
    <n v="48003.199999999997"/>
    <n v="38550.400000000001"/>
    <n v="32363.200000000001"/>
    <n v="757.26400000000001"/>
    <n v="2365.2159999999999"/>
    <x v="2"/>
    <x v="2"/>
    <x v="1"/>
    <n v="0.80307979468035495"/>
    <n v="0.83950361085747505"/>
    <n v="1.96434797044907E-2"/>
    <n v="2.3398922232659301E-2"/>
    <n v="2.1233704494073402"/>
    <n v="3.1233704494073402"/>
  </r>
  <r>
    <s v="CMP1676"/>
    <s v="Deal of the Day"/>
    <x v="0"/>
    <x v="229"/>
    <d v="2024-05-16T00:00:00"/>
    <n v="79273.600000000006"/>
    <n v="24907.200000000001"/>
    <n v="12739.2"/>
    <n v="6696.2879999999996"/>
    <n v="17435.84"/>
    <x v="2"/>
    <x v="0"/>
    <x v="0"/>
    <n v="0.31419287127114198"/>
    <n v="0.511466563885142"/>
    <n v="0.26884948930429797"/>
    <n v="0.52564431047475502"/>
    <n v="1.60380676577829"/>
    <n v="2.6038067657782902"/>
  </r>
  <r>
    <s v="CMP1677"/>
    <s v="Cart to Couch"/>
    <x v="0"/>
    <x v="239"/>
    <d v="2024-08-02T00:00:00"/>
    <n v="47734.400000000001"/>
    <n v="25070.400000000001"/>
    <n v="4174.3999999999996"/>
    <n v="1078.432"/>
    <n v="3552.8159999999998"/>
    <x v="0"/>
    <x v="0"/>
    <x v="1"/>
    <n v="0.52520614064490201"/>
    <n v="0.16650711596145301"/>
    <n v="4.3016146531367698E-2"/>
    <n v="0.25834419317746299"/>
    <n v="2.2944274650603802"/>
    <n v="3.2944274650603802"/>
  </r>
  <r>
    <s v="CMP1678"/>
    <s v="Wishlist Wonders"/>
    <x v="2"/>
    <x v="221"/>
    <d v="2024-03-18T00:00:00"/>
    <n v="50265.599999999999"/>
    <n v="5716.8"/>
    <n v="916.8"/>
    <n v="4500.9279999999999"/>
    <n v="13437.904"/>
    <x v="0"/>
    <x v="2"/>
    <x v="1"/>
    <n v="0.113731856378915"/>
    <n v="0.16036943744752299"/>
    <n v="0.78731598096837396"/>
    <n v="4.9093891797556699"/>
    <n v="1.98558519487537"/>
    <n v="2.98558519487537"/>
  </r>
  <r>
    <s v="CMP1679"/>
    <s v="Wishlist Wonders"/>
    <x v="2"/>
    <x v="74"/>
    <d v="2024-07-09T00:00:00"/>
    <n v="41360"/>
    <n v="6363.2"/>
    <n v="3913.6"/>
    <n v="7174"/>
    <n v="21952.784"/>
    <x v="2"/>
    <x v="1"/>
    <x v="1"/>
    <n v="0.15384912959381"/>
    <n v="0.61503645964294695"/>
    <n v="1.12742016595424"/>
    <n v="1.83309484873262"/>
    <n v="2.0600479509339298"/>
    <n v="3.0600479509339298"/>
  </r>
  <r>
    <s v="CMP1680"/>
    <s v="Flash Sale Frenzy"/>
    <x v="3"/>
    <x v="155"/>
    <d v="2024-05-25T00:00:00"/>
    <n v="67382.399999999994"/>
    <n v="59096"/>
    <n v="56532.800000000003"/>
    <n v="7973.1040000000003"/>
    <n v="27155.072"/>
    <x v="3"/>
    <x v="3"/>
    <x v="1"/>
    <n v="0.87702426746450102"/>
    <n v="0.95662650602409605"/>
    <n v="0.13491782861784199"/>
    <n v="0.14103500976424299"/>
    <n v="2.4058344153042501"/>
    <n v="3.4058344153042501"/>
  </r>
  <r>
    <s v="CMP1681"/>
    <s v="Seasonal Steals"/>
    <x v="2"/>
    <x v="49"/>
    <d v="2024-03-05T00:00:00"/>
    <n v="24523.200000000001"/>
    <n v="16720"/>
    <n v="1249.5999999999999"/>
    <n v="6455.1360000000004"/>
    <n v="15002.016"/>
    <x v="3"/>
    <x v="4"/>
    <x v="1"/>
    <n v="0.68180335355907895"/>
    <n v="7.4736842105263199E-2"/>
    <n v="0.38607272727272701"/>
    <n v="5.1657618437900101"/>
    <n v="1.3240433663984801"/>
    <n v="2.3240433663984801"/>
  </r>
  <r>
    <s v="CMP1682"/>
    <s v="Wishlist Wonders"/>
    <x v="1"/>
    <x v="250"/>
    <d v="2024-06-30T00:00:00"/>
    <n v="68619.199999999997"/>
    <n v="53718.400000000001"/>
    <n v="52259.199999999997"/>
    <n v="4346.9759999999997"/>
    <n v="15301.888000000001"/>
    <x v="0"/>
    <x v="1"/>
    <x v="1"/>
    <n v="0.78284794926201395"/>
    <n v="0.97283612319056401"/>
    <n v="8.0921546434741198E-2"/>
    <n v="8.3181066682995505E-2"/>
    <n v="2.5201224943501002"/>
    <n v="3.5201224943501002"/>
  </r>
  <r>
    <s v="CMP1683"/>
    <s v="Seasonal Steals"/>
    <x v="1"/>
    <x v="95"/>
    <d v="2024-01-29T00:00:00"/>
    <n v="31768"/>
    <n v="11419.2"/>
    <n v="10081.6"/>
    <n v="2617.8560000000002"/>
    <n v="7838.5919999999996"/>
    <x v="4"/>
    <x v="1"/>
    <x v="1"/>
    <n v="0.359456056408965"/>
    <n v="0.88286394843771898"/>
    <n v="0.22925038531595901"/>
    <n v="0.25966671956832199"/>
    <n v="1.99427928808918"/>
    <n v="2.9942792880891802"/>
  </r>
  <r>
    <s v="CMP1684"/>
    <s v="Seasonal Steals"/>
    <x v="2"/>
    <x v="22"/>
    <d v="2024-10-02T00:00:00"/>
    <n v="72550.399999999994"/>
    <n v="35017.599999999999"/>
    <n v="11256"/>
    <n v="1187.088"/>
    <n v="3198"/>
    <x v="1"/>
    <x v="0"/>
    <x v="0"/>
    <n v="0.482665843330981"/>
    <n v="0.32143836242346702"/>
    <n v="3.3899753266928602E-2"/>
    <n v="0.105462686567164"/>
    <n v="1.6939873033844199"/>
    <n v="2.6939873033844202"/>
  </r>
  <r>
    <s v="CMP1685"/>
    <s v="Wishlist Wonders"/>
    <x v="3"/>
    <x v="25"/>
    <d v="2024-11-19T00:00:00"/>
    <n v="17844.8"/>
    <n v="289.60000000000002"/>
    <n v="73.599999999999994"/>
    <n v="6203.616"/>
    <n v="13991.168"/>
    <x v="2"/>
    <x v="4"/>
    <x v="0"/>
    <n v="1.62288173585582E-2"/>
    <n v="0.25414364640884002"/>
    <n v="21.421325966850802"/>
    <n v="84.288260869565207"/>
    <n v="1.2553246364700801"/>
    <n v="2.2553246364700801"/>
  </r>
  <r>
    <s v="CMP1686"/>
    <s v="Wishlist Wonders"/>
    <x v="0"/>
    <x v="266"/>
    <d v="2024-05-12T00:00:00"/>
    <n v="10296"/>
    <n v="4081.6"/>
    <n v="2001.6"/>
    <n v="4680.4799999999996"/>
    <n v="8753.5679999999993"/>
    <x v="1"/>
    <x v="1"/>
    <x v="1"/>
    <n v="0.39642579642579601"/>
    <n v="0.49039592316738501"/>
    <n v="1.14672677381419"/>
    <n v="2.3383693045563501"/>
    <n v="0.87022869449287299"/>
    <n v="1.8702286944928701"/>
  </r>
  <r>
    <s v="CMP1687"/>
    <s v="Deal of the Day"/>
    <x v="3"/>
    <x v="291"/>
    <d v="2024-03-09T00:00:00"/>
    <n v="19830.400000000001"/>
    <n v="9244.7999999999993"/>
    <n v="779.2"/>
    <n v="6888.0159999999996"/>
    <n v="15418.784"/>
    <x v="0"/>
    <x v="0"/>
    <x v="0"/>
    <n v="0.46619331934807201"/>
    <n v="8.4285219799238503E-2"/>
    <n v="0.74506922810661103"/>
    <n v="8.8398562628336705"/>
    <n v="1.2384942195256201"/>
    <n v="2.2384942195256201"/>
  </r>
  <r>
    <s v="CMP1688"/>
    <s v="Flash Sale Frenzy"/>
    <x v="2"/>
    <x v="229"/>
    <d v="2024-06-01T00:00:00"/>
    <n v="67467.199999999997"/>
    <n v="47897.599999999999"/>
    <n v="23144"/>
    <n v="6584.0479999999998"/>
    <n v="10424.272000000001"/>
    <x v="3"/>
    <x v="2"/>
    <x v="1"/>
    <n v="0.70993905186520301"/>
    <n v="0.48319748797434497"/>
    <n v="0.13746091662212701"/>
    <n v="0.28448185274801202"/>
    <n v="0.58326184742274101"/>
    <n v="1.58326184742274"/>
  </r>
  <r>
    <s v="CMP1689"/>
    <s v="Flash Sale Frenzy"/>
    <x v="3"/>
    <x v="134"/>
    <d v="2024-07-12T00:00:00"/>
    <n v="14505.6"/>
    <n v="4030.4"/>
    <n v="2606.4"/>
    <n v="538.89599999999996"/>
    <n v="1136.7840000000001"/>
    <x v="1"/>
    <x v="0"/>
    <x v="1"/>
    <n v="0.27785131259651402"/>
    <n v="0.64668519253672097"/>
    <n v="0.133707820563716"/>
    <n v="0.206758747697974"/>
    <n v="1.1094682461922201"/>
    <n v="2.1094682461922201"/>
  </r>
  <r>
    <s v="CMP1690"/>
    <s v="Shop &amp; Share"/>
    <x v="3"/>
    <x v="85"/>
    <d v="2024-07-22T00:00:00"/>
    <n v="6996.8"/>
    <n v="939.2"/>
    <n v="606.4"/>
    <n v="4608.7520000000004"/>
    <n v="12113.056"/>
    <x v="2"/>
    <x v="1"/>
    <x v="1"/>
    <n v="0.134232792133547"/>
    <n v="0.64565587734241903"/>
    <n v="4.9071039182282803"/>
    <n v="7.6001846965699196"/>
    <n v="1.6282724694233901"/>
    <n v="2.6282724694233899"/>
  </r>
  <r>
    <s v="CMP1691"/>
    <s v="Shop &amp; Share"/>
    <x v="3"/>
    <x v="31"/>
    <d v="2024-11-07T00:00:00"/>
    <n v="45027.199999999997"/>
    <n v="19446.400000000001"/>
    <n v="8491.2000000000007"/>
    <n v="6607.616"/>
    <n v="19835.968000000001"/>
    <x v="4"/>
    <x v="0"/>
    <x v="1"/>
    <n v="0.43188117404590998"/>
    <n v="0.43664637156491698"/>
    <n v="0.33978607865723198"/>
    <n v="0.77817222536272801"/>
    <n v="2.0019855875402"/>
    <n v="3.0019855875402"/>
  </r>
  <r>
    <s v="CMP1692"/>
    <s v="Deal of the Day"/>
    <x v="1"/>
    <x v="17"/>
    <d v="2024-04-19T00:00:00"/>
    <n v="72072"/>
    <n v="24825.599999999999"/>
    <n v="23646.400000000001"/>
    <n v="4597.0559999999996"/>
    <n v="14937.712"/>
    <x v="4"/>
    <x v="3"/>
    <x v="0"/>
    <n v="0.34445554445554399"/>
    <n v="0.95250064449600402"/>
    <n v="0.18517401392111399"/>
    <n v="0.194408282021788"/>
    <n v="2.2494083169750398"/>
    <n v="3.2494083169750398"/>
  </r>
  <r>
    <s v="CMP1693"/>
    <s v="Deal of the Day"/>
    <x v="2"/>
    <x v="207"/>
    <d v="2024-06-16T00:00:00"/>
    <n v="28408"/>
    <n v="4552"/>
    <n v="1675.2"/>
    <n v="4290.3680000000004"/>
    <n v="13784.976000000001"/>
    <x v="1"/>
    <x v="2"/>
    <x v="1"/>
    <n v="0.16023655308363799"/>
    <n v="0.36801405975395401"/>
    <n v="0.94252372583479804"/>
    <n v="2.5611079274116499"/>
    <n v="2.21300550442293"/>
    <n v="3.21300550442293"/>
  </r>
  <r>
    <s v="CMP1694"/>
    <s v="Deal of the Day"/>
    <x v="1"/>
    <x v="252"/>
    <d v="2024-07-27T00:00:00"/>
    <n v="4811.2"/>
    <n v="950.4"/>
    <n v="265.60000000000002"/>
    <n v="3125.0079999999998"/>
    <n v="8670.0959999999995"/>
    <x v="3"/>
    <x v="2"/>
    <x v="1"/>
    <n v="0.19753907549052199"/>
    <n v="0.27946127946127902"/>
    <n v="3.2880976430976401"/>
    <n v="11.765843373494"/>
    <n v="1.7744236174755399"/>
    <n v="2.7744236174755401"/>
  </r>
  <r>
    <s v="CMP1695"/>
    <s v="Seasonal Steals"/>
    <x v="1"/>
    <x v="278"/>
    <d v="2024-03-26T00:00:00"/>
    <n v="60635.199999999997"/>
    <n v="2070.4"/>
    <n v="1176"/>
    <n v="6523.12"/>
    <n v="15655.312"/>
    <x v="4"/>
    <x v="3"/>
    <x v="1"/>
    <n v="3.4145182996015502E-2"/>
    <n v="0.56800618238021605"/>
    <n v="3.15065687789799"/>
    <n v="5.5468707482993196"/>
    <n v="1.3999730190460999"/>
    <n v="2.3999730190460999"/>
  </r>
  <r>
    <s v="CMP1696"/>
    <s v="Deal of the Day"/>
    <x v="1"/>
    <x v="105"/>
    <d v="2024-10-04T00:00:00"/>
    <n v="34560"/>
    <n v="17140.8"/>
    <n v="3246.4"/>
    <n v="2984.0639999999999"/>
    <n v="7881.7280000000001"/>
    <x v="1"/>
    <x v="2"/>
    <x v="0"/>
    <n v="0.49597222222222198"/>
    <n v="0.18939606086063701"/>
    <n v="0.17409129095491499"/>
    <n v="0.91919172005914196"/>
    <n v="1.6412731094239299"/>
    <n v="2.6412731094239299"/>
  </r>
  <r>
    <s v="CMP1697"/>
    <s v="Wishlist Wonders"/>
    <x v="3"/>
    <x v="295"/>
    <d v="2024-09-04T00:00:00"/>
    <n v="51342.400000000001"/>
    <n v="34262.400000000001"/>
    <n v="34000"/>
    <n v="7923.2960000000003"/>
    <n v="26921.248"/>
    <x v="3"/>
    <x v="1"/>
    <x v="1"/>
    <n v="0.66733148430926503"/>
    <n v="0.99234145885869096"/>
    <n v="0.23125338563556599"/>
    <n v="0.23303811764705901"/>
    <n v="2.3977334684959399"/>
    <n v="3.3977334684959399"/>
  </r>
  <r>
    <s v="CMP1698"/>
    <s v="Wishlist Wonders"/>
    <x v="2"/>
    <x v="9"/>
    <d v="2024-06-14T00:00:00"/>
    <n v="52526.400000000001"/>
    <n v="34547.199999999997"/>
    <n v="33584"/>
    <n v="2633.0079999999998"/>
    <n v="5851.68"/>
    <x v="2"/>
    <x v="4"/>
    <x v="1"/>
    <n v="0.65771117000213197"/>
    <n v="0.97211930344572095"/>
    <n v="7.6214801778436495E-2"/>
    <n v="7.8400666984278194E-2"/>
    <n v="1.2224315307815199"/>
    <n v="2.2224315307815199"/>
  </r>
  <r>
    <s v="CMP1699"/>
    <s v="Cart to Couch"/>
    <x v="3"/>
    <x v="186"/>
    <d v="2024-05-27T00:00:00"/>
    <n v="36873.599999999999"/>
    <n v="10601.6"/>
    <n v="10264"/>
    <n v="3055.7280000000001"/>
    <n v="9845.7279999999992"/>
    <x v="1"/>
    <x v="2"/>
    <x v="0"/>
    <n v="0.28751193265642599"/>
    <n v="0.96815575007545995"/>
    <n v="0.28823271958949598"/>
    <n v="0.29771317225253302"/>
    <n v="2.2220564133980498"/>
    <n v="3.2220564133980498"/>
  </r>
  <r>
    <s v="CMP1700"/>
    <s v="Cart to Couch"/>
    <x v="1"/>
    <x v="160"/>
    <d v="2024-08-15T00:00:00"/>
    <n v="18208"/>
    <n v="15894.4"/>
    <n v="11665.6"/>
    <n v="3142.6239999999998"/>
    <n v="7044.3680000000004"/>
    <x v="2"/>
    <x v="2"/>
    <x v="1"/>
    <n v="0.87293497363796102"/>
    <n v="0.733944030601973"/>
    <n v="0.19771894503724599"/>
    <n v="0.26939240159100297"/>
    <n v="1.24155610088894"/>
    <n v="2.24155610088894"/>
  </r>
  <r>
    <s v="CMP1701"/>
    <s v="Cart to Couch"/>
    <x v="1"/>
    <x v="189"/>
    <d v="2024-10-08T00:00:00"/>
    <n v="2817.6"/>
    <n v="2332.8000000000002"/>
    <n v="1025.5999999999999"/>
    <n v="1368.2560000000001"/>
    <n v="3207.9360000000001"/>
    <x v="3"/>
    <x v="1"/>
    <x v="1"/>
    <n v="0.82793867120954001"/>
    <n v="0.43964334705075397"/>
    <n v="0.58652949245541797"/>
    <n v="1.33410296411856"/>
    <n v="1.34454371111839"/>
    <n v="2.3445437111183902"/>
  </r>
  <r>
    <s v="CMP1702"/>
    <s v="Cart to Couch"/>
    <x v="2"/>
    <x v="68"/>
    <d v="2024-04-15T00:00:00"/>
    <n v="75132.800000000003"/>
    <n v="38001.599999999999"/>
    <n v="19924.8"/>
    <n v="4191.3119999999999"/>
    <n v="12081.183999999999"/>
    <x v="1"/>
    <x v="2"/>
    <x v="1"/>
    <n v="0.50579241023893695"/>
    <n v="0.52431476569407598"/>
    <n v="0.11029304029304"/>
    <n v="0.21035654059262801"/>
    <n v="1.8824349034383501"/>
    <n v="2.8824349034383498"/>
  </r>
  <r>
    <s v="CMP1703"/>
    <s v="Flash Sale Frenzy"/>
    <x v="3"/>
    <x v="177"/>
    <d v="2024-07-02T00:00:00"/>
    <n v="1870.4"/>
    <n v="731.2"/>
    <n v="464"/>
    <n v="4602.72"/>
    <n v="13721.376"/>
    <x v="2"/>
    <x v="3"/>
    <x v="1"/>
    <n v="0.39093242087254099"/>
    <n v="0.63457330415754898"/>
    <n v="6.2947483588621402"/>
    <n v="9.9196551724137905"/>
    <n v="1.98114506205027"/>
    <n v="2.98114506205027"/>
  </r>
  <r>
    <s v="CMP1704"/>
    <s v="Shop &amp; Share"/>
    <x v="2"/>
    <x v="18"/>
    <d v="2024-08-04T00:00:00"/>
    <n v="58686.400000000001"/>
    <n v="28105.599999999999"/>
    <n v="19235.2"/>
    <n v="817.05600000000004"/>
    <n v="1472.72"/>
    <x v="0"/>
    <x v="4"/>
    <x v="0"/>
    <n v="0.47891163881239901"/>
    <n v="0.68439029944210406"/>
    <n v="2.9070932483206201E-2"/>
    <n v="4.2477125270337701E-2"/>
    <n v="0.802471311635922"/>
    <n v="1.8024713116359199"/>
  </r>
  <r>
    <s v="CMP1705"/>
    <s v="Deal of the Day"/>
    <x v="0"/>
    <x v="55"/>
    <d v="2024-08-24T00:00:00"/>
    <n v="43704"/>
    <n v="19001.599999999999"/>
    <n v="10046.4"/>
    <n v="5690.9279999999999"/>
    <n v="12431.536"/>
    <x v="2"/>
    <x v="1"/>
    <x v="1"/>
    <n v="0.43477942522423602"/>
    <n v="0.52871337150555697"/>
    <n v="0.29949730549006398"/>
    <n v="0.56646440516005703"/>
    <n v="1.1844479494381199"/>
    <n v="2.1844479494381202"/>
  </r>
  <r>
    <s v="CMP1706"/>
    <s v="Flash Sale Frenzy"/>
    <x v="3"/>
    <x v="270"/>
    <d v="2024-02-29T00:00:00"/>
    <n v="75504"/>
    <n v="28070.400000000001"/>
    <n v="20596.8"/>
    <n v="5136.2879999999996"/>
    <n v="8092.1440000000002"/>
    <x v="4"/>
    <x v="0"/>
    <x v="1"/>
    <n v="0.37177368086459001"/>
    <n v="0.73375512995895997"/>
    <n v="0.182978796169631"/>
    <n v="0.249373106501981"/>
    <n v="0.57548486377710895"/>
    <n v="1.5754848637771099"/>
  </r>
  <r>
    <s v="CMP1707"/>
    <s v="Shop &amp; Share"/>
    <x v="2"/>
    <x v="204"/>
    <d v="2024-10-25T00:00:00"/>
    <n v="51027.199999999997"/>
    <n v="21955.200000000001"/>
    <n v="4078.4"/>
    <n v="1308.336"/>
    <n v="2516.8960000000002"/>
    <x v="2"/>
    <x v="2"/>
    <x v="0"/>
    <n v="0.43026464317070101"/>
    <n v="0.18576009328086299"/>
    <n v="5.9591167468299101E-2"/>
    <n v="0.32079639074146699"/>
    <n v="0.92373824460994702"/>
    <n v="1.92373824460995"/>
  </r>
  <r>
    <s v="CMP1708"/>
    <s v="Seasonal Steals"/>
    <x v="3"/>
    <x v="194"/>
    <d v="2024-02-16T00:00:00"/>
    <n v="65571.199999999997"/>
    <n v="64182.400000000001"/>
    <n v="54620.800000000003"/>
    <n v="6725.7280000000001"/>
    <n v="24305.455999999998"/>
    <x v="4"/>
    <x v="4"/>
    <x v="1"/>
    <n v="0.97881996974281404"/>
    <n v="0.85102457994715097"/>
    <n v="0.104790846088647"/>
    <n v="0.12313492295975199"/>
    <n v="2.6138029964934599"/>
    <n v="3.6138029964934599"/>
  </r>
  <r>
    <s v="CMP1709"/>
    <s v="Shop &amp; Share"/>
    <x v="2"/>
    <x v="272"/>
    <d v="2024-10-24T00:00:00"/>
    <n v="18625.599999999999"/>
    <n v="9286.4"/>
    <n v="4867.2"/>
    <n v="7334.6239999999998"/>
    <n v="27857.295999999998"/>
    <x v="0"/>
    <x v="3"/>
    <x v="1"/>
    <n v="0.49858259599690802"/>
    <n v="0.52412129565816701"/>
    <n v="0.78982425913163301"/>
    <n v="1.50694937541091"/>
    <n v="2.7980537243626902"/>
    <n v="3.7980537243626902"/>
  </r>
  <r>
    <s v="CMP1710"/>
    <s v="Flash Sale Frenzy"/>
    <x v="2"/>
    <x v="1"/>
    <d v="2024-05-29T00:00:00"/>
    <n v="5219.2"/>
    <n v="2088"/>
    <n v="1264"/>
    <n v="1514.1759999999999"/>
    <n v="1995.0239999999999"/>
    <x v="4"/>
    <x v="4"/>
    <x v="1"/>
    <n v="0.400061312078479"/>
    <n v="0.60536398467432995"/>
    <n v="0.72518007662835204"/>
    <n v="1.1979240506329101"/>
    <n v="0.31756414049621701"/>
    <n v="1.3175641404962199"/>
  </r>
  <r>
    <s v="CMP1711"/>
    <s v="Cart to Couch"/>
    <x v="0"/>
    <x v="14"/>
    <d v="2024-08-12T00:00:00"/>
    <n v="54462.400000000001"/>
    <n v="28401.599999999999"/>
    <n v="24272"/>
    <n v="3699.232"/>
    <n v="9526.08"/>
    <x v="1"/>
    <x v="3"/>
    <x v="1"/>
    <n v="0.52149005552454497"/>
    <n v="0.85459974085967005"/>
    <n v="0.130247310010704"/>
    <n v="0.152407382992749"/>
    <n v="1.57515073399019"/>
    <n v="2.5751507339901898"/>
  </r>
  <r>
    <s v="CMP1712"/>
    <s v="Deal of the Day"/>
    <x v="3"/>
    <x v="130"/>
    <d v="2024-04-10T00:00:00"/>
    <n v="58248"/>
    <n v="29742.400000000001"/>
    <n v="1472"/>
    <n v="6260.7359999999999"/>
    <n v="18110.240000000002"/>
    <x v="3"/>
    <x v="0"/>
    <x v="1"/>
    <n v="0.51061667353385498"/>
    <n v="4.9491634837807302E-2"/>
    <n v="0.210498682016246"/>
    <n v="4.2532173913043501"/>
    <n v="1.89266948806019"/>
    <n v="2.8926694880601902"/>
  </r>
  <r>
    <s v="CMP1713"/>
    <s v="Shop &amp; Share"/>
    <x v="3"/>
    <x v="9"/>
    <d v="2024-06-02T00:00:00"/>
    <n v="34331.199999999997"/>
    <n v="29451.200000000001"/>
    <n v="17473.599999999999"/>
    <n v="5564.4639999999999"/>
    <n v="14999.856"/>
    <x v="0"/>
    <x v="3"/>
    <x v="1"/>
    <n v="0.85785524537447"/>
    <n v="0.59330689411636905"/>
    <n v="0.18893844732981999"/>
    <n v="0.31844977566156901"/>
    <n v="1.6956515488284201"/>
    <n v="2.6956515488284198"/>
  </r>
  <r>
    <s v="CMP1714"/>
    <s v="Deal of the Day"/>
    <x v="1"/>
    <x v="118"/>
    <d v="2024-08-09T00:00:00"/>
    <n v="15742.4"/>
    <n v="12169.6"/>
    <n v="7080"/>
    <n v="1879.8879999999999"/>
    <n v="4308.0479999999998"/>
    <x v="3"/>
    <x v="1"/>
    <x v="1"/>
    <n v="0.77304604126435605"/>
    <n v="0.58177754404417603"/>
    <n v="0.154474099395214"/>
    <n v="0.26552090395480199"/>
    <n v="1.2916514175312599"/>
    <n v="2.2916514175312601"/>
  </r>
  <r>
    <s v="CMP1715"/>
    <s v="Cart to Couch"/>
    <x v="3"/>
    <x v="200"/>
    <d v="2024-07-05T00:00:00"/>
    <n v="16020.8"/>
    <n v="11568"/>
    <n v="3460.8"/>
    <n v="4217.9040000000005"/>
    <n v="12158.992"/>
    <x v="2"/>
    <x v="0"/>
    <x v="0"/>
    <n v="0.72206132028363101"/>
    <n v="0.29917012448132801"/>
    <n v="0.36461825726141101"/>
    <n v="1.21876560332871"/>
    <n v="1.88270951638539"/>
    <n v="2.8827095163853902"/>
  </r>
  <r>
    <s v="CMP1716"/>
    <s v="Cart to Couch"/>
    <x v="0"/>
    <x v="189"/>
    <d v="2024-09-22T00:00:00"/>
    <n v="22638.400000000001"/>
    <n v="3017.6"/>
    <n v="1900.8"/>
    <n v="5142.0159999999996"/>
    <n v="17616.831999999999"/>
    <x v="3"/>
    <x v="4"/>
    <x v="1"/>
    <n v="0.133295639267793"/>
    <n v="0.62990455991516403"/>
    <n v="1.7040084835631"/>
    <n v="2.7051851851851798"/>
    <n v="2.4260554615154799"/>
    <n v="3.4260554615154799"/>
  </r>
  <r>
    <s v="CMP1717"/>
    <s v="Wishlist Wonders"/>
    <x v="3"/>
    <x v="59"/>
    <d v="2024-04-27T00:00:00"/>
    <n v="19112"/>
    <n v="16316.8"/>
    <n v="3588.8"/>
    <n v="1078.144"/>
    <n v="1619.904"/>
    <x v="1"/>
    <x v="3"/>
    <x v="1"/>
    <n v="0.85374633737965699"/>
    <n v="0.21994508727201401"/>
    <n v="6.6075701117866203E-2"/>
    <n v="0.30041908158716002"/>
    <n v="0.50249317345363897"/>
    <n v="1.50249317345364"/>
  </r>
  <r>
    <s v="CMP1718"/>
    <s v="Flash Sale Frenzy"/>
    <x v="1"/>
    <x v="202"/>
    <d v="2024-06-12T00:00:00"/>
    <n v="71025.600000000006"/>
    <n v="18451.2"/>
    <n v="10249.6"/>
    <n v="1024.7840000000001"/>
    <n v="1898.4639999999999"/>
    <x v="3"/>
    <x v="0"/>
    <x v="1"/>
    <n v="0.25978238832195699"/>
    <n v="0.55549774540409302"/>
    <n v="5.5540235865418001E-2"/>
    <n v="9.9982828598189202E-2"/>
    <n v="0.85255039110680897"/>
    <n v="1.85255039110681"/>
  </r>
  <r>
    <s v="CMP1719"/>
    <s v="Shop &amp; Share"/>
    <x v="0"/>
    <x v="293"/>
    <d v="2024-01-28T00:00:00"/>
    <n v="19795.2"/>
    <n v="16971.2"/>
    <n v="7041.6"/>
    <n v="4237.2"/>
    <n v="12824.096"/>
    <x v="3"/>
    <x v="0"/>
    <x v="0"/>
    <n v="0.85733915292596197"/>
    <n v="0.41491467898557599"/>
    <n v="0.249670029225983"/>
    <n v="0.60173824130879305"/>
    <n v="2.0265496082318499"/>
    <n v="3.0265496082318499"/>
  </r>
  <r>
    <s v="CMP1720"/>
    <s v="Shop &amp; Share"/>
    <x v="3"/>
    <x v="245"/>
    <d v="2024-03-23T00:00:00"/>
    <n v="36089.599999999999"/>
    <n v="2548.8000000000002"/>
    <n v="36.799999999999997"/>
    <n v="6078.72"/>
    <n v="11743.248"/>
    <x v="1"/>
    <x v="3"/>
    <x v="0"/>
    <n v="7.0624224153218701E-2"/>
    <n v="1.44381669805399E-2"/>
    <n v="2.3849340866289999"/>
    <n v="165.18260869565199"/>
    <n v="0.93186197094125101"/>
    <n v="1.9318619709412499"/>
  </r>
  <r>
    <s v="CMP1721"/>
    <s v="Deal of the Day"/>
    <x v="3"/>
    <x v="282"/>
    <d v="2024-05-14T00:00:00"/>
    <n v="75854.399999999994"/>
    <n v="68204.800000000003"/>
    <n v="66776"/>
    <n v="5679.4560000000001"/>
    <n v="11702.432000000001"/>
    <x v="3"/>
    <x v="1"/>
    <x v="0"/>
    <n v="0.89915416903963397"/>
    <n v="0.97905132776578796"/>
    <n v="8.3270620249601204E-2"/>
    <n v="8.5052354139211694E-2"/>
    <n v="1.06048466613704"/>
    <n v="2.06048466613704"/>
  </r>
  <r>
    <s v="CMP1722"/>
    <s v="Seasonal Steals"/>
    <x v="2"/>
    <x v="21"/>
    <d v="2024-06-29T00:00:00"/>
    <n v="59851.199999999997"/>
    <n v="39635.199999999997"/>
    <n v="6224"/>
    <n v="1036.08"/>
    <n v="1886.64"/>
    <x v="4"/>
    <x v="1"/>
    <x v="1"/>
    <n v="0.66222899457320805"/>
    <n v="0.15703213305344699"/>
    <n v="2.6140400452123399E-2"/>
    <n v="0.16646529562981999"/>
    <n v="0.82094046791753505"/>
    <n v="1.8209404679175401"/>
  </r>
  <r>
    <s v="CMP1723"/>
    <s v="Shop &amp; Share"/>
    <x v="2"/>
    <x v="272"/>
    <d v="2024-10-20T00:00:00"/>
    <n v="64577.599999999999"/>
    <n v="20798.400000000001"/>
    <n v="16404.8"/>
    <n v="7106.64"/>
    <n v="13493.407999999999"/>
    <x v="3"/>
    <x v="4"/>
    <x v="1"/>
    <n v="0.32206833329203899"/>
    <n v="0.78875298099853797"/>
    <n v="0.34169166858989197"/>
    <n v="0.43320491563444902"/>
    <n v="0.89870431033512299"/>
    <n v="1.89870431033512"/>
  </r>
  <r>
    <s v="CMP1724"/>
    <s v="Flash Sale Frenzy"/>
    <x v="2"/>
    <x v="130"/>
    <d v="2024-04-13T00:00:00"/>
    <n v="48307.199999999997"/>
    <n v="9854.4"/>
    <n v="3619.2"/>
    <n v="4891.7280000000001"/>
    <n v="11742.255999999999"/>
    <x v="1"/>
    <x v="0"/>
    <x v="1"/>
    <n v="0.203994435612083"/>
    <n v="0.36726741354115899"/>
    <n v="0.49640038967364802"/>
    <n v="1.35160477453581"/>
    <n v="1.4004310951058601"/>
    <n v="2.4004310951058598"/>
  </r>
  <r>
    <s v="CMP1725"/>
    <s v="Seasonal Steals"/>
    <x v="2"/>
    <x v="0"/>
    <d v="2024-04-15T00:00:00"/>
    <n v="59907.199999999997"/>
    <n v="24232"/>
    <n v="22009.599999999999"/>
    <n v="360.56"/>
    <n v="737.32799999999997"/>
    <x v="0"/>
    <x v="3"/>
    <x v="1"/>
    <n v="0.40449228139522497"/>
    <n v="0.90828656322218504"/>
    <n v="1.48794981842192E-2"/>
    <n v="1.63819424251236E-2"/>
    <n v="1.04495229642778"/>
    <n v="2.04495229642778"/>
  </r>
  <r>
    <s v="CMP1726"/>
    <s v="Deal of the Day"/>
    <x v="0"/>
    <x v="227"/>
    <d v="2024-10-19T00:00:00"/>
    <n v="78358.399999999994"/>
    <n v="37526.400000000001"/>
    <n v="31902.400000000001"/>
    <n v="956.12800000000004"/>
    <n v="2533.424"/>
    <x v="0"/>
    <x v="2"/>
    <x v="1"/>
    <n v="0.47890717523583898"/>
    <n v="0.850132173616441"/>
    <n v="2.5478809584719E-2"/>
    <n v="2.99704097497367E-2"/>
    <n v="1.649670337026"/>
    <n v="2.649670337026"/>
  </r>
  <r>
    <s v="CMP1727"/>
    <s v="Wishlist Wonders"/>
    <x v="0"/>
    <x v="188"/>
    <d v="2024-01-17T00:00:00"/>
    <n v="20648"/>
    <n v="13732.8"/>
    <n v="5584"/>
    <n v="1445.4559999999999"/>
    <n v="3467.248"/>
    <x v="2"/>
    <x v="4"/>
    <x v="1"/>
    <n v="0.66509104998062796"/>
    <n v="0.40661773272748503"/>
    <n v="0.105255738086916"/>
    <n v="0.25885673352435501"/>
    <n v="1.39872261763762"/>
    <n v="2.39872261763762"/>
  </r>
  <r>
    <s v="CMP1728"/>
    <s v="Shop &amp; Share"/>
    <x v="0"/>
    <x v="132"/>
    <d v="2024-04-29T00:00:00"/>
    <n v="47372.800000000003"/>
    <n v="11432"/>
    <n v="5240"/>
    <n v="2804.288"/>
    <n v="10374.912"/>
    <x v="0"/>
    <x v="1"/>
    <x v="1"/>
    <n v="0.24131991353688201"/>
    <n v="0.45836249125262402"/>
    <n v="0.245301609517145"/>
    <n v="0.53516946564885504"/>
    <n v="2.69965994933473"/>
    <n v="3.69965994933473"/>
  </r>
  <r>
    <s v="CMP1729"/>
    <s v="Cart to Couch"/>
    <x v="2"/>
    <x v="94"/>
    <d v="2024-04-27T00:00:00"/>
    <n v="65665.600000000006"/>
    <n v="46137.599999999999"/>
    <n v="37148.800000000003"/>
    <n v="1886.752"/>
    <n v="3575.6320000000001"/>
    <x v="2"/>
    <x v="3"/>
    <x v="0"/>
    <n v="0.70261445871202"/>
    <n v="0.80517408794562395"/>
    <n v="4.08940213621862E-2"/>
    <n v="5.0789042983891801E-2"/>
    <n v="0.895125591492682"/>
    <n v="1.8951255914926799"/>
  </r>
  <r>
    <s v="CMP1730"/>
    <s v="Cart to Couch"/>
    <x v="3"/>
    <x v="212"/>
    <d v="2024-09-26T00:00:00"/>
    <n v="3812.8"/>
    <n v="3464"/>
    <n v="1585.6"/>
    <n v="4928.192"/>
    <n v="10624.992"/>
    <x v="4"/>
    <x v="0"/>
    <x v="1"/>
    <n v="0.90851867394041097"/>
    <n v="0.457736720554273"/>
    <n v="1.42268822170901"/>
    <n v="3.1080928355196802"/>
    <n v="1.15596145604717"/>
    <n v="2.1559614560471698"/>
  </r>
  <r>
    <s v="CMP1731"/>
    <s v="Wishlist Wonders"/>
    <x v="0"/>
    <x v="155"/>
    <d v="2024-05-18T00:00:00"/>
    <n v="48878.400000000001"/>
    <n v="17740.8"/>
    <n v="13051.2"/>
    <n v="805.58399999999995"/>
    <n v="2230.5120000000002"/>
    <x v="3"/>
    <x v="2"/>
    <x v="1"/>
    <n v="0.36295787096140603"/>
    <n v="0.73566017316017296"/>
    <n v="4.5408549783549801E-2"/>
    <n v="6.1724898859874901E-2"/>
    <n v="1.7688136805100401"/>
    <n v="2.7688136805100401"/>
  </r>
  <r>
    <s v="CMP1732"/>
    <s v="Flash Sale Frenzy"/>
    <x v="1"/>
    <x v="213"/>
    <d v="2024-06-27T00:00:00"/>
    <n v="55635.199999999997"/>
    <n v="44566.400000000001"/>
    <n v="1168"/>
    <n v="7421.7920000000004"/>
    <n v="11932.752"/>
    <x v="2"/>
    <x v="3"/>
    <x v="1"/>
    <n v="0.80104681927987997"/>
    <n v="2.62080850147196E-2"/>
    <n v="0.16653335248079301"/>
    <n v="6.3542739726027397"/>
    <n v="0.60779930237872504"/>
    <n v="1.60779930237872"/>
  </r>
  <r>
    <s v="CMP1733"/>
    <s v="Seasonal Steals"/>
    <x v="1"/>
    <x v="216"/>
    <d v="2024-02-14T00:00:00"/>
    <n v="72004.800000000003"/>
    <n v="56595.199999999997"/>
    <n v="26542.400000000001"/>
    <n v="5628.64"/>
    <n v="10995.647999999999"/>
    <x v="0"/>
    <x v="0"/>
    <x v="0"/>
    <n v="0.78599204497477904"/>
    <n v="0.46898676919597398"/>
    <n v="9.9454370688680294E-2"/>
    <n v="0.21206220989812499"/>
    <n v="0.95351772364194498"/>
    <n v="1.9535177236419501"/>
  </r>
  <r>
    <s v="CMP1734"/>
    <s v="Wishlist Wonders"/>
    <x v="0"/>
    <x v="233"/>
    <d v="2024-06-06T00:00:00"/>
    <n v="10771.2"/>
    <n v="8961.6"/>
    <n v="8894.4"/>
    <n v="7640.1120000000001"/>
    <n v="22202.128000000001"/>
    <x v="0"/>
    <x v="0"/>
    <x v="1"/>
    <n v="0.831996434937611"/>
    <n v="0.99250133904659898"/>
    <n v="0.85253883235136596"/>
    <n v="0.85898003237992404"/>
    <n v="1.9059950953598599"/>
    <n v="2.9059950953598599"/>
  </r>
  <r>
    <s v="CMP1735"/>
    <s v="Wishlist Wonders"/>
    <x v="3"/>
    <x v="282"/>
    <d v="2024-06-09T00:00:00"/>
    <n v="26776"/>
    <n v="3118.4"/>
    <n v="2608"/>
    <n v="4137.4880000000003"/>
    <n v="15608.575999999999"/>
    <x v="0"/>
    <x v="3"/>
    <x v="1"/>
    <n v="0.116462503734688"/>
    <n v="0.83632632119035399"/>
    <n v="1.3267983581323799"/>
    <n v="1.58646012269939"/>
    <n v="2.7724764398108199"/>
    <n v="3.7724764398108199"/>
  </r>
  <r>
    <s v="CMP1736"/>
    <s v="Flash Sale Frenzy"/>
    <x v="2"/>
    <x v="247"/>
    <d v="2024-05-26T00:00:00"/>
    <n v="36206.400000000001"/>
    <n v="6347.2"/>
    <n v="6278.4"/>
    <n v="1142.752"/>
    <n v="2761.84"/>
    <x v="4"/>
    <x v="2"/>
    <x v="1"/>
    <n v="0.175306023244509"/>
    <n v="0.989160574741618"/>
    <n v="0.180040332745147"/>
    <n v="0.18201325178389399"/>
    <n v="1.4168323485760701"/>
    <n v="2.4168323485760701"/>
  </r>
  <r>
    <s v="CMP1737"/>
    <s v="Seasonal Steals"/>
    <x v="0"/>
    <x v="286"/>
    <d v="2024-06-15T00:00:00"/>
    <n v="8579.2000000000007"/>
    <n v="5552"/>
    <n v="2516.8000000000002"/>
    <n v="181.04"/>
    <n v="237.72800000000001"/>
    <x v="4"/>
    <x v="4"/>
    <x v="1"/>
    <n v="0.64714658709436801"/>
    <n v="0.45331412103746399"/>
    <n v="3.2608069164265098E-2"/>
    <n v="7.19326128417037E-2"/>
    <n v="0.31312417145382199"/>
    <n v="1.31312417145382"/>
  </r>
  <r>
    <s v="CMP1738"/>
    <s v="Cart to Couch"/>
    <x v="0"/>
    <x v="203"/>
    <d v="2024-06-22T00:00:00"/>
    <n v="58828.800000000003"/>
    <n v="2160"/>
    <n v="1056"/>
    <n v="2620.8000000000002"/>
    <n v="8271.52"/>
    <x v="1"/>
    <x v="1"/>
    <x v="1"/>
    <n v="3.6716710182767599E-2"/>
    <n v="0.48888888888888898"/>
    <n v="1.21333333333333"/>
    <n v="2.4818181818181801"/>
    <n v="2.15610500610501"/>
    <n v="3.15610500610501"/>
  </r>
  <r>
    <s v="CMP1739"/>
    <s v="Cart to Couch"/>
    <x v="0"/>
    <x v="120"/>
    <d v="2024-03-13T00:00:00"/>
    <n v="28771.200000000001"/>
    <n v="11433.6"/>
    <n v="8329.6"/>
    <n v="4257.1840000000002"/>
    <n v="8279.0879999999997"/>
    <x v="2"/>
    <x v="1"/>
    <x v="1"/>
    <n v="0.39739739739739699"/>
    <n v="0.72851945144136598"/>
    <n v="0.37233977050097999"/>
    <n v="0.511091048789858"/>
    <n v="0.94473342002600802"/>
    <n v="1.94473342002601"/>
  </r>
  <r>
    <s v="CMP1740"/>
    <s v="Seasonal Steals"/>
    <x v="3"/>
    <x v="174"/>
    <d v="2024-05-08T00:00:00"/>
    <n v="36014.400000000001"/>
    <n v="26163.200000000001"/>
    <n v="20571.2"/>
    <n v="2449.2959999999998"/>
    <n v="4328.6719999999996"/>
    <x v="2"/>
    <x v="3"/>
    <x v="0"/>
    <n v="0.72646496956772799"/>
    <n v="0.78626467710371795"/>
    <n v="9.3616071428571396E-2"/>
    <n v="0.119064322936922"/>
    <n v="0.76731272986196797"/>
    <n v="1.76731272986197"/>
  </r>
  <r>
    <s v="CMP1741"/>
    <s v="Cart to Couch"/>
    <x v="1"/>
    <x v="213"/>
    <d v="2024-06-28T00:00:00"/>
    <n v="41856"/>
    <n v="16296"/>
    <n v="11036.8"/>
    <n v="1542.2239999999999"/>
    <n v="6114.24"/>
    <x v="0"/>
    <x v="2"/>
    <x v="1"/>
    <n v="0.389334862385321"/>
    <n v="0.67727049582719701"/>
    <n v="9.4638193421698602E-2"/>
    <n v="0.13973470571180099"/>
    <n v="2.9645602714002601"/>
    <n v="3.9645602714002601"/>
  </r>
  <r>
    <s v="CMP1742"/>
    <s v="Shop &amp; Share"/>
    <x v="1"/>
    <x v="103"/>
    <d v="2024-07-06T00:00:00"/>
    <n v="56617.599999999999"/>
    <n v="17065.599999999999"/>
    <n v="13875.2"/>
    <n v="4277.5200000000004"/>
    <n v="9106.4480000000003"/>
    <x v="1"/>
    <x v="4"/>
    <x v="0"/>
    <n v="0.301418640140168"/>
    <n v="0.81305081567598003"/>
    <n v="0.25065160322520202"/>
    <n v="0.30828528597785998"/>
    <n v="1.1289083394116199"/>
    <n v="2.1289083394116202"/>
  </r>
  <r>
    <s v="CMP1743"/>
    <s v="Deal of the Day"/>
    <x v="0"/>
    <x v="162"/>
    <d v="2024-10-26T00:00:00"/>
    <n v="9380.7999999999993"/>
    <n v="4931.2"/>
    <n v="1022.4"/>
    <n v="4082.1759999999999"/>
    <n v="6266.192"/>
    <x v="3"/>
    <x v="3"/>
    <x v="0"/>
    <n v="0.52566945249872099"/>
    <n v="0.20733290071382199"/>
    <n v="0.82782608695652204"/>
    <n v="3.9927386541471002"/>
    <n v="0.535012699109495"/>
    <n v="1.5350126991094899"/>
  </r>
  <r>
    <s v="CMP1744"/>
    <s v="Cart to Couch"/>
    <x v="0"/>
    <x v="268"/>
    <d v="2024-09-27T00:00:00"/>
    <n v="48761.599999999999"/>
    <n v="13364.8"/>
    <n v="1761.6"/>
    <n v="2031.152"/>
    <n v="2881.7440000000001"/>
    <x v="2"/>
    <x v="0"/>
    <x v="1"/>
    <n v="0.27408452552828499"/>
    <n v="0.13180893092302201"/>
    <n v="0.151977732551179"/>
    <n v="1.1530154405086299"/>
    <n v="0.418773188811079"/>
    <n v="1.4187731888110799"/>
  </r>
  <r>
    <s v="CMP1745"/>
    <s v="Flash Sale Frenzy"/>
    <x v="0"/>
    <x v="89"/>
    <d v="2024-02-16T00:00:00"/>
    <n v="62392"/>
    <n v="46654.400000000001"/>
    <n v="23726.400000000001"/>
    <n v="3813.84"/>
    <n v="5618.6719999999996"/>
    <x v="0"/>
    <x v="1"/>
    <x v="0"/>
    <n v="0.74776253365816103"/>
    <n v="0.50855653486059205"/>
    <n v="8.1746630542885598E-2"/>
    <n v="0.160742464090633"/>
    <n v="0.47323222788580499"/>
    <n v="1.4732322278858101"/>
  </r>
  <r>
    <s v="CMP1746"/>
    <s v="Cart to Couch"/>
    <x v="3"/>
    <x v="219"/>
    <d v="2024-01-15T00:00:00"/>
    <n v="33126.400000000001"/>
    <n v="16052.8"/>
    <n v="11198.4"/>
    <n v="4459.6000000000004"/>
    <n v="16307.088"/>
    <x v="0"/>
    <x v="4"/>
    <x v="0"/>
    <n v="0.48459234930448197"/>
    <n v="0.69759792684142297"/>
    <n v="0.27780823283165601"/>
    <n v="0.398235462208887"/>
    <n v="2.6566257063413801"/>
    <n v="3.6566257063413801"/>
  </r>
  <r>
    <s v="CMP1747"/>
    <s v="Flash Sale Frenzy"/>
    <x v="3"/>
    <x v="87"/>
    <d v="2024-03-06T00:00:00"/>
    <n v="54515.199999999997"/>
    <n v="19782.400000000001"/>
    <n v="12878.4"/>
    <n v="1104.48"/>
    <n v="2172.6880000000001"/>
    <x v="1"/>
    <x v="0"/>
    <x v="0"/>
    <n v="0.362878610002348"/>
    <n v="0.65100291167906799"/>
    <n v="5.5831446133937201E-2"/>
    <n v="8.5762206485277701E-2"/>
    <n v="0.96715920614225703"/>
    <n v="1.96715920614226"/>
  </r>
  <r>
    <s v="CMP1748"/>
    <s v="Seasonal Steals"/>
    <x v="3"/>
    <x v="25"/>
    <d v="2024-11-13T00:00:00"/>
    <n v="47203.199999999997"/>
    <n v="40164.800000000003"/>
    <n v="25616"/>
    <n v="2826.72"/>
    <n v="7425.04"/>
    <x v="2"/>
    <x v="2"/>
    <x v="1"/>
    <n v="0.85089146498542501"/>
    <n v="0.63777237780344997"/>
    <n v="7.0378042465044005E-2"/>
    <n v="0.110349781386633"/>
    <n v="1.62673345785929"/>
    <n v="2.6267334578592898"/>
  </r>
  <r>
    <s v="CMP1749"/>
    <s v="Seasonal Steals"/>
    <x v="0"/>
    <x v="159"/>
    <d v="2024-07-16T00:00:00"/>
    <n v="66904"/>
    <n v="1595.2"/>
    <n v="1352"/>
    <n v="1011.248"/>
    <n v="2634.64"/>
    <x v="3"/>
    <x v="3"/>
    <x v="1"/>
    <n v="2.38431184981466E-2"/>
    <n v="0.84754262788365098"/>
    <n v="0.63393179538615896"/>
    <n v="0.74796449704141998"/>
    <n v="1.6053351897852901"/>
    <n v="2.6053351897852899"/>
  </r>
  <r>
    <s v="CMP1750"/>
    <s v="Deal of the Day"/>
    <x v="3"/>
    <x v="186"/>
    <d v="2024-05-09T00:00:00"/>
    <n v="55840"/>
    <n v="17915.2"/>
    <n v="3928"/>
    <n v="7888.2560000000003"/>
    <n v="15797.248"/>
    <x v="0"/>
    <x v="3"/>
    <x v="0"/>
    <n v="0.32083094555873898"/>
    <n v="0.21925515763150799"/>
    <n v="0.44031079753505398"/>
    <n v="2.0082118126272901"/>
    <n v="1.0026287179320801"/>
    <n v="2.0026287179320801"/>
  </r>
  <r>
    <s v="CMP1751"/>
    <s v="Deal of the Day"/>
    <x v="0"/>
    <x v="171"/>
    <d v="2024-05-23T00:00:00"/>
    <n v="53236.800000000003"/>
    <n v="27344"/>
    <n v="12809.6"/>
    <n v="7563.1040000000003"/>
    <n v="12709.328"/>
    <x v="3"/>
    <x v="0"/>
    <x v="0"/>
    <n v="0.51362966970216095"/>
    <n v="0.468461088355764"/>
    <n v="0.27659098888238698"/>
    <n v="0.59042468148888305"/>
    <n v="0.68043808468057498"/>
    <n v="1.68043808468058"/>
  </r>
  <r>
    <s v="CMP1752"/>
    <s v="Wishlist Wonders"/>
    <x v="0"/>
    <x v="265"/>
    <d v="2024-09-18T00:00:00"/>
    <n v="20304"/>
    <n v="4235.2"/>
    <n v="459.2"/>
    <n v="3897.0239999999999"/>
    <n v="14895.424000000001"/>
    <x v="3"/>
    <x v="0"/>
    <x v="1"/>
    <n v="0.20858944050433401"/>
    <n v="0.108424631658481"/>
    <n v="0.92015111446921005"/>
    <n v="8.4865505226480806"/>
    <n v="2.8222561626512999"/>
    <n v="3.8222561626512999"/>
  </r>
  <r>
    <s v="CMP1753"/>
    <s v="Shop &amp; Share"/>
    <x v="2"/>
    <x v="171"/>
    <d v="2024-04-28T00:00:00"/>
    <n v="42086.400000000001"/>
    <n v="31998.400000000001"/>
    <n v="19886.400000000001"/>
    <n v="5239.5039999999999"/>
    <n v="20656.944"/>
    <x v="1"/>
    <x v="4"/>
    <x v="0"/>
    <n v="0.76030261557177603"/>
    <n v="0.62148107405370301"/>
    <n v="0.163742687134357"/>
    <n v="0.263471719365999"/>
    <n v="2.9425380723060801"/>
    <n v="3.9425380723060801"/>
  </r>
  <r>
    <s v="CMP1754"/>
    <s v="Flash Sale Frenzy"/>
    <x v="1"/>
    <x v="105"/>
    <d v="2024-09-28T00:00:00"/>
    <n v="79489.600000000006"/>
    <n v="2697.6"/>
    <n v="1716.8"/>
    <n v="1726.144"/>
    <n v="4081.3760000000002"/>
    <x v="3"/>
    <x v="1"/>
    <x v="0"/>
    <n v="3.3936514965479801E-2"/>
    <n v="0.63641755634638197"/>
    <n v="0.63988137603796003"/>
    <n v="1.0054426840633699"/>
    <n v="1.36444699862816"/>
    <n v="2.3644469986281602"/>
  </r>
  <r>
    <s v="CMP1755"/>
    <s v="Flash Sale Frenzy"/>
    <x v="2"/>
    <x v="250"/>
    <d v="2024-07-24T00:00:00"/>
    <n v="75652.800000000003"/>
    <n v="74158.399999999994"/>
    <n v="43115.199999999997"/>
    <n v="1636.9760000000001"/>
    <n v="4107.0079999999998"/>
    <x v="4"/>
    <x v="0"/>
    <x v="1"/>
    <n v="0.98024660025802102"/>
    <n v="0.58139334181967295"/>
    <n v="2.2074046905003301E-2"/>
    <n v="3.7967491743051203E-2"/>
    <n v="1.50889933633725"/>
    <n v="2.50889933633725"/>
  </r>
  <r>
    <s v="CMP1756"/>
    <s v="Deal of the Day"/>
    <x v="2"/>
    <x v="107"/>
    <d v="2024-02-01T00:00:00"/>
    <n v="53035.199999999997"/>
    <n v="28728"/>
    <n v="8654.4"/>
    <n v="5686.0959999999995"/>
    <n v="8514.7039999999997"/>
    <x v="3"/>
    <x v="2"/>
    <x v="1"/>
    <n v="0.54167797990768396"/>
    <n v="0.30125313283208"/>
    <n v="0.19792871066555301"/>
    <n v="0.65701793307450496"/>
    <n v="0.497460472000473"/>
    <n v="1.4974604720004701"/>
  </r>
  <r>
    <s v="CMP1757"/>
    <s v="Flash Sale Frenzy"/>
    <x v="1"/>
    <x v="203"/>
    <d v="2024-06-14T00:00:00"/>
    <n v="43584"/>
    <n v="11883.2"/>
    <n v="3328"/>
    <n v="4957.3919999999998"/>
    <n v="12457.92"/>
    <x v="2"/>
    <x v="2"/>
    <x v="1"/>
    <n v="0.272650513950073"/>
    <n v="0.28005924330146797"/>
    <n v="0.41717651810959999"/>
    <n v="1.48960096153846"/>
    <n v="1.51299877032117"/>
    <n v="2.51299877032117"/>
  </r>
  <r>
    <s v="CMP1758"/>
    <s v="Cart to Couch"/>
    <x v="0"/>
    <x v="197"/>
    <d v="2024-08-24T00:00:00"/>
    <n v="16182.4"/>
    <n v="3660.8"/>
    <n v="1776"/>
    <n v="7715.8559999999998"/>
    <n v="14396.415999999999"/>
    <x v="2"/>
    <x v="0"/>
    <x v="1"/>
    <n v="0.226221079691517"/>
    <n v="0.48513986013985999"/>
    <n v="2.10769667832168"/>
    <n v="4.34451351351351"/>
    <n v="0.8658222755842"/>
    <n v="1.8658222755842"/>
  </r>
  <r>
    <s v="CMP1759"/>
    <s v="Seasonal Steals"/>
    <x v="2"/>
    <x v="13"/>
    <d v="2024-05-05T00:00:00"/>
    <n v="18307.2"/>
    <n v="10633.6"/>
    <n v="10632"/>
    <n v="7846.4480000000003"/>
    <n v="20323.04"/>
    <x v="3"/>
    <x v="1"/>
    <x v="0"/>
    <n v="0.58084251005068999"/>
    <n v="0.99984953355401696"/>
    <n v="0.73789196509178501"/>
    <n v="0.73800300978179101"/>
    <n v="1.5900942694069999"/>
    <n v="2.5900942694069999"/>
  </r>
  <r>
    <s v="CMP1760"/>
    <s v="Seasonal Steals"/>
    <x v="3"/>
    <x v="296"/>
    <d v="2024-08-13T00:00:00"/>
    <n v="32032"/>
    <n v="15222.4"/>
    <n v="15102.4"/>
    <n v="416.608"/>
    <n v="620.20799999999997"/>
    <x v="2"/>
    <x v="3"/>
    <x v="0"/>
    <n v="0.47522477522477502"/>
    <n v="0.99211688038679802"/>
    <n v="2.7368089131805801E-2"/>
    <n v="2.75855493166649E-2"/>
    <n v="0.48870881020047602"/>
    <n v="1.48870881020048"/>
  </r>
  <r>
    <s v="CMP1761"/>
    <s v="Seasonal Steals"/>
    <x v="0"/>
    <x v="52"/>
    <d v="2024-02-06T00:00:00"/>
    <n v="57092.800000000003"/>
    <n v="42344"/>
    <n v="41820.800000000003"/>
    <n v="1860.6880000000001"/>
    <n v="6326.4"/>
    <x v="0"/>
    <x v="1"/>
    <x v="1"/>
    <n v="0.74166970265953003"/>
    <n v="0.98764405819006196"/>
    <n v="4.3942187795201197E-2"/>
    <n v="4.4491927461932798E-2"/>
    <n v="2.4000326760854001"/>
    <n v="3.4000326760854001"/>
  </r>
  <r>
    <s v="CMP1762"/>
    <s v="Cart to Couch"/>
    <x v="0"/>
    <x v="120"/>
    <d v="2024-02-22T00:00:00"/>
    <n v="22246.400000000001"/>
    <n v="2816"/>
    <n v="1232"/>
    <n v="1240.528"/>
    <n v="4935.5680000000002"/>
    <x v="2"/>
    <x v="2"/>
    <x v="0"/>
    <n v="0.126582278481013"/>
    <n v="0.4375"/>
    <n v="0.44052840909090901"/>
    <n v="1.00692207792208"/>
    <n v="2.97860265951272"/>
    <n v="3.97860265951272"/>
  </r>
  <r>
    <s v="CMP1763"/>
    <s v="Wishlist Wonders"/>
    <x v="0"/>
    <x v="64"/>
    <d v="2024-03-11T00:00:00"/>
    <n v="52046.400000000001"/>
    <n v="9641.6"/>
    <n v="5078.3999999999996"/>
    <n v="713.39200000000005"/>
    <n v="2715.056"/>
    <x v="0"/>
    <x v="2"/>
    <x v="1"/>
    <n v="0.18525008453994901"/>
    <n v="0.52671755725190805"/>
    <n v="7.3991038831729194E-2"/>
    <n v="0.14047574039067401"/>
    <n v="2.8058402673425"/>
    <n v="3.8058402673425"/>
  </r>
  <r>
    <s v="CMP1764"/>
    <s v="Cart to Couch"/>
    <x v="0"/>
    <x v="109"/>
    <d v="2024-10-01T00:00:00"/>
    <n v="33009.599999999999"/>
    <n v="752"/>
    <n v="353.6"/>
    <n v="2176.56"/>
    <n v="4295.7120000000004"/>
    <x v="1"/>
    <x v="4"/>
    <x v="0"/>
    <n v="2.2781251514710901E-2"/>
    <n v="0.47021276595744699"/>
    <n v="2.89436170212766"/>
    <n v="6.1554298642533896"/>
    <n v="0.97362443488808004"/>
    <n v="1.97362443488808"/>
  </r>
  <r>
    <s v="CMP1765"/>
    <s v="Seasonal Steals"/>
    <x v="2"/>
    <x v="159"/>
    <d v="2024-07-30T00:00:00"/>
    <n v="3931.2"/>
    <n v="3390.4"/>
    <n v="2902.4"/>
    <n v="7814.5119999999997"/>
    <n v="11711.472"/>
    <x v="0"/>
    <x v="3"/>
    <x v="1"/>
    <n v="0.862433862433862"/>
    <n v="0.85606418121755501"/>
    <n v="2.3048938178385998"/>
    <n v="2.6924310915104699"/>
    <n v="0.49868245131621802"/>
    <n v="1.49868245131622"/>
  </r>
  <r>
    <s v="CMP1766"/>
    <s v="Deal of the Day"/>
    <x v="3"/>
    <x v="107"/>
    <d v="2024-02-01T00:00:00"/>
    <n v="19408"/>
    <n v="15056"/>
    <n v="9865.6"/>
    <n v="2589.6"/>
    <n v="9489.68"/>
    <x v="1"/>
    <x v="3"/>
    <x v="0"/>
    <n v="0.77576257213520206"/>
    <n v="0.65526036131774701"/>
    <n v="0.17199787460148799"/>
    <n v="0.262487836522867"/>
    <n v="2.66453506333024"/>
    <n v="3.66453506333024"/>
  </r>
  <r>
    <s v="CMP1767"/>
    <s v="Shop &amp; Share"/>
    <x v="3"/>
    <x v="86"/>
    <d v="2024-09-05T00:00:00"/>
    <n v="26382.400000000001"/>
    <n v="4748.8"/>
    <n v="4256"/>
    <n v="2677.4720000000002"/>
    <n v="5306.8959999999997"/>
    <x v="2"/>
    <x v="2"/>
    <x v="0"/>
    <n v="0.179998787070168"/>
    <n v="0.89622641509433998"/>
    <n v="0.56382075471698101"/>
    <n v="0.62910526315789495"/>
    <n v="0.982054714297666"/>
    <n v="1.9820547142976701"/>
  </r>
  <r>
    <s v="CMP1768"/>
    <s v="Flash Sale Frenzy"/>
    <x v="0"/>
    <x v="164"/>
    <d v="2024-03-06T00:00:00"/>
    <n v="35025.599999999999"/>
    <n v="16052.8"/>
    <n v="2944"/>
    <n v="1481.7280000000001"/>
    <n v="4540.7839999999997"/>
    <x v="0"/>
    <x v="1"/>
    <x v="1"/>
    <n v="0.458316203005801"/>
    <n v="0.18339479716934101"/>
    <n v="9.2303398784012794E-2"/>
    <n v="0.50330434782608702"/>
    <n v="2.0645192639944701"/>
    <n v="3.0645192639944701"/>
  </r>
  <r>
    <s v="CMP1769"/>
    <s v="Deal of the Day"/>
    <x v="2"/>
    <x v="28"/>
    <d v="2024-02-18T00:00:00"/>
    <n v="9203.2000000000007"/>
    <n v="5212.8"/>
    <n v="1531.2"/>
    <n v="4194.8159999999998"/>
    <n v="10148.224"/>
    <x v="1"/>
    <x v="2"/>
    <x v="0"/>
    <n v="0.566411682892907"/>
    <n v="0.29373848987108703"/>
    <n v="0.80471454880294702"/>
    <n v="2.7395611285266499"/>
    <n v="1.41922983034298"/>
    <n v="2.4192298303429798"/>
  </r>
  <r>
    <s v="CMP1770"/>
    <s v="Cart to Couch"/>
    <x v="3"/>
    <x v="117"/>
    <d v="2024-03-14T00:00:00"/>
    <n v="48948.800000000003"/>
    <n v="18801.599999999999"/>
    <n v="6328"/>
    <n v="4294.848"/>
    <n v="14398.56"/>
    <x v="1"/>
    <x v="1"/>
    <x v="1"/>
    <n v="0.38410747556630598"/>
    <n v="0.33656710067228301"/>
    <n v="0.22842992085779901"/>
    <n v="0.67870543615676404"/>
    <n v="2.3525191112700599"/>
    <n v="3.3525191112700599"/>
  </r>
  <r>
    <s v="CMP1771"/>
    <s v="Seasonal Steals"/>
    <x v="0"/>
    <x v="213"/>
    <d v="2024-06-08T00:00:00"/>
    <n v="25908.799999999999"/>
    <n v="1406.4"/>
    <n v="252.8"/>
    <n v="1027.376"/>
    <n v="3973.6480000000001"/>
    <x v="4"/>
    <x v="0"/>
    <x v="1"/>
    <n v="5.4282714753288497E-2"/>
    <n v="0.17974971558589301"/>
    <n v="0.73050056882821401"/>
    <n v="4.0639873417721502"/>
    <n v="2.86776409026491"/>
    <n v="3.86776409026491"/>
  </r>
  <r>
    <s v="CMP1772"/>
    <s v="Seasonal Steals"/>
    <x v="0"/>
    <x v="243"/>
    <d v="2024-09-10T00:00:00"/>
    <n v="56001.599999999999"/>
    <n v="20348.8"/>
    <n v="9921.6"/>
    <n v="5320.4639999999999"/>
    <n v="17173.824000000001"/>
    <x v="2"/>
    <x v="4"/>
    <x v="1"/>
    <n v="0.36336104682723402"/>
    <n v="0.48757666299732699"/>
    <n v="0.261463280389998"/>
    <n v="0.53625060474117103"/>
    <n v="2.2278808765551301"/>
    <n v="3.2278808765551301"/>
  </r>
  <r>
    <s v="CMP1773"/>
    <s v="Flash Sale Frenzy"/>
    <x v="2"/>
    <x v="193"/>
    <d v="2024-05-27T00:00:00"/>
    <n v="10417.6"/>
    <n v="3721.6"/>
    <n v="3225.6"/>
    <n v="3194.48"/>
    <n v="11498.928"/>
    <x v="3"/>
    <x v="2"/>
    <x v="0"/>
    <n v="0.35724159115343301"/>
    <n v="0.86672398968185704"/>
    <n v="0.85836199484092901"/>
    <n v="0.99035218253968305"/>
    <n v="2.59962435200721"/>
    <n v="3.59962435200721"/>
  </r>
  <r>
    <s v="CMP1774"/>
    <s v="Seasonal Steals"/>
    <x v="0"/>
    <x v="94"/>
    <d v="2024-05-18T00:00:00"/>
    <n v="77387.199999999997"/>
    <n v="70094.399999999994"/>
    <n v="1481.6"/>
    <n v="4247.3760000000002"/>
    <n v="13132.992"/>
    <x v="2"/>
    <x v="0"/>
    <x v="0"/>
    <n v="0.905762193230922"/>
    <n v="2.1137209249241E-2"/>
    <n v="6.0595083202081797E-2"/>
    <n v="2.8667494600432"/>
    <n v="2.0920248172047899"/>
    <n v="3.0920248172047899"/>
  </r>
  <r>
    <s v="CMP1775"/>
    <s v="Seasonal Steals"/>
    <x v="2"/>
    <x v="143"/>
    <d v="2024-08-01T00:00:00"/>
    <n v="26166.400000000001"/>
    <n v="8934.4"/>
    <n v="4779.2"/>
    <n v="334.11200000000002"/>
    <n v="1022.112"/>
    <x v="3"/>
    <x v="0"/>
    <x v="1"/>
    <n v="0.341445517916106"/>
    <n v="0.534921203438395"/>
    <n v="3.7396131805157599E-2"/>
    <n v="6.9909608302644796E-2"/>
    <n v="2.0591897327842199"/>
    <n v="3.0591897327842199"/>
  </r>
  <r>
    <s v="CMP1776"/>
    <s v="Cart to Couch"/>
    <x v="1"/>
    <x v="167"/>
    <d v="2024-01-09T00:00:00"/>
    <n v="8033.6"/>
    <n v="176"/>
    <n v="80"/>
    <n v="1541.904"/>
    <n v="5024.0959999999995"/>
    <x v="0"/>
    <x v="0"/>
    <x v="0"/>
    <n v="2.19079864568811E-2"/>
    <n v="0.45454545454545497"/>
    <n v="8.7608181818181805"/>
    <n v="19.273800000000001"/>
    <n v="2.2583714680032001"/>
    <n v="3.2583714680032001"/>
  </r>
  <r>
    <s v="CMP1777"/>
    <s v="Wishlist Wonders"/>
    <x v="2"/>
    <x v="281"/>
    <d v="2024-02-26T00:00:00"/>
    <n v="69840"/>
    <n v="54988.800000000003"/>
    <n v="49364.800000000003"/>
    <n v="790.84799999999996"/>
    <n v="1833.1679999999999"/>
    <x v="0"/>
    <x v="4"/>
    <x v="1"/>
    <n v="0.78735395189003399"/>
    <n v="0.89772462756052096"/>
    <n v="1.43819832402235E-2"/>
    <n v="1.6020484231679299E-2"/>
    <n v="1.3179776644816701"/>
    <n v="2.3179776644816701"/>
  </r>
  <r>
    <s v="CMP1778"/>
    <s v="Shop &amp; Share"/>
    <x v="0"/>
    <x v="287"/>
    <d v="2024-05-29T00:00:00"/>
    <n v="1966.4"/>
    <n v="1665.6"/>
    <n v="284.8"/>
    <n v="2108.3200000000002"/>
    <n v="4779.2160000000003"/>
    <x v="1"/>
    <x v="3"/>
    <x v="1"/>
    <n v="0.84703010577705395"/>
    <n v="0.170989433237272"/>
    <n v="1.2658021133525501"/>
    <n v="7.4028089887640496"/>
    <n v="1.2668361539045301"/>
    <n v="2.2668361539045301"/>
  </r>
  <r>
    <s v="CMP1779"/>
    <s v="Flash Sale Frenzy"/>
    <x v="2"/>
    <x v="281"/>
    <d v="2024-03-09T00:00:00"/>
    <n v="15624"/>
    <n v="14878.4"/>
    <n v="7852.8"/>
    <n v="2992.24"/>
    <n v="9669.0079999999998"/>
    <x v="4"/>
    <x v="1"/>
    <x v="1"/>
    <n v="0.95227854582693305"/>
    <n v="0.52779868803097096"/>
    <n v="0.201113022905689"/>
    <n v="0.38104115729421401"/>
    <n v="2.23136112076571"/>
    <n v="3.23136112076571"/>
  </r>
  <r>
    <s v="CMP1780"/>
    <s v="Cart to Couch"/>
    <x v="2"/>
    <x v="46"/>
    <d v="2024-05-15T00:00:00"/>
    <n v="28777.599999999999"/>
    <n v="20787.2"/>
    <n v="2561.6"/>
    <n v="3905.3440000000001"/>
    <n v="7216.848"/>
    <x v="0"/>
    <x v="0"/>
    <x v="0"/>
    <n v="0.722339597464695"/>
    <n v="0.123229679802956"/>
    <n v="0.18787253694581299"/>
    <n v="1.5245721424109899"/>
    <n v="0.84794169220432303"/>
    <n v="1.8479416922043199"/>
  </r>
  <r>
    <s v="CMP1781"/>
    <s v="Seasonal Steals"/>
    <x v="2"/>
    <x v="43"/>
    <d v="2024-03-18T00:00:00"/>
    <n v="30163.200000000001"/>
    <n v="7096"/>
    <n v="4112"/>
    <n v="7378.4639999999999"/>
    <n v="28126.288"/>
    <x v="1"/>
    <x v="0"/>
    <x v="1"/>
    <n v="0.23525355399957601"/>
    <n v="0.57948139797068798"/>
    <n v="1.03980608793687"/>
    <n v="1.79437354085603"/>
    <n v="2.81194351561517"/>
    <n v="3.81194351561517"/>
  </r>
  <r>
    <s v="CMP1782"/>
    <s v="Deal of the Day"/>
    <x v="1"/>
    <x v="13"/>
    <d v="2024-04-21T00:00:00"/>
    <n v="73657.600000000006"/>
    <n v="52016"/>
    <n v="35350.400000000001"/>
    <n v="4058.5920000000001"/>
    <n v="12010.592000000001"/>
    <x v="3"/>
    <x v="0"/>
    <x v="0"/>
    <n v="0.70618646276826802"/>
    <n v="0.67960627499230997"/>
    <n v="7.8025838203629697E-2"/>
    <n v="0.11481035575269299"/>
    <n v="1.95930017109382"/>
    <n v="2.9593001710938198"/>
  </r>
  <r>
    <s v="CMP1783"/>
    <s v="Cart to Couch"/>
    <x v="3"/>
    <x v="285"/>
    <d v="2024-03-24T00:00:00"/>
    <n v="9094.4"/>
    <n v="4259.2"/>
    <n v="3532.8"/>
    <n v="5478.1760000000004"/>
    <n v="12017.504000000001"/>
    <x v="0"/>
    <x v="4"/>
    <x v="1"/>
    <n v="0.468332160450387"/>
    <n v="0.82945154019534195"/>
    <n v="1.2861983471074401"/>
    <n v="1.55066123188406"/>
    <n v="1.1937053501019299"/>
    <n v="2.1937053501019301"/>
  </r>
  <r>
    <s v="CMP1784"/>
    <s v="Shop &amp; Share"/>
    <x v="2"/>
    <x v="88"/>
    <d v="2024-10-11T00:00:00"/>
    <n v="38531.199999999997"/>
    <n v="32966.400000000001"/>
    <n v="28430.400000000001"/>
    <n v="2115.7919999999999"/>
    <n v="5251.5839999999998"/>
    <x v="4"/>
    <x v="2"/>
    <x v="1"/>
    <n v="0.85557677933726495"/>
    <n v="0.862405358182877"/>
    <n v="6.4180256260920193E-2"/>
    <n v="7.4420057403342899E-2"/>
    <n v="1.4820889766101799"/>
    <n v="2.4820889766101799"/>
  </r>
  <r>
    <s v="CMP1785"/>
    <s v="Wishlist Wonders"/>
    <x v="2"/>
    <x v="52"/>
    <d v="2024-02-05T00:00:00"/>
    <n v="36915.199999999997"/>
    <n v="15944"/>
    <n v="6619.2"/>
    <n v="834.84799999999996"/>
    <n v="2573.2640000000001"/>
    <x v="3"/>
    <x v="4"/>
    <x v="1"/>
    <n v="0.43190880721220498"/>
    <n v="0.41515303562468597"/>
    <n v="5.2361264425489197E-2"/>
    <n v="0.12612521150592201"/>
    <n v="2.0823143853731501"/>
    <n v="3.0823143853731501"/>
  </r>
  <r>
    <s v="CMP1786"/>
    <s v="Wishlist Wonders"/>
    <x v="3"/>
    <x v="107"/>
    <d v="2024-02-15T00:00:00"/>
    <n v="10195.200000000001"/>
    <n v="3086.4"/>
    <n v="2811.2"/>
    <n v="3997.7440000000001"/>
    <n v="5397.9520000000002"/>
    <x v="1"/>
    <x v="2"/>
    <x v="0"/>
    <n v="0.30273069679849302"/>
    <n v="0.91083462934162795"/>
    <n v="1.29527734577501"/>
    <n v="1.4220774046670499"/>
    <n v="0.35024954074097803"/>
    <n v="1.35024954074098"/>
  </r>
  <r>
    <s v="CMP1787"/>
    <s v="Wishlist Wonders"/>
    <x v="2"/>
    <x v="226"/>
    <d v="2024-01-06T00:00:00"/>
    <n v="74598.399999999994"/>
    <n v="18579.2"/>
    <n v="18339.2"/>
    <n v="1418.64"/>
    <n v="5656.2560000000003"/>
    <x v="4"/>
    <x v="1"/>
    <x v="1"/>
    <n v="0.249056280027454"/>
    <n v="0.98708232862556"/>
    <n v="7.63563554943162E-2"/>
    <n v="7.7355609841214507E-2"/>
    <n v="2.9870975018327401"/>
    <n v="3.9870975018327401"/>
  </r>
  <r>
    <s v="CMP1788"/>
    <s v="Flash Sale Frenzy"/>
    <x v="2"/>
    <x v="233"/>
    <d v="2024-05-31T00:00:00"/>
    <n v="8206.4"/>
    <n v="4782.3999999999996"/>
    <n v="4366.3999999999996"/>
    <n v="1510.4960000000001"/>
    <n v="3169.5520000000001"/>
    <x v="0"/>
    <x v="4"/>
    <x v="1"/>
    <n v="0.58276467147592104"/>
    <n v="0.91301438608230201"/>
    <n v="0.31584476413516199"/>
    <n v="0.345936240381092"/>
    <n v="1.09835179967375"/>
    <n v="2.09835179967375"/>
  </r>
  <r>
    <s v="CMP1789"/>
    <s v="Cart to Couch"/>
    <x v="3"/>
    <x v="191"/>
    <d v="2024-06-08T00:00:00"/>
    <n v="29816"/>
    <n v="19145.599999999999"/>
    <n v="9331.2000000000007"/>
    <n v="2061.84"/>
    <n v="8172.9759999999997"/>
    <x v="1"/>
    <x v="1"/>
    <x v="1"/>
    <n v="0.64212503353903905"/>
    <n v="0.48738091258565902"/>
    <n v="0.107692629115828"/>
    <n v="0.22096193415637899"/>
    <n v="2.9639234858184902"/>
    <n v="3.9639234858184902"/>
  </r>
  <r>
    <s v="CMP1790"/>
    <s v="Cart to Couch"/>
    <x v="1"/>
    <x v="226"/>
    <d v="2024-01-19T00:00:00"/>
    <n v="40155.199999999997"/>
    <n v="18651.2"/>
    <n v="5022.3999999999996"/>
    <n v="1414.144"/>
    <n v="4482.5439999999999"/>
    <x v="0"/>
    <x v="2"/>
    <x v="0"/>
    <n v="0.464477826034984"/>
    <n v="0.26928026078751"/>
    <n v="7.5820537016384998E-2"/>
    <n v="0.28156737814590599"/>
    <n v="2.1697931752353399"/>
    <n v="3.1697931752353399"/>
  </r>
  <r>
    <s v="CMP1791"/>
    <s v="Shop &amp; Share"/>
    <x v="3"/>
    <x v="234"/>
    <d v="2024-10-08T00:00:00"/>
    <n v="44075.199999999997"/>
    <n v="36480"/>
    <n v="8251.2000000000007"/>
    <n v="6234.7039999999997"/>
    <n v="22572.831999999999"/>
    <x v="1"/>
    <x v="1"/>
    <x v="1"/>
    <n v="0.82767633499110604"/>
    <n v="0.22618421052631599"/>
    <n v="0.17090745614035099"/>
    <n v="0.75561178980027099"/>
    <n v="2.62051382070424"/>
    <n v="3.62051382070424"/>
  </r>
  <r>
    <s v="CMP1792"/>
    <s v="Flash Sale Frenzy"/>
    <x v="2"/>
    <x v="199"/>
    <d v="2024-07-10T00:00:00"/>
    <n v="50310.400000000001"/>
    <n v="18955.2"/>
    <n v="1644.8"/>
    <n v="4705.1679999999997"/>
    <n v="14577.712"/>
    <x v="1"/>
    <x v="0"/>
    <x v="1"/>
    <n v="0.37676504261544302"/>
    <n v="8.6773022706170294E-2"/>
    <n v="0.24822571115050199"/>
    <n v="2.86063229571984"/>
    <n v="2.09823411193819"/>
    <n v="3.09823411193819"/>
  </r>
  <r>
    <s v="CMP1793"/>
    <s v="Cart to Couch"/>
    <x v="0"/>
    <x v="138"/>
    <d v="2024-02-21T00:00:00"/>
    <n v="30380.799999999999"/>
    <n v="24875.200000000001"/>
    <n v="17080"/>
    <n v="1298.5920000000001"/>
    <n v="3412.2559999999999"/>
    <x v="4"/>
    <x v="2"/>
    <x v="1"/>
    <n v="0.81878028228354804"/>
    <n v="0.68662764520486297"/>
    <n v="5.2204283784652999E-2"/>
    <n v="7.6029976580796299E-2"/>
    <n v="1.6276582637194701"/>
    <n v="2.6276582637194701"/>
  </r>
  <r>
    <s v="CMP1794"/>
    <s v="Flash Sale Frenzy"/>
    <x v="3"/>
    <x v="194"/>
    <d v="2024-02-11T00:00:00"/>
    <n v="33478.400000000001"/>
    <n v="3134.4"/>
    <n v="1105.5999999999999"/>
    <n v="5432"/>
    <n v="14094.528"/>
    <x v="2"/>
    <x v="2"/>
    <x v="1"/>
    <n v="9.3624545975912798E-2"/>
    <n v="0.35273098519652901"/>
    <n v="1.7330270546197"/>
    <n v="4.9131693198263404"/>
    <n v="1.59472164948454"/>
    <n v="2.5947216494845402"/>
  </r>
  <r>
    <s v="CMP1795"/>
    <s v="Wishlist Wonders"/>
    <x v="2"/>
    <x v="26"/>
    <d v="2024-09-03T00:00:00"/>
    <n v="75664"/>
    <n v="20689.599999999999"/>
    <n v="7579.2"/>
    <n v="1589.92"/>
    <n v="5764.576"/>
    <x v="4"/>
    <x v="4"/>
    <x v="1"/>
    <n v="0.273440473673081"/>
    <n v="0.36632897687727201"/>
    <n v="7.6846338256902E-2"/>
    <n v="0.20977411864049"/>
    <n v="2.6257019221092901"/>
    <n v="3.6257019221092901"/>
  </r>
  <r>
    <s v="CMP1796"/>
    <s v="Cart to Couch"/>
    <x v="2"/>
    <x v="91"/>
    <d v="2024-06-21T00:00:00"/>
    <n v="40785.599999999999"/>
    <n v="3270.4"/>
    <n v="3.2"/>
    <n v="7997.5039999999999"/>
    <n v="27667.727999999999"/>
    <x v="2"/>
    <x v="4"/>
    <x v="1"/>
    <n v="8.0185163391000694E-2"/>
    <n v="9.7847358121330697E-4"/>
    <n v="2.4454207436399198"/>
    <n v="2499.2199999999998"/>
    <n v="2.4595453781579901"/>
    <n v="3.4595453781579901"/>
  </r>
  <r>
    <s v="CMP1797"/>
    <s v="Shop &amp; Share"/>
    <x v="3"/>
    <x v="165"/>
    <d v="2024-05-18T00:00:00"/>
    <n v="21646.400000000001"/>
    <n v="7467.2"/>
    <n v="5923.2"/>
    <n v="5147.152"/>
    <n v="19032.864000000001"/>
    <x v="0"/>
    <x v="2"/>
    <x v="1"/>
    <n v="0.34496267277699799"/>
    <n v="0.79322905506749497"/>
    <n v="0.68930147846582401"/>
    <n v="0.868981631550513"/>
    <n v="2.6977466373637302"/>
    <n v="3.6977466373637302"/>
  </r>
  <r>
    <s v="CMP1798"/>
    <s v="Wishlist Wonders"/>
    <x v="3"/>
    <x v="107"/>
    <d v="2024-01-30T00:00:00"/>
    <n v="2019.2"/>
    <n v="224"/>
    <n v="62.4"/>
    <n v="5027.6319999999996"/>
    <n v="19457.344000000001"/>
    <x v="0"/>
    <x v="0"/>
    <x v="0"/>
    <n v="0.110935023771791"/>
    <n v="0.27857142857142903"/>
    <n v="22.4447857142857"/>
    <n v="80.571025641025599"/>
    <n v="2.8700811833483399"/>
    <n v="3.8700811833483399"/>
  </r>
  <r>
    <s v="CMP1799"/>
    <s v="Wishlist Wonders"/>
    <x v="0"/>
    <x v="42"/>
    <d v="2024-04-22T00:00:00"/>
    <n v="16344"/>
    <n v="11992"/>
    <n v="4336"/>
    <n v="6455.3760000000002"/>
    <n v="15794.96"/>
    <x v="4"/>
    <x v="3"/>
    <x v="1"/>
    <n v="0.73372491434165399"/>
    <n v="0.36157438292194799"/>
    <n v="0.53830687124749799"/>
    <n v="1.4887859778597801"/>
    <n v="1.4467916353749199"/>
    <n v="2.4467916353749199"/>
  </r>
  <r>
    <s v="CMP1800"/>
    <s v="Cart to Couch"/>
    <x v="1"/>
    <x v="163"/>
    <d v="2024-02-20T00:00:00"/>
    <n v="46979.199999999997"/>
    <n v="36371.199999999997"/>
    <n v="9558.4"/>
    <n v="3172.5120000000002"/>
    <n v="10707.183999999999"/>
    <x v="4"/>
    <x v="4"/>
    <x v="0"/>
    <n v="0.77419794291942001"/>
    <n v="0.26280133732183703"/>
    <n v="8.7225937005102894E-2"/>
    <n v="0.33190826916638799"/>
    <n v="2.3749861308641198"/>
    <n v="3.3749861308641198"/>
  </r>
  <r>
    <s v="CMP1801"/>
    <s v="Cart to Couch"/>
    <x v="0"/>
    <x v="159"/>
    <d v="2024-07-18T00:00:00"/>
    <n v="1968"/>
    <n v="1339.2"/>
    <n v="158.4"/>
    <n v="2674.96"/>
    <n v="7305.0879999999997"/>
    <x v="2"/>
    <x v="4"/>
    <x v="1"/>
    <n v="0.68048780487804905"/>
    <n v="0.118279569892473"/>
    <n v="1.9974313022700101"/>
    <n v="16.8873737373737"/>
    <n v="1.73091485480157"/>
    <n v="2.7309148548015698"/>
  </r>
  <r>
    <s v="CMP1802"/>
    <s v="Cart to Couch"/>
    <x v="0"/>
    <x v="169"/>
    <d v="2024-01-19T00:00:00"/>
    <n v="73468.800000000003"/>
    <n v="34771.199999999997"/>
    <n v="23148.799999999999"/>
    <n v="2070.384"/>
    <n v="2774.8960000000002"/>
    <x v="3"/>
    <x v="3"/>
    <x v="1"/>
    <n v="0.47327845289428999"/>
    <n v="0.66574636480765703"/>
    <n v="5.9543070127001697E-2"/>
    <n v="8.9438070223942498E-2"/>
    <n v="0.34028083679162902"/>
    <n v="1.3402808367916299"/>
  </r>
  <r>
    <s v="CMP1803"/>
    <s v="Wishlist Wonders"/>
    <x v="3"/>
    <x v="24"/>
    <d v="2024-03-17T00:00:00"/>
    <n v="48395.199999999997"/>
    <n v="1515.2"/>
    <n v="262.39999999999998"/>
    <n v="5338.768"/>
    <n v="16612.8"/>
    <x v="2"/>
    <x v="2"/>
    <x v="1"/>
    <n v="3.1308890137864899E-2"/>
    <n v="0.17317845828933501"/>
    <n v="3.5234741288278801"/>
    <n v="20.3459146341463"/>
    <n v="2.1117291479981901"/>
    <n v="3.1117291479981901"/>
  </r>
  <r>
    <s v="CMP1804"/>
    <s v="Flash Sale Frenzy"/>
    <x v="1"/>
    <x v="89"/>
    <d v="2024-02-15T00:00:00"/>
    <n v="60979.199999999997"/>
    <n v="33856"/>
    <n v="14771.2"/>
    <n v="1535.616"/>
    <n v="2424.3519999999999"/>
    <x v="3"/>
    <x v="2"/>
    <x v="1"/>
    <n v="0.55520570948782499"/>
    <n v="0.43629489603024602"/>
    <n v="4.5357277882797697E-2"/>
    <n v="0.10396013864818"/>
    <n v="0.57874885388013697"/>
    <n v="1.57874885388014"/>
  </r>
  <r>
    <s v="CMP1805"/>
    <s v="Deal of the Day"/>
    <x v="1"/>
    <x v="219"/>
    <d v="2024-02-04T00:00:00"/>
    <n v="9420.7999999999993"/>
    <n v="2504"/>
    <n v="1312"/>
    <n v="4725.3280000000004"/>
    <n v="9950.9279999999999"/>
    <x v="2"/>
    <x v="2"/>
    <x v="1"/>
    <n v="0.26579483695652201"/>
    <n v="0.52396166134185296"/>
    <n v="1.8871118210862601"/>
    <n v="3.60162195121951"/>
    <n v="1.10587032265273"/>
    <n v="2.1058703226527302"/>
  </r>
  <r>
    <s v="CMP1806"/>
    <s v="Flash Sale Frenzy"/>
    <x v="1"/>
    <x v="237"/>
    <d v="2024-05-19T00:00:00"/>
    <n v="60316.800000000003"/>
    <n v="16878.400000000001"/>
    <n v="9905.6"/>
    <n v="2326.7199999999998"/>
    <n v="7680.5280000000002"/>
    <x v="3"/>
    <x v="4"/>
    <x v="1"/>
    <n v="0.27982916865616198"/>
    <n v="0.58688027301166001"/>
    <n v="0.137851929092805"/>
    <n v="0.23488935551607201"/>
    <n v="2.3010108650804599"/>
    <n v="3.3010108650804599"/>
  </r>
  <r>
    <s v="CMP1807"/>
    <s v="Deal of the Day"/>
    <x v="2"/>
    <x v="52"/>
    <d v="2024-01-27T00:00:00"/>
    <n v="48742.400000000001"/>
    <n v="5969.6"/>
    <n v="3980.8"/>
    <n v="5086.6080000000002"/>
    <n v="13867.856"/>
    <x v="0"/>
    <x v="3"/>
    <x v="0"/>
    <n v="0.12247242647058799"/>
    <n v="0.66684534977217902"/>
    <n v="0.852085231841329"/>
    <n v="1.27778536977492"/>
    <n v="1.72634651618525"/>
    <n v="2.72634651618525"/>
  </r>
  <r>
    <s v="CMP1808"/>
    <s v="Deal of the Day"/>
    <x v="3"/>
    <x v="152"/>
    <d v="2024-07-16T00:00:00"/>
    <n v="76132.800000000003"/>
    <n v="39064"/>
    <n v="18307.2"/>
    <n v="4487.0879999999997"/>
    <n v="12722.992"/>
    <x v="2"/>
    <x v="4"/>
    <x v="0"/>
    <n v="0.51310341928840097"/>
    <n v="0.46864632398115902"/>
    <n v="0.11486504198238801"/>
    <n v="0.24509963293130599"/>
    <n v="1.83546745684506"/>
    <n v="2.83546745684506"/>
  </r>
  <r>
    <s v="CMP1809"/>
    <s v="Wishlist Wonders"/>
    <x v="3"/>
    <x v="195"/>
    <d v="2024-04-17T00:00:00"/>
    <n v="72619.199999999997"/>
    <n v="41539.199999999997"/>
    <n v="19736"/>
    <n v="3092"/>
    <n v="10320.656000000001"/>
    <x v="4"/>
    <x v="0"/>
    <x v="1"/>
    <n v="0.57201401282305497"/>
    <n v="0.47511747939295901"/>
    <n v="7.4435713735459499E-2"/>
    <n v="0.156668017835428"/>
    <n v="2.3378576972833098"/>
    <n v="3.3378576972833098"/>
  </r>
  <r>
    <s v="CMP1810"/>
    <s v="Deal of the Day"/>
    <x v="1"/>
    <x v="264"/>
    <d v="2024-08-04T00:00:00"/>
    <n v="17512"/>
    <n v="1891.2"/>
    <n v="1473.6"/>
    <n v="5393.1840000000002"/>
    <n v="14788.224"/>
    <x v="1"/>
    <x v="1"/>
    <x v="1"/>
    <n v="0.10799451804476901"/>
    <n v="0.77918781725888298"/>
    <n v="2.8517258883248702"/>
    <n v="3.6598697068403898"/>
    <n v="1.74202103989035"/>
    <n v="2.74202103989035"/>
  </r>
  <r>
    <s v="CMP1811"/>
    <s v="Wishlist Wonders"/>
    <x v="2"/>
    <x v="214"/>
    <d v="2024-06-21T00:00:00"/>
    <n v="17276.8"/>
    <n v="795.2"/>
    <n v="400"/>
    <n v="2813.2159999999999"/>
    <n v="8571.3279999999995"/>
    <x v="0"/>
    <x v="1"/>
    <x v="1"/>
    <n v="4.6027042044823101E-2"/>
    <n v="0.50301810865191099"/>
    <n v="3.53774647887324"/>
    <n v="7.0330399999999997"/>
    <n v="2.0468076393707402"/>
    <n v="3.0468076393707402"/>
  </r>
  <r>
    <s v="CMP1812"/>
    <s v="Cart to Couch"/>
    <x v="1"/>
    <x v="274"/>
    <d v="2024-07-08T00:00:00"/>
    <n v="29649.599999999999"/>
    <n v="16950.400000000001"/>
    <n v="5550.4"/>
    <n v="5991.0079999999998"/>
    <n v="22247.472000000002"/>
    <x v="2"/>
    <x v="3"/>
    <x v="1"/>
    <n v="0.57169068048135596"/>
    <n v="0.32744949971682102"/>
    <n v="0.35344345856144999"/>
    <n v="1.0793831075237801"/>
    <n v="2.7134772645938701"/>
    <n v="3.7134772645938701"/>
  </r>
  <r>
    <s v="CMP1813"/>
    <s v="Seasonal Steals"/>
    <x v="0"/>
    <x v="114"/>
    <d v="2024-01-29T00:00:00"/>
    <n v="72377.600000000006"/>
    <n v="38817.599999999999"/>
    <n v="21302.400000000001"/>
    <n v="2319.4879999999998"/>
    <n v="7951.8879999999999"/>
    <x v="0"/>
    <x v="0"/>
    <x v="0"/>
    <n v="0.53632062958705495"/>
    <n v="0.54878199579572196"/>
    <n v="5.9753513869997103E-2"/>
    <n v="0.108883881628361"/>
    <n v="2.4282945201699699"/>
    <n v="3.4282945201699699"/>
  </r>
  <r>
    <s v="CMP1814"/>
    <s v="Flash Sale Frenzy"/>
    <x v="2"/>
    <x v="284"/>
    <d v="2024-09-11T00:00:00"/>
    <n v="54379.199999999997"/>
    <n v="51819.199999999997"/>
    <n v="31577.599999999999"/>
    <n v="635.29600000000005"/>
    <n v="1549.104"/>
    <x v="2"/>
    <x v="0"/>
    <x v="0"/>
    <n v="0.95292317650866498"/>
    <n v="0.60938030691326805"/>
    <n v="1.22598573501714E-2"/>
    <n v="2.0118565058775802E-2"/>
    <n v="1.43839721956379"/>
    <n v="2.43839721956379"/>
  </r>
  <r>
    <s v="CMP1815"/>
    <s v="Seasonal Steals"/>
    <x v="2"/>
    <x v="46"/>
    <d v="2024-06-02T00:00:00"/>
    <n v="39320"/>
    <n v="9876.7999999999993"/>
    <n v="7433.6"/>
    <n v="7068.1120000000001"/>
    <n v="27201.151999999998"/>
    <x v="2"/>
    <x v="2"/>
    <x v="0"/>
    <n v="0.25119023397762003"/>
    <n v="0.75263243155677995"/>
    <n v="0.71562773367892396"/>
    <n v="0.95083297460180805"/>
    <n v="2.8484325092754599"/>
    <n v="3.8484325092754599"/>
  </r>
  <r>
    <s v="CMP1816"/>
    <s v="Seasonal Steals"/>
    <x v="1"/>
    <x v="204"/>
    <d v="2024-11-05T00:00:00"/>
    <n v="55576"/>
    <n v="38715.199999999997"/>
    <n v="8555.2000000000007"/>
    <n v="2385.6640000000002"/>
    <n v="4670.2719999999999"/>
    <x v="4"/>
    <x v="4"/>
    <x v="0"/>
    <n v="0.69661724485389398"/>
    <n v="0.22097780716617799"/>
    <n v="6.1620862090341802E-2"/>
    <n v="0.27885543295305798"/>
    <n v="0.95764030475372897"/>
    <n v="1.9576403047537301"/>
  </r>
  <r>
    <s v="CMP1817"/>
    <s v="Flash Sale Frenzy"/>
    <x v="2"/>
    <x v="33"/>
    <d v="2024-06-18T00:00:00"/>
    <n v="21912"/>
    <n v="17595.2"/>
    <n v="7420.8"/>
    <n v="1956.3040000000001"/>
    <n v="6536.3360000000002"/>
    <x v="0"/>
    <x v="0"/>
    <x v="1"/>
    <n v="0.80299379335523902"/>
    <n v="0.42175138674183899"/>
    <n v="0.111183959261617"/>
    <n v="0.26362440707201401"/>
    <n v="2.3411657901839402"/>
    <n v="3.3411657901839402"/>
  </r>
  <r>
    <s v="CMP1818"/>
    <s v="Flash Sale Frenzy"/>
    <x v="0"/>
    <x v="13"/>
    <d v="2024-05-01T00:00:00"/>
    <n v="6048"/>
    <n v="5670.4"/>
    <n v="1953.6"/>
    <n v="7316.4319999999998"/>
    <n v="19503.488000000001"/>
    <x v="1"/>
    <x v="0"/>
    <x v="0"/>
    <n v="0.93756613756613705"/>
    <n v="0.344525959367946"/>
    <n v="1.2902849887133201"/>
    <n v="3.7451023751023702"/>
    <n v="1.6657102806395201"/>
    <n v="2.6657102806395301"/>
  </r>
  <r>
    <s v="CMP1819"/>
    <s v="Deal of the Day"/>
    <x v="2"/>
    <x v="43"/>
    <d v="2024-03-14T00:00:00"/>
    <n v="45844.800000000003"/>
    <n v="45075.199999999997"/>
    <n v="32676.799999999999"/>
    <n v="3878.5279999999998"/>
    <n v="5502.7039999999997"/>
    <x v="0"/>
    <x v="3"/>
    <x v="0"/>
    <n v="0.983212927093149"/>
    <n v="0.72493965639642199"/>
    <n v="8.6045719153769698E-2"/>
    <n v="0.118693629731185"/>
    <n v="0.41876093198244302"/>
    <n v="1.4187609319824399"/>
  </r>
  <r>
    <s v="CMP1820"/>
    <s v="Shop &amp; Share"/>
    <x v="0"/>
    <x v="104"/>
    <d v="2024-05-16T00:00:00"/>
    <n v="6211.2"/>
    <n v="1446.4"/>
    <n v="1347.2"/>
    <n v="3804.96"/>
    <n v="6078.2079999999996"/>
    <x v="3"/>
    <x v="2"/>
    <x v="1"/>
    <n v="0.232869654817105"/>
    <n v="0.93141592920353999"/>
    <n v="2.6306415929203499"/>
    <n v="2.8243467933491702"/>
    <n v="0.59744333711786701"/>
    <n v="1.59744333711787"/>
  </r>
  <r>
    <s v="CMP1821"/>
    <s v="Deal of the Day"/>
    <x v="2"/>
    <x v="105"/>
    <d v="2024-10-15T00:00:00"/>
    <n v="62176"/>
    <n v="55089.599999999999"/>
    <n v="15056"/>
    <n v="4535.7120000000004"/>
    <n v="17086.704000000002"/>
    <x v="2"/>
    <x v="0"/>
    <x v="1"/>
    <n v="0.88602676273803405"/>
    <n v="0.27330022363567702"/>
    <n v="8.2333362376927802E-2"/>
    <n v="0.30125611052072299"/>
    <n v="2.7671492369885899"/>
    <n v="3.7671492369885899"/>
  </r>
  <r>
    <s v="CMP1822"/>
    <s v="Deal of the Day"/>
    <x v="0"/>
    <x v="246"/>
    <d v="2024-07-08T00:00:00"/>
    <n v="34499.199999999997"/>
    <n v="4041.6"/>
    <n v="281.60000000000002"/>
    <n v="4272"/>
    <n v="11138.432000000001"/>
    <x v="0"/>
    <x v="0"/>
    <x v="1"/>
    <n v="0.117150542621278"/>
    <n v="6.9675376088677798E-2"/>
    <n v="1.0570071258907401"/>
    <n v="15.170454545454501"/>
    <n v="1.6073108614232201"/>
    <n v="2.6073108614232199"/>
  </r>
  <r>
    <s v="CMP1823"/>
    <s v="Seasonal Steals"/>
    <x v="0"/>
    <x v="290"/>
    <d v="2024-03-28T00:00:00"/>
    <n v="1860.8"/>
    <n v="1448"/>
    <n v="574.4"/>
    <n v="5818.4480000000003"/>
    <n v="7515.9520000000002"/>
    <x v="2"/>
    <x v="1"/>
    <x v="1"/>
    <n v="0.77815993121238203"/>
    <n v="0.39668508287292797"/>
    <n v="4.0182651933701701"/>
    <n v="10.1296100278552"/>
    <n v="0.29174515265926598"/>
    <n v="1.29174515265927"/>
  </r>
  <r>
    <s v="CMP1824"/>
    <s v="Cart to Couch"/>
    <x v="0"/>
    <x v="162"/>
    <d v="2024-10-23T00:00:00"/>
    <n v="48430.400000000001"/>
    <n v="36665.599999999999"/>
    <n v="19454.400000000001"/>
    <n v="4690.0479999999998"/>
    <n v="12314.4"/>
    <x v="2"/>
    <x v="0"/>
    <x v="0"/>
    <n v="0.75707819881727201"/>
    <n v="0.53058998079944197"/>
    <n v="0.12791412113806899"/>
    <n v="0.241079036104943"/>
    <n v="1.6256447695204801"/>
    <n v="2.6256447695204801"/>
  </r>
  <r>
    <s v="CMP1825"/>
    <s v="Wishlist Wonders"/>
    <x v="0"/>
    <x v="83"/>
    <d v="2024-07-17T00:00:00"/>
    <n v="73760"/>
    <n v="12427.2"/>
    <n v="11766.4"/>
    <n v="5297.9679999999998"/>
    <n v="19951.455999999998"/>
    <x v="1"/>
    <x v="0"/>
    <x v="1"/>
    <n v="0.16848156182212601"/>
    <n v="0.94682631646710402"/>
    <n v="0.42632032959958799"/>
    <n v="0.45026244220832201"/>
    <n v="2.7658694805253599"/>
    <n v="3.7658694805253599"/>
  </r>
  <r>
    <s v="CMP1826"/>
    <s v="Shop &amp; Share"/>
    <x v="0"/>
    <x v="44"/>
    <d v="2024-09-14T00:00:00"/>
    <n v="60230.400000000001"/>
    <n v="854.4"/>
    <n v="435.2"/>
    <n v="3147.8719999999998"/>
    <n v="10288.144"/>
    <x v="1"/>
    <x v="0"/>
    <x v="1"/>
    <n v="1.4185527574115399E-2"/>
    <n v="0.50936329588014995"/>
    <n v="3.6843071161048702"/>
    <n v="7.2331617647058799"/>
    <n v="2.2682853686554001"/>
    <n v="3.2682853686554001"/>
  </r>
  <r>
    <s v="CMP1827"/>
    <s v="Seasonal Steals"/>
    <x v="1"/>
    <x v="164"/>
    <d v="2024-03-03T00:00:00"/>
    <n v="69321.600000000006"/>
    <n v="49292.800000000003"/>
    <n v="3100.8"/>
    <n v="229.34399999999999"/>
    <n v="397.68"/>
    <x v="0"/>
    <x v="3"/>
    <x v="1"/>
    <n v="0.71107418178461002"/>
    <n v="6.2905738769150898E-2"/>
    <n v="4.6526876136068597E-3"/>
    <n v="7.3962848297213599E-2"/>
    <n v="0.73398911678526602"/>
    <n v="1.7339891167852699"/>
  </r>
  <r>
    <s v="CMP1828"/>
    <s v="Wishlist Wonders"/>
    <x v="1"/>
    <x v="223"/>
    <d v="2024-07-29T00:00:00"/>
    <n v="18536"/>
    <n v="6673.6"/>
    <n v="5468.8"/>
    <n v="930.73599999999999"/>
    <n v="1485.5360000000001"/>
    <x v="3"/>
    <x v="1"/>
    <x v="1"/>
    <n v="0.36003452740612901"/>
    <n v="0.81946775353632195"/>
    <n v="0.13946535602972901"/>
    <n v="0.17019016968987699"/>
    <n v="0.59608739750047302"/>
    <n v="1.5960873975004699"/>
  </r>
  <r>
    <s v="CMP1829"/>
    <s v="Cart to Couch"/>
    <x v="0"/>
    <x v="62"/>
    <d v="2024-04-22T00:00:00"/>
    <n v="50072"/>
    <n v="46636.800000000003"/>
    <n v="36587.199999999997"/>
    <n v="5689.7759999999998"/>
    <n v="7613.1679999999997"/>
    <x v="3"/>
    <x v="3"/>
    <x v="1"/>
    <n v="0.93139479150023996"/>
    <n v="0.784513517222451"/>
    <n v="0.122001852614245"/>
    <n v="0.15551274762758599"/>
    <n v="0.338043536336053"/>
    <n v="1.3380435363360501"/>
  </r>
  <r>
    <s v="CMP1830"/>
    <s v="Deal of the Day"/>
    <x v="2"/>
    <x v="285"/>
    <d v="2024-03-01T00:00:00"/>
    <n v="67712"/>
    <n v="47980.800000000003"/>
    <n v="1862.4"/>
    <n v="6402.9279999999999"/>
    <n v="19266.464"/>
    <x v="2"/>
    <x v="3"/>
    <x v="0"/>
    <n v="0.70860113421550097"/>
    <n v="3.8815526210484202E-2"/>
    <n v="0.133447712418301"/>
    <n v="3.4379982817869399"/>
    <n v="2.0090083786667599"/>
    <n v="3.0090083786667599"/>
  </r>
  <r>
    <s v="CMP1831"/>
    <s v="Wishlist Wonders"/>
    <x v="2"/>
    <x v="195"/>
    <d v="2024-04-16T00:00:00"/>
    <n v="51875.199999999997"/>
    <n v="29308.799999999999"/>
    <n v="29056"/>
    <n v="4135.3119999999999"/>
    <n v="11436.944"/>
    <x v="3"/>
    <x v="1"/>
    <x v="1"/>
    <n v="0.56498673740053096"/>
    <n v="0.99137460421443402"/>
    <n v="0.14109455180696601"/>
    <n v="0.14232213656387699"/>
    <n v="1.7656786235234501"/>
    <n v="2.7656786235234501"/>
  </r>
  <r>
    <s v="CMP1832"/>
    <s v="Shop &amp; Share"/>
    <x v="0"/>
    <x v="219"/>
    <d v="2024-01-07T00:00:00"/>
    <n v="56828.800000000003"/>
    <n v="16401.599999999999"/>
    <n v="13076.8"/>
    <n v="1759.104"/>
    <n v="5893.7439999999997"/>
    <x v="1"/>
    <x v="2"/>
    <x v="1"/>
    <n v="0.28861422377386098"/>
    <n v="0.79728806945663799"/>
    <n v="0.10725197541703201"/>
    <n v="0.13452098372690599"/>
    <n v="2.3504238521429102"/>
    <n v="3.3504238521429102"/>
  </r>
  <r>
    <s v="CMP1833"/>
    <s v="Wishlist Wonders"/>
    <x v="0"/>
    <x v="209"/>
    <d v="2024-05-01T00:00:00"/>
    <n v="40096"/>
    <n v="5859.2"/>
    <n v="3481.6"/>
    <n v="6213.7280000000001"/>
    <n v="10055.072"/>
    <x v="4"/>
    <x v="2"/>
    <x v="1"/>
    <n v="0.14612928970470901"/>
    <n v="0.59421081376297102"/>
    <n v="1.0605079191698501"/>
    <n v="1.78473345588235"/>
    <n v="0.618202792268989"/>
    <n v="1.6182027922689901"/>
  </r>
  <r>
    <s v="CMP1834"/>
    <s v="Deal of the Day"/>
    <x v="0"/>
    <x v="207"/>
    <d v="2024-06-18T00:00:00"/>
    <n v="21244.799999999999"/>
    <n v="5929.6"/>
    <n v="1505.6"/>
    <n v="2304.88"/>
    <n v="3172.2559999999999"/>
    <x v="2"/>
    <x v="1"/>
    <x v="1"/>
    <n v="0.279108299442687"/>
    <n v="0.25391257420399299"/>
    <n v="0.38870750134916299"/>
    <n v="1.5308714133900101"/>
    <n v="0.37632154385477801"/>
    <n v="1.37632154385478"/>
  </r>
  <r>
    <s v="CMP1835"/>
    <s v="Wishlist Wonders"/>
    <x v="1"/>
    <x v="138"/>
    <d v="2024-01-27T00:00:00"/>
    <n v="5481.6"/>
    <n v="4748.8"/>
    <n v="835.2"/>
    <n v="1361.4559999999999"/>
    <n v="2696.768"/>
    <x v="3"/>
    <x v="4"/>
    <x v="0"/>
    <n v="0.86631640396964404"/>
    <n v="0.175876010781671"/>
    <n v="0.28669474393531003"/>
    <n v="1.63009578544061"/>
    <n v="0.98079702906300303"/>
    <n v="1.9807970290629999"/>
  </r>
  <r>
    <s v="CMP1836"/>
    <s v="Seasonal Steals"/>
    <x v="3"/>
    <x v="233"/>
    <d v="2024-06-05T00:00:00"/>
    <n v="13102.4"/>
    <n v="12193.6"/>
    <n v="10355.200000000001"/>
    <n v="4886.8"/>
    <n v="9703.0560000000005"/>
    <x v="4"/>
    <x v="3"/>
    <x v="0"/>
    <n v="0.93063866161924502"/>
    <n v="0.84923238420154801"/>
    <n v="0.40076761579845199"/>
    <n v="0.47191749072929501"/>
    <n v="0.98556437750675296"/>
    <n v="1.98556437750675"/>
  </r>
  <r>
    <s v="CMP1837"/>
    <s v="Deal of the Day"/>
    <x v="1"/>
    <x v="80"/>
    <d v="2024-10-27T00:00:00"/>
    <n v="65577.600000000006"/>
    <n v="20862.400000000001"/>
    <n v="17297.599999999999"/>
    <n v="2963.7759999999998"/>
    <n v="8352.1759999999995"/>
    <x v="1"/>
    <x v="1"/>
    <x v="0"/>
    <n v="0.31813302103157198"/>
    <n v="0.82912800061354397"/>
    <n v="0.142063041644298"/>
    <n v="0.17134030154472299"/>
    <n v="1.81808611716945"/>
    <n v="2.8180861171694498"/>
  </r>
  <r>
    <s v="CMP1838"/>
    <s v="Seasonal Steals"/>
    <x v="0"/>
    <x v="254"/>
    <d v="2024-01-20T00:00:00"/>
    <n v="54408"/>
    <n v="21425.599999999999"/>
    <n v="2017.6"/>
    <n v="1072.576"/>
    <n v="2334.192"/>
    <x v="0"/>
    <x v="4"/>
    <x v="1"/>
    <n v="0.39379503014262601"/>
    <n v="9.4167724591143295E-2"/>
    <n v="5.0060488387723097E-2"/>
    <n v="0.53160983346550394"/>
    <n v="1.1762485828510101"/>
    <n v="2.1762485828510099"/>
  </r>
  <r>
    <s v="CMP1839"/>
    <s v="Flash Sale Frenzy"/>
    <x v="3"/>
    <x v="51"/>
    <d v="2024-08-18T00:00:00"/>
    <n v="74724.800000000003"/>
    <n v="71176"/>
    <n v="32052.799999999999"/>
    <n v="3691.424"/>
    <n v="6984.16"/>
    <x v="4"/>
    <x v="4"/>
    <x v="1"/>
    <n v="0.95250840417103799"/>
    <n v="0.45033157244014799"/>
    <n v="5.18633247161965E-2"/>
    <n v="0.115166974492088"/>
    <n v="0.89199615107882502"/>
    <n v="1.8919961510788199"/>
  </r>
  <r>
    <s v="CMP1840"/>
    <s v="Cart to Couch"/>
    <x v="2"/>
    <x v="31"/>
    <d v="2024-11-03T00:00:00"/>
    <n v="4668.8"/>
    <n v="2432"/>
    <n v="1768"/>
    <n v="5331.6319999999996"/>
    <n v="7299.6639999999998"/>
    <x v="1"/>
    <x v="2"/>
    <x v="1"/>
    <n v="0.52090472926662101"/>
    <n v="0.72697368421052599"/>
    <n v="2.1922828947368398"/>
    <n v="3.0156289592760199"/>
    <n v="0.369123750476402"/>
    <n v="1.3691237504764"/>
  </r>
  <r>
    <s v="CMP1841"/>
    <s v="Wishlist Wonders"/>
    <x v="2"/>
    <x v="82"/>
    <d v="2024-08-24T00:00:00"/>
    <n v="27560"/>
    <n v="27529.599999999999"/>
    <n v="425.6"/>
    <n v="2363.2640000000001"/>
    <n v="8474.7199999999993"/>
    <x v="3"/>
    <x v="4"/>
    <x v="1"/>
    <n v="0.99889695210449903"/>
    <n v="1.5459723352319E-2"/>
    <n v="8.5844472858305307E-2"/>
    <n v="5.5527819548872204"/>
    <n v="2.5860233981476499"/>
    <n v="3.5860233981476499"/>
  </r>
  <r>
    <s v="CMP1842"/>
    <s v="Seasonal Steals"/>
    <x v="2"/>
    <x v="291"/>
    <d v="2024-03-07T00:00:00"/>
    <n v="30924.799999999999"/>
    <n v="22457.599999999999"/>
    <n v="22436.799999999999"/>
    <n v="7290.3360000000002"/>
    <n v="10862.304"/>
    <x v="1"/>
    <x v="1"/>
    <x v="0"/>
    <n v="0.72620033112582805"/>
    <n v="0.99907381020233699"/>
    <n v="0.32462667426617298"/>
    <n v="0.32492761891178801"/>
    <n v="0.48995931051737501"/>
    <n v="1.4899593105173801"/>
  </r>
  <r>
    <s v="CMP1843"/>
    <s v="Deal of the Day"/>
    <x v="0"/>
    <x v="136"/>
    <d v="2024-03-29T00:00:00"/>
    <n v="45257.599999999999"/>
    <n v="45070.400000000001"/>
    <n v="24316.799999999999"/>
    <n v="2445.6"/>
    <n v="3328.4639999999999"/>
    <x v="1"/>
    <x v="0"/>
    <x v="1"/>
    <n v="0.99586367814466503"/>
    <n v="0.539529269764635"/>
    <n v="5.4261777130888603E-2"/>
    <n v="0.10057244374259799"/>
    <n v="0.361000981354269"/>
    <n v="1.3610009813542701"/>
  </r>
  <r>
    <s v="CMP1844"/>
    <s v="Flash Sale Frenzy"/>
    <x v="1"/>
    <x v="98"/>
    <d v="2024-10-02T00:00:00"/>
    <n v="4300.8"/>
    <n v="3993.6"/>
    <n v="960"/>
    <n v="224.624"/>
    <n v="679.85599999999999"/>
    <x v="0"/>
    <x v="3"/>
    <x v="1"/>
    <n v="0.92857142857142805"/>
    <n v="0.240384615384615"/>
    <n v="5.6245993589743602E-2"/>
    <n v="0.23398333333333299"/>
    <n v="2.0266400740793502"/>
    <n v="3.0266400740793502"/>
  </r>
  <r>
    <s v="CMP1845"/>
    <s v="Shop &amp; Share"/>
    <x v="3"/>
    <x v="78"/>
    <d v="2024-09-12T00:00:00"/>
    <n v="65702.399999999994"/>
    <n v="52217.599999999999"/>
    <n v="9691.2000000000007"/>
    <n v="5461.0559999999996"/>
    <n v="8223.7119999999995"/>
    <x v="0"/>
    <x v="1"/>
    <x v="0"/>
    <n v="0.79475939996103695"/>
    <n v="0.18559259713200099"/>
    <n v="0.104582669444785"/>
    <n v="0.56350668647845503"/>
    <n v="0.50588311125174301"/>
    <n v="1.5058831112517399"/>
  </r>
  <r>
    <s v="CMP1846"/>
    <s v="Shop &amp; Share"/>
    <x v="1"/>
    <x v="129"/>
    <d v="2024-10-29T00:00:00"/>
    <n v="48798.400000000001"/>
    <n v="44190.400000000001"/>
    <n v="42908.800000000003"/>
    <n v="498.75200000000001"/>
    <n v="915.15200000000004"/>
    <x v="1"/>
    <x v="3"/>
    <x v="0"/>
    <n v="0.90557067444834305"/>
    <n v="0.97099822585900997"/>
    <n v="1.12864332524711E-2"/>
    <n v="1.1623536430755499E-2"/>
    <n v="0.83488387013986898"/>
    <n v="1.83488387013987"/>
  </r>
  <r>
    <s v="CMP1847"/>
    <s v="Deal of the Day"/>
    <x v="3"/>
    <x v="287"/>
    <d v="2024-05-12T00:00:00"/>
    <n v="75361.600000000006"/>
    <n v="54596.800000000003"/>
    <n v="2329.6"/>
    <n v="7245.2"/>
    <n v="18357.472000000002"/>
    <x v="1"/>
    <x v="2"/>
    <x v="0"/>
    <n v="0.72446444873781901"/>
    <n v="4.2669167423731801E-2"/>
    <n v="0.13270374820502301"/>
    <n v="3.1100618131868099"/>
    <n v="1.5337426158008101"/>
    <n v="2.5337426158008101"/>
  </r>
  <r>
    <s v="CMP1848"/>
    <s v="Shop &amp; Share"/>
    <x v="3"/>
    <x v="291"/>
    <d v="2024-02-24T00:00:00"/>
    <n v="37708.800000000003"/>
    <n v="25508.799999999999"/>
    <n v="11304"/>
    <n v="4265.12"/>
    <n v="13205.52"/>
    <x v="1"/>
    <x v="0"/>
    <x v="1"/>
    <n v="0.67646809232858096"/>
    <n v="0.44314119049112499"/>
    <n v="0.16720190679294999"/>
    <n v="0.37731068648266097"/>
    <n v="2.0961661102149498"/>
    <n v="3.0961661102149498"/>
  </r>
  <r>
    <s v="CMP1849"/>
    <s v="Seasonal Steals"/>
    <x v="1"/>
    <x v="217"/>
    <d v="2024-07-05T00:00:00"/>
    <n v="7516.8"/>
    <n v="5232"/>
    <n v="5187.2"/>
    <n v="7140.1120000000001"/>
    <n v="24306.304"/>
    <x v="3"/>
    <x v="0"/>
    <x v="1"/>
    <n v="0.69604086845466195"/>
    <n v="0.99143730886850101"/>
    <n v="1.3647003058103999"/>
    <n v="1.3764867365823601"/>
    <n v="2.4041908586307899"/>
    <n v="3.4041908586307899"/>
  </r>
  <r>
    <s v="CMP1850"/>
    <s v="Flash Sale Frenzy"/>
    <x v="2"/>
    <x v="66"/>
    <d v="2024-10-29T00:00:00"/>
    <n v="22523.200000000001"/>
    <n v="5371.2"/>
    <n v="3060.8"/>
    <n v="3328.5279999999998"/>
    <n v="11310.08"/>
    <x v="1"/>
    <x v="4"/>
    <x v="1"/>
    <n v="0.23847410669887001"/>
    <n v="0.56985403634197196"/>
    <n v="0.61969913613345295"/>
    <n v="1.08746994249869"/>
    <n v="2.39792244499671"/>
    <n v="3.39792244499671"/>
  </r>
  <r>
    <s v="CMP1851"/>
    <s v="Flash Sale Frenzy"/>
    <x v="1"/>
    <x v="296"/>
    <d v="2024-08-12T00:00:00"/>
    <n v="24729.599999999999"/>
    <n v="1329.6"/>
    <n v="638.4"/>
    <n v="472.096"/>
    <n v="1566.944"/>
    <x v="4"/>
    <x v="3"/>
    <x v="1"/>
    <n v="5.3765527950310602E-2"/>
    <n v="0.48014440433213001"/>
    <n v="0.355066185318893"/>
    <n v="0.73949874686716799"/>
    <n v="2.3191215346031302"/>
    <n v="3.3191215346031302"/>
  </r>
  <r>
    <s v="CMP1852"/>
    <s v="Deal of the Day"/>
    <x v="3"/>
    <x v="168"/>
    <d v="2024-07-02T00:00:00"/>
    <n v="40131.199999999997"/>
    <n v="5497.6"/>
    <n v="356.8"/>
    <n v="2038.4159999999999"/>
    <n v="2835.1039999999998"/>
    <x v="0"/>
    <x v="3"/>
    <x v="1"/>
    <n v="0.13699067060043099"/>
    <n v="6.4901047729918504E-2"/>
    <n v="0.370782887077998"/>
    <n v="5.71304932735426"/>
    <n v="0.39083680661847198"/>
    <n v="1.39083680661847"/>
  </r>
  <r>
    <s v="CMP1853"/>
    <s v="Deal of the Day"/>
    <x v="0"/>
    <x v="63"/>
    <d v="2024-06-04T00:00:00"/>
    <n v="20099.2"/>
    <n v="16608"/>
    <n v="15907.2"/>
    <n v="7803.5839999999998"/>
    <n v="14328.512000000001"/>
    <x v="0"/>
    <x v="1"/>
    <x v="1"/>
    <n v="0.82630154434007297"/>
    <n v="0.95780346820809203"/>
    <n v="0.46986897880539502"/>
    <n v="0.49056930195131798"/>
    <n v="0.83614503284644603"/>
    <n v="1.8361450328464499"/>
  </r>
  <r>
    <s v="CMP1854"/>
    <s v="Cart to Couch"/>
    <x v="2"/>
    <x v="186"/>
    <d v="2024-05-09T00:00:00"/>
    <n v="79078.399999999994"/>
    <n v="18881.599999999999"/>
    <n v="5046.3999999999996"/>
    <n v="7097.9520000000002"/>
    <n v="13143.296"/>
    <x v="0"/>
    <x v="4"/>
    <x v="0"/>
    <n v="0.23877063774684401"/>
    <n v="0.26726548597576499"/>
    <n v="0.375918989916109"/>
    <n v="1.40653772986684"/>
    <n v="0.85170257561617801"/>
    <n v="1.85170257561618"/>
  </r>
  <r>
    <s v="CMP1855"/>
    <s v="Deal of the Day"/>
    <x v="2"/>
    <x v="259"/>
    <d v="2024-05-27T00:00:00"/>
    <n v="16028.8"/>
    <n v="7192"/>
    <n v="59.2"/>
    <n v="3096.72"/>
    <n v="5226.576"/>
    <x v="3"/>
    <x v="2"/>
    <x v="0"/>
    <n v="0.44869235376322603"/>
    <n v="8.2313681868743105E-3"/>
    <n v="0.43057842046718597"/>
    <n v="52.309459459459497"/>
    <n v="0.68777803611563204"/>
    <n v="1.68777803611563"/>
  </r>
  <r>
    <s v="CMP1856"/>
    <s v="Cart to Couch"/>
    <x v="3"/>
    <x v="92"/>
    <d v="2024-07-03T00:00:00"/>
    <n v="67088"/>
    <n v="41198.400000000001"/>
    <n v="862.4"/>
    <n v="2320.7840000000001"/>
    <n v="3344.288"/>
    <x v="1"/>
    <x v="1"/>
    <x v="0"/>
    <n v="0.61409492010493705"/>
    <n v="2.0932851761233402E-2"/>
    <n v="5.6331896384325598E-2"/>
    <n v="2.6910760667903499"/>
    <n v="0.44101648408468902"/>
    <n v="1.44101648408469"/>
  </r>
  <r>
    <s v="CMP1857"/>
    <s v="Flash Sale Frenzy"/>
    <x v="2"/>
    <x v="166"/>
    <d v="2024-05-07T00:00:00"/>
    <n v="40384"/>
    <n v="2473.6"/>
    <n v="257.60000000000002"/>
    <n v="335.47199999999998"/>
    <n v="1293.7439999999999"/>
    <x v="1"/>
    <x v="2"/>
    <x v="1"/>
    <n v="6.12519809825674E-2"/>
    <n v="0.104139715394567"/>
    <n v="0.135620957309185"/>
    <n v="1.3022981366459601"/>
    <n v="2.8564887680641"/>
    <n v="3.8564887680641"/>
  </r>
  <r>
    <s v="CMP1858"/>
    <s v="Seasonal Steals"/>
    <x v="3"/>
    <x v="181"/>
    <d v="2024-08-28T00:00:00"/>
    <n v="22587.200000000001"/>
    <n v="17022.400000000001"/>
    <n v="1472"/>
    <n v="4356.88"/>
    <n v="11633.343999999999"/>
    <x v="4"/>
    <x v="0"/>
    <x v="0"/>
    <n v="0.75363037472550798"/>
    <n v="8.6474292696681998E-2"/>
    <n v="0.25594980731271699"/>
    <n v="2.9598369565217402"/>
    <n v="1.67010888525734"/>
    <n v="2.6701088852573398"/>
  </r>
  <r>
    <s v="CMP1859"/>
    <s v="Wishlist Wonders"/>
    <x v="3"/>
    <x v="184"/>
    <d v="2024-08-10T00:00:00"/>
    <n v="28059.200000000001"/>
    <n v="6078.4"/>
    <n v="83.2"/>
    <n v="5403.28"/>
    <n v="9910.9599999999991"/>
    <x v="4"/>
    <x v="0"/>
    <x v="1"/>
    <n v="0.21662770143126001"/>
    <n v="1.3687812582258501E-2"/>
    <n v="0.88893129770992396"/>
    <n v="64.943269230769204"/>
    <n v="0.83424882663863398"/>
    <n v="1.8342488266386301"/>
  </r>
  <r>
    <s v="CMP1860"/>
    <s v="Wishlist Wonders"/>
    <x v="1"/>
    <x v="19"/>
    <d v="2024-08-01T00:00:00"/>
    <n v="26545.599999999999"/>
    <n v="18558.400000000001"/>
    <n v="8187.2"/>
    <n v="2799.616"/>
    <n v="8590.6880000000001"/>
    <x v="1"/>
    <x v="4"/>
    <x v="1"/>
    <n v="0.69911397745765802"/>
    <n v="0.44115872057936001"/>
    <n v="0.150854383998621"/>
    <n v="0.341950361539965"/>
    <n v="2.0685236832479901"/>
    <n v="3.0685236832479901"/>
  </r>
  <r>
    <s v="CMP1861"/>
    <s v="Wishlist Wonders"/>
    <x v="0"/>
    <x v="228"/>
    <d v="2024-06-13T00:00:00"/>
    <n v="5246.4"/>
    <n v="3932.8"/>
    <n v="115.2"/>
    <n v="2113.04"/>
    <n v="4007.5360000000001"/>
    <x v="0"/>
    <x v="0"/>
    <x v="0"/>
    <n v="0.74961878621530997"/>
    <n v="2.9292107404393801E-2"/>
    <n v="0.53728641171684299"/>
    <n v="18.342361111111099"/>
    <n v="0.89657365691136903"/>
    <n v="1.89657365691137"/>
  </r>
  <r>
    <s v="CMP1862"/>
    <s v="Flash Sale Frenzy"/>
    <x v="0"/>
    <x v="36"/>
    <d v="2024-01-31T00:00:00"/>
    <n v="22769.599999999999"/>
    <n v="10193.6"/>
    <n v="9868.7999999999993"/>
    <n v="1239.6320000000001"/>
    <n v="2766.944"/>
    <x v="2"/>
    <x v="0"/>
    <x v="0"/>
    <n v="0.44768463214109999"/>
    <n v="0.96813687019306205"/>
    <n v="0.121608852613404"/>
    <n v="0.12561121919585"/>
    <n v="1.2320688720523501"/>
    <n v="2.2320688720523498"/>
  </r>
  <r>
    <s v="CMP1863"/>
    <s v="Wishlist Wonders"/>
    <x v="2"/>
    <x v="16"/>
    <d v="2024-06-21T00:00:00"/>
    <n v="43744"/>
    <n v="22662.400000000001"/>
    <n v="1142.4000000000001"/>
    <n v="161.04"/>
    <n v="269.69600000000003"/>
    <x v="0"/>
    <x v="1"/>
    <x v="0"/>
    <n v="0.51806876371616695"/>
    <n v="5.0409488844959001E-2"/>
    <n v="7.1060434905393897E-3"/>
    <n v="0.14096638655462199"/>
    <n v="0.67471435668156998"/>
    <n v="1.6747143566815701"/>
  </r>
  <r>
    <s v="CMP1864"/>
    <s v="Flash Sale Frenzy"/>
    <x v="0"/>
    <x v="224"/>
    <d v="2024-09-30T00:00:00"/>
    <n v="74488"/>
    <n v="37729.599999999999"/>
    <n v="37307.199999999997"/>
    <n v="5929.3919999999998"/>
    <n v="18674.560000000001"/>
    <x v="0"/>
    <x v="2"/>
    <x v="1"/>
    <n v="0.50651917087316101"/>
    <n v="0.98880454603282297"/>
    <n v="0.157154912853569"/>
    <n v="0.15893425397778399"/>
    <n v="2.1494898633789101"/>
    <n v="3.1494898633789101"/>
  </r>
  <r>
    <s v="CMP1865"/>
    <s v="Deal of the Day"/>
    <x v="1"/>
    <x v="119"/>
    <d v="2024-06-21T00:00:00"/>
    <n v="37705.599999999999"/>
    <n v="21468.799999999999"/>
    <n v="15756.8"/>
    <n v="1455.952"/>
    <n v="2273.8879999999999"/>
    <x v="2"/>
    <x v="4"/>
    <x v="0"/>
    <n v="0.569379614699143"/>
    <n v="0.733939484274855"/>
    <n v="6.7817111342972095E-2"/>
    <n v="9.2401502843216896E-2"/>
    <n v="0.56178775124454605"/>
    <n v="1.5617877512445499"/>
  </r>
  <r>
    <s v="CMP1866"/>
    <s v="Deal of the Day"/>
    <x v="1"/>
    <x v="103"/>
    <d v="2024-07-04T00:00:00"/>
    <n v="77929.600000000006"/>
    <n v="77414.399999999994"/>
    <n v="28936"/>
    <n v="3592.0160000000001"/>
    <n v="8094.8"/>
    <x v="4"/>
    <x v="3"/>
    <x v="1"/>
    <n v="0.99338890485771802"/>
    <n v="0.37378058862433899"/>
    <n v="4.63998429232804E-2"/>
    <n v="0.124136577273984"/>
    <n v="1.25355343628759"/>
    <n v="2.2535534362875902"/>
  </r>
  <r>
    <s v="CMP1867"/>
    <s v="Seasonal Steals"/>
    <x v="2"/>
    <x v="154"/>
    <d v="2024-02-12T00:00:00"/>
    <n v="9640"/>
    <n v="5281.6"/>
    <n v="932.8"/>
    <n v="4494.9920000000002"/>
    <n v="15083.616"/>
    <x v="4"/>
    <x v="0"/>
    <x v="0"/>
    <n v="0.54788381742738601"/>
    <n v="0.17661314753105101"/>
    <n v="0.85106634353226296"/>
    <n v="4.8188164665523203"/>
    <n v="2.3556491312998999"/>
    <n v="3.3556491312998999"/>
  </r>
  <r>
    <s v="CMP1868"/>
    <s v="Shop &amp; Share"/>
    <x v="0"/>
    <x v="44"/>
    <d v="2024-09-09T00:00:00"/>
    <n v="41128"/>
    <n v="36310.400000000001"/>
    <n v="12571.2"/>
    <n v="2113.6640000000002"/>
    <n v="6115.76"/>
    <x v="3"/>
    <x v="0"/>
    <x v="1"/>
    <n v="0.88286325617584105"/>
    <n v="0.346214858552922"/>
    <n v="5.8210980876002502E-2"/>
    <n v="0.16813542064401199"/>
    <n v="1.8934400169563399"/>
    <n v="2.8934400169563399"/>
  </r>
  <r>
    <s v="CMP1869"/>
    <s v="Deal of the Day"/>
    <x v="2"/>
    <x v="249"/>
    <d v="2024-03-02T00:00:00"/>
    <n v="24436.799999999999"/>
    <n v="1993.6"/>
    <n v="3.2"/>
    <n v="3283.2640000000001"/>
    <n v="4720.08"/>
    <x v="3"/>
    <x v="2"/>
    <x v="1"/>
    <n v="8.1581876514109905E-2"/>
    <n v="1.6051364365971101E-3"/>
    <n v="1.64690208667737"/>
    <n v="1026.02"/>
    <n v="0.437618175084306"/>
    <n v="1.43761817508431"/>
  </r>
  <r>
    <s v="CMP1870"/>
    <s v="Shop &amp; Share"/>
    <x v="3"/>
    <x v="173"/>
    <d v="2024-07-31T00:00:00"/>
    <n v="40580.800000000003"/>
    <n v="34982.400000000001"/>
    <n v="555.20000000000005"/>
    <n v="202.4"/>
    <n v="652.03200000000004"/>
    <x v="4"/>
    <x v="2"/>
    <x v="1"/>
    <n v="0.86204313369869501"/>
    <n v="1.5870837907061799E-2"/>
    <n v="5.7857665568971798E-3"/>
    <n v="0.36455331412103698"/>
    <n v="2.2215019762845798"/>
    <n v="3.2215019762845798"/>
  </r>
  <r>
    <s v="CMP1871"/>
    <s v="Flash Sale Frenzy"/>
    <x v="1"/>
    <x v="124"/>
    <d v="2024-08-01T00:00:00"/>
    <n v="41683.199999999997"/>
    <n v="16158.4"/>
    <n v="4771.2"/>
    <n v="6193.9679999999998"/>
    <n v="14836.656000000001"/>
    <x v="3"/>
    <x v="2"/>
    <x v="1"/>
    <n v="0.38764778136035599"/>
    <n v="0.295276760075255"/>
    <n v="0.38332805228240402"/>
    <n v="1.2981991951710301"/>
    <n v="1.3953394657511999"/>
    <n v="2.3953394657512002"/>
  </r>
  <r>
    <s v="CMP1872"/>
    <s v="Cart to Couch"/>
    <x v="2"/>
    <x v="136"/>
    <d v="2024-04-19T00:00:00"/>
    <n v="77443.199999999997"/>
    <n v="4656"/>
    <n v="875.2"/>
    <n v="6622.1279999999997"/>
    <n v="8478.768"/>
    <x v="0"/>
    <x v="3"/>
    <x v="1"/>
    <n v="6.0121482583364298E-2"/>
    <n v="0.18797250859106501"/>
    <n v="1.4222783505154599"/>
    <n v="7.5664168190128001"/>
    <n v="0.280369089815238"/>
    <n v="1.28036908981524"/>
  </r>
  <r>
    <s v="CMP1873"/>
    <s v="Seasonal Steals"/>
    <x v="0"/>
    <x v="247"/>
    <d v="2024-06-03T00:00:00"/>
    <n v="60771.199999999997"/>
    <n v="12457.6"/>
    <n v="5254.4"/>
    <n v="5488.4319999999998"/>
    <n v="10565.536"/>
    <x v="1"/>
    <x v="4"/>
    <x v="1"/>
    <n v="0.204991838239166"/>
    <n v="0.42178268687387599"/>
    <n v="0.44056896994605699"/>
    <n v="1.0445401948842901"/>
    <n v="0.92505546210648104"/>
    <n v="1.9250554621064799"/>
  </r>
  <r>
    <s v="CMP1874"/>
    <s v="Cart to Couch"/>
    <x v="3"/>
    <x v="31"/>
    <d v="2024-10-22T00:00:00"/>
    <n v="49420.800000000003"/>
    <n v="44804.800000000003"/>
    <n v="20478.400000000001"/>
    <n v="7145.4719999999998"/>
    <n v="20726.671999999999"/>
    <x v="3"/>
    <x v="2"/>
    <x v="1"/>
    <n v="0.90659803159803198"/>
    <n v="0.45705817233867801"/>
    <n v="0.159480055708317"/>
    <n v="0.34892725994218299"/>
    <n v="1.9006722019203199"/>
    <n v="2.9006722019203202"/>
  </r>
  <r>
    <s v="CMP1875"/>
    <s v="Shop &amp; Share"/>
    <x v="3"/>
    <x v="195"/>
    <d v="2024-04-06T00:00:00"/>
    <n v="2184"/>
    <n v="1457.6"/>
    <n v="412.8"/>
    <n v="5574.2560000000003"/>
    <n v="12126.048000000001"/>
    <x v="3"/>
    <x v="3"/>
    <x v="0"/>
    <n v="0.66739926739926703"/>
    <n v="0.28320526893523601"/>
    <n v="3.8242700329308499"/>
    <n v="13.503527131782899"/>
    <n v="1.1753661833973901"/>
    <n v="2.1753661833973901"/>
  </r>
  <r>
    <s v="CMP1876"/>
    <s v="Seasonal Steals"/>
    <x v="0"/>
    <x v="273"/>
    <d v="2024-09-09T00:00:00"/>
    <n v="76998.399999999994"/>
    <n v="70936"/>
    <n v="45176"/>
    <n v="3018.768"/>
    <n v="8761.44"/>
    <x v="4"/>
    <x v="1"/>
    <x v="1"/>
    <n v="0.92126589643421197"/>
    <n v="0.636855757302357"/>
    <n v="4.2556219690989099E-2"/>
    <n v="6.6822383566495502E-2"/>
    <n v="1.9023230668935101"/>
    <n v="2.9023230668935098"/>
  </r>
  <r>
    <s v="CMP1877"/>
    <s v="Deal of the Day"/>
    <x v="1"/>
    <x v="40"/>
    <d v="2024-02-01T00:00:00"/>
    <n v="31060.799999999999"/>
    <n v="11635.2"/>
    <n v="1177.5999999999999"/>
    <n v="6488.5919999999996"/>
    <n v="22876.912"/>
    <x v="1"/>
    <x v="3"/>
    <x v="1"/>
    <n v="0.37459434399629099"/>
    <n v="0.101210121012101"/>
    <n v="0.55766914191419104"/>
    <n v="5.5100135869565197"/>
    <n v="2.5257128202852002"/>
    <n v="3.5257128202852002"/>
  </r>
  <r>
    <s v="CMP1878"/>
    <s v="Flash Sale Frenzy"/>
    <x v="3"/>
    <x v="224"/>
    <d v="2024-09-25T00:00:00"/>
    <n v="33240"/>
    <n v="12718.4"/>
    <n v="6585.6"/>
    <n v="7603.92"/>
    <n v="28204.815999999999"/>
    <x v="4"/>
    <x v="3"/>
    <x v="0"/>
    <n v="0.38262334536702802"/>
    <n v="0.517800981255504"/>
    <n v="0.59786765630896999"/>
    <n v="1.15462827988338"/>
    <n v="2.7092468095403399"/>
    <n v="3.7092468095403399"/>
  </r>
  <r>
    <s v="CMP1879"/>
    <s v="Shop &amp; Share"/>
    <x v="1"/>
    <x v="103"/>
    <d v="2024-07-22T00:00:00"/>
    <n v="10742.4"/>
    <n v="7968"/>
    <n v="6507.2"/>
    <n v="4660.32"/>
    <n v="16678.784"/>
    <x v="2"/>
    <x v="4"/>
    <x v="0"/>
    <n v="0.74173369079535301"/>
    <n v="0.81666666666666698"/>
    <n v="0.584879518072289"/>
    <n v="0.71617900172116999"/>
    <n v="2.5788924365708801"/>
    <n v="3.5788924365708801"/>
  </r>
  <r>
    <s v="CMP1880"/>
    <s v="Shop &amp; Share"/>
    <x v="0"/>
    <x v="50"/>
    <d v="2024-06-24T00:00:00"/>
    <n v="25612.799999999999"/>
    <n v="7876.8"/>
    <n v="3680"/>
    <n v="988.11199999999997"/>
    <n v="2672.5120000000002"/>
    <x v="4"/>
    <x v="2"/>
    <x v="1"/>
    <n v="0.30753373313343302"/>
    <n v="0.46719479991874902"/>
    <n v="0.12544586634166199"/>
    <n v="0.268508695652174"/>
    <n v="1.70466505821202"/>
    <n v="2.70466505821202"/>
  </r>
  <r>
    <s v="CMP1881"/>
    <s v="Flash Sale Frenzy"/>
    <x v="0"/>
    <x v="118"/>
    <d v="2024-08-22T00:00:00"/>
    <n v="21270.400000000001"/>
    <n v="18414.400000000001"/>
    <n v="2654.4"/>
    <n v="7481.424"/>
    <n v="10946.64"/>
    <x v="4"/>
    <x v="1"/>
    <x v="0"/>
    <n v="0.865728900255754"/>
    <n v="0.14414805804153299"/>
    <n v="0.40628117125727697"/>
    <n v="2.81849909584087"/>
    <n v="0.46317599430268902"/>
    <n v="1.4631759943026901"/>
  </r>
  <r>
    <s v="CMP1882"/>
    <s v="Wishlist Wonders"/>
    <x v="3"/>
    <x v="100"/>
    <d v="2024-01-27T00:00:00"/>
    <n v="34825.599999999999"/>
    <n v="27155.200000000001"/>
    <n v="5054.3999999999996"/>
    <n v="1926.2719999999999"/>
    <n v="5231.9040000000005"/>
    <x v="4"/>
    <x v="2"/>
    <x v="0"/>
    <n v="0.77974823118625403"/>
    <n v="0.186130096629743"/>
    <n v="7.09356587320292E-2"/>
    <n v="0.38110794555239003"/>
    <n v="1.71607748023124"/>
    <n v="2.71607748023124"/>
  </r>
  <r>
    <s v="CMP1883"/>
    <s v="Seasonal Steals"/>
    <x v="2"/>
    <x v="145"/>
    <d v="2024-08-26T00:00:00"/>
    <n v="24320"/>
    <n v="19824"/>
    <n v="5590.4"/>
    <n v="6552.5439999999999"/>
    <n v="12306.96"/>
    <x v="4"/>
    <x v="0"/>
    <x v="1"/>
    <n v="0.81513157894736799"/>
    <n v="0.28200161420500403"/>
    <n v="0.33053591606133997"/>
    <n v="1.1721064682312501"/>
    <n v="0.87819570536267999"/>
    <n v="1.8781957053626801"/>
  </r>
  <r>
    <s v="CMP1884"/>
    <s v="Wishlist Wonders"/>
    <x v="1"/>
    <x v="83"/>
    <d v="2024-07-29T00:00:00"/>
    <n v="41366.400000000001"/>
    <n v="31356.799999999999"/>
    <n v="20092.8"/>
    <n v="6997.6"/>
    <n v="11957.12"/>
    <x v="1"/>
    <x v="2"/>
    <x v="1"/>
    <n v="0.75802583739460005"/>
    <n v="0.64077967139504"/>
    <n v="0.22316052658434499"/>
    <n v="0.34826405478579398"/>
    <n v="0.70874585572196203"/>
    <n v="1.7087458557219599"/>
  </r>
  <r>
    <s v="CMP1885"/>
    <s v="Flash Sale Frenzy"/>
    <x v="1"/>
    <x v="288"/>
    <d v="2024-02-16T00:00:00"/>
    <n v="66296"/>
    <n v="4851.2"/>
    <n v="2321.6"/>
    <n v="5511.8879999999999"/>
    <n v="20568.047999999999"/>
    <x v="1"/>
    <x v="0"/>
    <x v="1"/>
    <n v="7.3174852178110303E-2"/>
    <n v="0.47856200527704501"/>
    <n v="1.1361906332453799"/>
    <n v="2.37417643004824"/>
    <n v="2.7315794515418301"/>
    <n v="3.7315794515418301"/>
  </r>
  <r>
    <s v="CMP1886"/>
    <s v="Cart to Couch"/>
    <x v="2"/>
    <x v="68"/>
    <d v="2024-04-01T00:00:00"/>
    <n v="72283.199999999997"/>
    <n v="52489.599999999999"/>
    <n v="17630.400000000001"/>
    <n v="699.84"/>
    <n v="1478.7840000000001"/>
    <x v="0"/>
    <x v="3"/>
    <x v="0"/>
    <n v="0.72616596940921296"/>
    <n v="0.33588367981466799"/>
    <n v="1.33329269036152E-2"/>
    <n v="3.9695072148107802E-2"/>
    <n v="1.1130315500685899"/>
    <n v="2.1130315500685901"/>
  </r>
  <r>
    <s v="CMP1887"/>
    <s v="Deal of the Day"/>
    <x v="2"/>
    <x v="86"/>
    <d v="2024-09-20T00:00:00"/>
    <n v="33012.800000000003"/>
    <n v="25115.200000000001"/>
    <n v="4910.3999999999996"/>
    <n v="1676.848"/>
    <n v="4716.88"/>
    <x v="3"/>
    <x v="1"/>
    <x v="1"/>
    <n v="0.76077157950855401"/>
    <n v="0.19551506657323101"/>
    <n v="6.6766261068994096E-2"/>
    <n v="0.34148908439231002"/>
    <n v="1.8129442859460101"/>
    <n v="2.8129442859460099"/>
  </r>
  <r>
    <s v="CMP1888"/>
    <s v="Shop &amp; Share"/>
    <x v="1"/>
    <x v="178"/>
    <d v="2024-03-22T00:00:00"/>
    <n v="9832"/>
    <n v="8243.2000000000007"/>
    <n v="2894.4"/>
    <n v="3738.672"/>
    <n v="9456.6720000000005"/>
    <x v="0"/>
    <x v="0"/>
    <x v="0"/>
    <n v="0.83840520748576097"/>
    <n v="0.35112577639751602"/>
    <n v="0.45354619565217402"/>
    <n v="1.29169154228856"/>
    <n v="1.5294200721539599"/>
    <n v="2.5294200721539601"/>
  </r>
  <r>
    <s v="CMP1889"/>
    <s v="Wishlist Wonders"/>
    <x v="1"/>
    <x v="76"/>
    <d v="2024-10-01T00:00:00"/>
    <n v="30856"/>
    <n v="28140.799999999999"/>
    <n v="25536"/>
    <n v="5138.2560000000003"/>
    <n v="15787.584000000001"/>
    <x v="1"/>
    <x v="4"/>
    <x v="1"/>
    <n v="0.912004148301789"/>
    <n v="0.90743688878781004"/>
    <n v="0.18259097111667"/>
    <n v="0.20121616541353399"/>
    <n v="2.0725569142526199"/>
    <n v="3.0725569142526199"/>
  </r>
  <r>
    <s v="CMP1890"/>
    <s v="Shop &amp; Share"/>
    <x v="3"/>
    <x v="184"/>
    <d v="2024-08-27T00:00:00"/>
    <n v="63974.400000000001"/>
    <n v="51883.199999999997"/>
    <n v="18529.599999999999"/>
    <n v="6372.56"/>
    <n v="24827.648000000001"/>
    <x v="4"/>
    <x v="3"/>
    <x v="1"/>
    <n v="0.81099939975990398"/>
    <n v="0.35714065439294401"/>
    <n v="0.122825114873408"/>
    <n v="0.343912442794232"/>
    <n v="2.8960242037736799"/>
    <n v="3.8960242037736799"/>
  </r>
  <r>
    <s v="CMP1891"/>
    <s v="Flash Sale Frenzy"/>
    <x v="2"/>
    <x v="125"/>
    <d v="2024-01-27T00:00:00"/>
    <n v="26257.599999999999"/>
    <n v="16292.8"/>
    <n v="14118.4"/>
    <n v="7890.1760000000004"/>
    <n v="15096.592000000001"/>
    <x v="1"/>
    <x v="2"/>
    <x v="1"/>
    <n v="0.62049844616415795"/>
    <n v="0.86654227634292402"/>
    <n v="0.48427378964941598"/>
    <n v="0.55885766092475098"/>
    <n v="0.91334033613445398"/>
    <n v="1.9133403361344501"/>
  </r>
  <r>
    <s v="CMP1892"/>
    <s v="Cart to Couch"/>
    <x v="3"/>
    <x v="219"/>
    <d v="2024-02-02T00:00:00"/>
    <n v="73940.800000000003"/>
    <n v="8592"/>
    <n v="4380.8"/>
    <n v="6993.616"/>
    <n v="22456.736000000001"/>
    <x v="1"/>
    <x v="4"/>
    <x v="1"/>
    <n v="0.116201068963279"/>
    <n v="0.50986964618249497"/>
    <n v="0.81396834264432005"/>
    <n v="1.59642439737034"/>
    <n v="2.2110336055053601"/>
    <n v="3.2110336055053601"/>
  </r>
  <r>
    <s v="CMP1893"/>
    <s v="Flash Sale Frenzy"/>
    <x v="0"/>
    <x v="214"/>
    <d v="2024-06-17T00:00:00"/>
    <n v="61636.800000000003"/>
    <n v="33859.199999999997"/>
    <n v="20640"/>
    <n v="3852.4319999999998"/>
    <n v="8280.4159999999993"/>
    <x v="2"/>
    <x v="2"/>
    <x v="1"/>
    <n v="0.54933416400591895"/>
    <n v="0.60958321519705105"/>
    <n v="0.113777998298838"/>
    <n v="0.186648837209302"/>
    <n v="1.14939965196011"/>
    <n v="2.1493996519601102"/>
  </r>
  <r>
    <s v="CMP1894"/>
    <s v="Seasonal Steals"/>
    <x v="2"/>
    <x v="29"/>
    <d v="2024-10-10T00:00:00"/>
    <n v="19683.2"/>
    <n v="14288"/>
    <n v="5792"/>
    <n v="7111.9040000000005"/>
    <n v="11872.96"/>
    <x v="0"/>
    <x v="1"/>
    <x v="1"/>
    <n v="0.72589822793041803"/>
    <n v="0.40537513997760399"/>
    <n v="0.49775363941769302"/>
    <n v="1.2278839779005499"/>
    <n v="0.66944885645250496"/>
    <n v="1.6694488564525101"/>
  </r>
  <r>
    <s v="CMP1895"/>
    <s v="Shop &amp; Share"/>
    <x v="2"/>
    <x v="101"/>
    <d v="2024-06-11T00:00:00"/>
    <n v="25584"/>
    <n v="19896"/>
    <n v="7550.4"/>
    <n v="6492.0959999999995"/>
    <n v="22769.52"/>
    <x v="0"/>
    <x v="0"/>
    <x v="1"/>
    <n v="0.77767354596622895"/>
    <n v="0.37949336550060297"/>
    <n v="0.32630156815440298"/>
    <n v="0.85983471074380202"/>
    <n v="2.5072679147073602"/>
    <n v="3.5072679147073602"/>
  </r>
  <r>
    <s v="CMP1896"/>
    <s v="Flash Sale Frenzy"/>
    <x v="2"/>
    <x v="279"/>
    <d v="2024-08-17T00:00:00"/>
    <n v="78051.199999999997"/>
    <n v="12064"/>
    <n v="1022.4"/>
    <n v="6482.768"/>
    <n v="10674.368"/>
    <x v="4"/>
    <x v="1"/>
    <x v="1"/>
    <n v="0.154565208478537"/>
    <n v="8.4748010610079597E-2"/>
    <n v="0.53736472148541103"/>
    <n v="6.3407355242566501"/>
    <n v="0.64657566027351299"/>
    <n v="1.64657566027351"/>
  </r>
  <r>
    <s v="CMP1897"/>
    <s v="Flash Sale Frenzy"/>
    <x v="0"/>
    <x v="201"/>
    <d v="2024-04-09T00:00:00"/>
    <n v="50470.400000000001"/>
    <n v="41020.800000000003"/>
    <n v="29451.200000000001"/>
    <n v="5690.48"/>
    <n v="10225.808000000001"/>
    <x v="0"/>
    <x v="3"/>
    <x v="0"/>
    <n v="0.812769464874461"/>
    <n v="0.71795771901084304"/>
    <n v="0.138721819174663"/>
    <n v="0.19321725430542699"/>
    <n v="0.79700271330362304"/>
    <n v="1.7970027133036199"/>
  </r>
  <r>
    <s v="CMP1898"/>
    <s v="Deal of the Day"/>
    <x v="3"/>
    <x v="266"/>
    <d v="2024-05-16T00:00:00"/>
    <n v="69083.199999999997"/>
    <n v="53883.199999999997"/>
    <n v="35185.599999999999"/>
    <n v="6638.08"/>
    <n v="21707.360000000001"/>
    <x v="1"/>
    <x v="3"/>
    <x v="0"/>
    <n v="0.77997544989230405"/>
    <n v="0.65299759479763597"/>
    <n v="0.123193871188051"/>
    <n v="0.18865899686235299"/>
    <n v="2.2701263015811799"/>
    <n v="3.2701263015811799"/>
  </r>
  <r>
    <s v="CMP1899"/>
    <s v="Shop &amp; Share"/>
    <x v="0"/>
    <x v="39"/>
    <d v="2024-05-15T00:00:00"/>
    <n v="35425.599999999999"/>
    <n v="8713.6"/>
    <n v="4926.3999999999996"/>
    <n v="2606.16"/>
    <n v="10265.343999999999"/>
    <x v="3"/>
    <x v="0"/>
    <x v="0"/>
    <n v="0.245969016756244"/>
    <n v="0.565369078222549"/>
    <n v="0.29909107601909701"/>
    <n v="0.52901916206560595"/>
    <n v="2.9388771218958198"/>
    <n v="3.9388771218958198"/>
  </r>
  <r>
    <s v="CMP1900"/>
    <s v="Deal of the Day"/>
    <x v="2"/>
    <x v="121"/>
    <d v="2024-03-01T00:00:00"/>
    <n v="5659.2"/>
    <n v="3476.8"/>
    <n v="2851.2"/>
    <n v="2643.9839999999999"/>
    <n v="3649.136"/>
    <x v="1"/>
    <x v="1"/>
    <x v="0"/>
    <n v="0.61436245405711098"/>
    <n v="0.820064427059365"/>
    <n v="0.76046479521399002"/>
    <n v="0.92732323232323199"/>
    <n v="0.38016568935364198"/>
    <n v="1.38016568935364"/>
  </r>
  <r>
    <s v="CMP1901"/>
    <s v="Flash Sale Frenzy"/>
    <x v="1"/>
    <x v="214"/>
    <d v="2024-06-21T00:00:00"/>
    <n v="70296"/>
    <n v="1294.4000000000001"/>
    <n v="296"/>
    <n v="2189.232"/>
    <n v="7268.3360000000002"/>
    <x v="1"/>
    <x v="0"/>
    <x v="0"/>
    <n v="1.8413565494480501E-2"/>
    <n v="0.22867737948084099"/>
    <n v="1.69131025957973"/>
    <n v="7.3960540540540496"/>
    <n v="2.3200391735549299"/>
    <n v="3.3200391735549299"/>
  </r>
  <r>
    <s v="CMP1902"/>
    <s v="Cart to Couch"/>
    <x v="1"/>
    <x v="6"/>
    <d v="2024-04-14T00:00:00"/>
    <n v="50974.400000000001"/>
    <n v="25836.799999999999"/>
    <n v="6833.6"/>
    <n v="911.31200000000001"/>
    <n v="2105.7600000000002"/>
    <x v="3"/>
    <x v="0"/>
    <x v="0"/>
    <n v="0.50685834458080903"/>
    <n v="0.26449095863264799"/>
    <n v="3.52718602922963E-2"/>
    <n v="0.13335752751112201"/>
    <n v="1.3106905209192901"/>
    <n v="2.3106905209192901"/>
  </r>
  <r>
    <s v="CMP1903"/>
    <s v="Cart to Couch"/>
    <x v="0"/>
    <x v="141"/>
    <d v="2024-06-13T00:00:00"/>
    <n v="68859.199999999997"/>
    <n v="44417.599999999999"/>
    <n v="19480"/>
    <n v="6182.0159999999996"/>
    <n v="15500.544"/>
    <x v="0"/>
    <x v="1"/>
    <x v="0"/>
    <n v="0.64504960847642701"/>
    <n v="0.43856489319549002"/>
    <n v="0.139179424372321"/>
    <n v="0.31735195071868599"/>
    <n v="1.50736070563389"/>
    <n v="2.5073607056338898"/>
  </r>
  <r>
    <s v="CMP1904"/>
    <s v="Wishlist Wonders"/>
    <x v="2"/>
    <x v="64"/>
    <d v="2024-03-02T00:00:00"/>
    <n v="33385.599999999999"/>
    <n v="9000"/>
    <n v="1547.2"/>
    <n v="7349.9840000000004"/>
    <n v="13361.776"/>
    <x v="1"/>
    <x v="3"/>
    <x v="1"/>
    <n v="0.26957730278922598"/>
    <n v="0.17191111111111099"/>
    <n v="0.816664888888889"/>
    <n v="4.7505067218200603"/>
    <n v="0.81793266488743399"/>
    <n v="1.8179326648874301"/>
  </r>
  <r>
    <s v="CMP1905"/>
    <s v="Wishlist Wonders"/>
    <x v="3"/>
    <x v="236"/>
    <d v="2024-10-30T00:00:00"/>
    <n v="67160"/>
    <n v="21283.200000000001"/>
    <n v="13769.6"/>
    <n v="1030.24"/>
    <n v="4058.7840000000001"/>
    <x v="2"/>
    <x v="3"/>
    <x v="1"/>
    <n v="0.31690291840381202"/>
    <n v="0.64697038039392596"/>
    <n v="4.8406254698541602E-2"/>
    <n v="7.4819893097838694E-2"/>
    <n v="2.9396490138220202"/>
    <n v="3.9396490138220202"/>
  </r>
  <r>
    <s v="CMP1906"/>
    <s v="Cart to Couch"/>
    <x v="3"/>
    <x v="106"/>
    <d v="2024-09-06T00:00:00"/>
    <n v="79643.199999999997"/>
    <n v="7206.4"/>
    <n v="620.79999999999995"/>
    <n v="1904.5440000000001"/>
    <n v="3399.68"/>
    <x v="3"/>
    <x v="1"/>
    <x v="0"/>
    <n v="9.0483556662715695E-2"/>
    <n v="8.6145648312610998E-2"/>
    <n v="0.264285079928952"/>
    <n v="3.06788659793814"/>
    <n v="0.78503620814221098"/>
    <n v="1.78503620814221"/>
  </r>
  <r>
    <s v="CMP1907"/>
    <s v="Shop &amp; Share"/>
    <x v="1"/>
    <x v="13"/>
    <d v="2024-04-14T00:00:00"/>
    <n v="22016"/>
    <n v="7144"/>
    <n v="2662.4"/>
    <n v="4112.3040000000001"/>
    <n v="5611.1040000000003"/>
    <x v="3"/>
    <x v="1"/>
    <x v="0"/>
    <n v="0.32449127906976699"/>
    <n v="0.37267637178051499"/>
    <n v="0.57563045912653998"/>
    <n v="1.5445853365384601"/>
    <n v="0.36446721837685198"/>
    <n v="1.36446721837685"/>
  </r>
  <r>
    <s v="CMP1908"/>
    <s v="Seasonal Steals"/>
    <x v="0"/>
    <x v="52"/>
    <d v="2024-02-10T00:00:00"/>
    <n v="52584"/>
    <n v="7632"/>
    <n v="3062.4"/>
    <n v="4343.424"/>
    <n v="9327.4079999999994"/>
    <x v="1"/>
    <x v="1"/>
    <x v="1"/>
    <n v="0.14513920584208101"/>
    <n v="0.40125786163521998"/>
    <n v="0.56910691823899395"/>
    <n v="1.4183072100313501"/>
    <n v="1.14747811864557"/>
    <n v="2.1474781186455698"/>
  </r>
  <r>
    <s v="CMP1909"/>
    <s v="Shop &amp; Share"/>
    <x v="3"/>
    <x v="289"/>
    <d v="2024-08-14T00:00:00"/>
    <n v="79236.800000000003"/>
    <n v="34676.800000000003"/>
    <n v="32136"/>
    <n v="6297.424"/>
    <n v="15785.44"/>
    <x v="3"/>
    <x v="0"/>
    <x v="1"/>
    <n v="0.43763503826504901"/>
    <n v="0.92672910995247504"/>
    <n v="0.18160337747427699"/>
    <n v="0.195961662932537"/>
    <n v="1.50665033829706"/>
    <n v="2.5066503382970602"/>
  </r>
  <r>
    <s v="CMP1910"/>
    <s v="Wishlist Wonders"/>
    <x v="2"/>
    <x v="67"/>
    <d v="2024-04-23T00:00:00"/>
    <n v="44344"/>
    <n v="6153.6"/>
    <n v="4558.3999999999996"/>
    <n v="5180"/>
    <n v="12270.752"/>
    <x v="2"/>
    <x v="3"/>
    <x v="0"/>
    <n v="0.13876961933970799"/>
    <n v="0.74076963078523095"/>
    <n v="0.84178367134685395"/>
    <n v="1.13636363636364"/>
    <n v="1.36887104247104"/>
    <n v="2.36887104247104"/>
  </r>
  <r>
    <s v="CMP1911"/>
    <s v="Seasonal Steals"/>
    <x v="2"/>
    <x v="270"/>
    <d v="2024-02-09T00:00:00"/>
    <n v="23224"/>
    <n v="16136"/>
    <n v="4993.6000000000004"/>
    <n v="381.6"/>
    <n v="1257.92"/>
    <x v="3"/>
    <x v="4"/>
    <x v="1"/>
    <n v="0.694798484326559"/>
    <n v="0.30946950917203803"/>
    <n v="2.3648983639067901E-2"/>
    <n v="7.6417814802947806E-2"/>
    <n v="2.2964360587002099"/>
    <n v="3.2964360587002099"/>
  </r>
  <r>
    <s v="CMP1912"/>
    <s v="Cart to Couch"/>
    <x v="2"/>
    <x v="206"/>
    <d v="2024-03-05T00:00:00"/>
    <n v="36632"/>
    <n v="15350.4"/>
    <n v="8273.6"/>
    <n v="5340.0959999999995"/>
    <n v="9915.0400000000009"/>
    <x v="0"/>
    <x v="3"/>
    <x v="1"/>
    <n v="0.41904345927058301"/>
    <n v="0.53898269751928296"/>
    <n v="0.347879924953096"/>
    <n v="0.64543801972539105"/>
    <n v="0.85671568451203906"/>
    <n v="1.8567156845120401"/>
  </r>
  <r>
    <s v="CMP1913"/>
    <s v="Wishlist Wonders"/>
    <x v="2"/>
    <x v="298"/>
    <d v="2024-05-22T00:00:00"/>
    <n v="3641.6"/>
    <n v="1244.8"/>
    <n v="368"/>
    <n v="4372.1279999999997"/>
    <n v="13677.904"/>
    <x v="1"/>
    <x v="3"/>
    <x v="1"/>
    <n v="0.34182776801406001"/>
    <n v="0.29562982005141403"/>
    <n v="3.5123136246786602"/>
    <n v="11.8807826086957"/>
    <n v="2.1284317385035401"/>
    <n v="3.1284317385035401"/>
  </r>
  <r>
    <s v="CMP1914"/>
    <s v="Deal of the Day"/>
    <x v="2"/>
    <x v="20"/>
    <d v="2024-09-01T00:00:00"/>
    <n v="12480"/>
    <n v="3568"/>
    <n v="3515.2"/>
    <n v="1963.0239999999999"/>
    <n v="3847.0079999999998"/>
    <x v="4"/>
    <x v="4"/>
    <x v="1"/>
    <n v="0.28589743589743599"/>
    <n v="0.98520179372197303"/>
    <n v="0.55017488789237701"/>
    <n v="0.55843878015475601"/>
    <n v="0.95973559161783095"/>
    <n v="1.9597355916178301"/>
  </r>
  <r>
    <s v="CMP1915"/>
    <s v="Flash Sale Frenzy"/>
    <x v="3"/>
    <x v="214"/>
    <d v="2024-07-06T00:00:00"/>
    <n v="75692.800000000003"/>
    <n v="49700.800000000003"/>
    <n v="37912"/>
    <n v="2338.8000000000002"/>
    <n v="9016.6880000000001"/>
    <x v="4"/>
    <x v="1"/>
    <x v="0"/>
    <n v="0.65661198951551503"/>
    <n v="0.76280462286321304"/>
    <n v="4.7057592634323797E-2"/>
    <n v="6.1690230006330497E-2"/>
    <n v="2.8552625277920298"/>
    <n v="3.8552625277920298"/>
  </r>
  <r>
    <s v="CMP1916"/>
    <s v="Flash Sale Frenzy"/>
    <x v="2"/>
    <x v="171"/>
    <d v="2024-05-21T00:00:00"/>
    <n v="23300.799999999999"/>
    <n v="14435.2"/>
    <n v="8427.2000000000007"/>
    <n v="5139.4719999999998"/>
    <n v="18159.648000000001"/>
    <x v="2"/>
    <x v="3"/>
    <x v="1"/>
    <n v="0.61951520977820496"/>
    <n v="0.583795167368654"/>
    <n v="0.35603746397694502"/>
    <n v="0.60986709701917596"/>
    <n v="2.53336840827229"/>
    <n v="3.53336840827229"/>
  </r>
  <r>
    <s v="CMP1917"/>
    <s v="Wishlist Wonders"/>
    <x v="0"/>
    <x v="45"/>
    <d v="2024-06-18T00:00:00"/>
    <n v="63742.400000000001"/>
    <n v="38380.800000000003"/>
    <n v="17600"/>
    <n v="395.488"/>
    <n v="895.53599999999994"/>
    <x v="1"/>
    <x v="2"/>
    <x v="1"/>
    <n v="0.60212354727779305"/>
    <n v="0.45856261464065401"/>
    <n v="1.0304318826079699E-2"/>
    <n v="2.24709090909091E-2"/>
    <n v="1.26438223157213"/>
    <n v="2.2643822315721298"/>
  </r>
  <r>
    <s v="CMP1918"/>
    <s v="Flash Sale Frenzy"/>
    <x v="1"/>
    <x v="188"/>
    <d v="2024-01-21T00:00:00"/>
    <n v="37718.400000000001"/>
    <n v="4668.8"/>
    <n v="3096"/>
    <n v="1524.96"/>
    <n v="4094.6239999999998"/>
    <x v="1"/>
    <x v="4"/>
    <x v="1"/>
    <n v="0.12378043607364"/>
    <n v="0.66312542837559996"/>
    <n v="0.32662782727895801"/>
    <n v="0.49255813953488398"/>
    <n v="1.6850697723218999"/>
    <n v="2.6850697723219001"/>
  </r>
  <r>
    <s v="CMP1919"/>
    <s v="Deal of the Day"/>
    <x v="2"/>
    <x v="157"/>
    <d v="2024-09-27T00:00:00"/>
    <n v="62025.599999999999"/>
    <n v="24377.599999999999"/>
    <n v="5011.2"/>
    <n v="3032.192"/>
    <n v="11189.696"/>
    <x v="3"/>
    <x v="1"/>
    <x v="1"/>
    <n v="0.393024815560027"/>
    <n v="0.20556576529272799"/>
    <n v="0.124384352848517"/>
    <n v="0.60508301404853104"/>
    <n v="2.6902992950314499"/>
    <n v="3.6902992950314499"/>
  </r>
  <r>
    <s v="CMP1920"/>
    <s v="Shop &amp; Share"/>
    <x v="3"/>
    <x v="294"/>
    <d v="2024-08-10T00:00:00"/>
    <n v="32472"/>
    <n v="19851.2"/>
    <n v="11238.4"/>
    <n v="3035.8560000000002"/>
    <n v="5960.7039999999997"/>
    <x v="2"/>
    <x v="3"/>
    <x v="1"/>
    <n v="0.61133284060113302"/>
    <n v="0.56613202224550696"/>
    <n v="0.152930603691464"/>
    <n v="0.27013240318906601"/>
    <n v="0.96343436579337105"/>
    <n v="1.9634343657933699"/>
  </r>
  <r>
    <s v="CMP1921"/>
    <s v="Wishlist Wonders"/>
    <x v="3"/>
    <x v="169"/>
    <d v="2024-01-21T00:00:00"/>
    <n v="55947.199999999997"/>
    <n v="23294.400000000001"/>
    <n v="12342.4"/>
    <n v="4526.6239999999998"/>
    <n v="11415.951999999999"/>
    <x v="0"/>
    <x v="2"/>
    <x v="1"/>
    <n v="0.416364000343181"/>
    <n v="0.529844082697987"/>
    <n v="0.19432241225358901"/>
    <n v="0.36675395385014298"/>
    <n v="1.52195720254212"/>
    <n v="2.5219572025421102"/>
  </r>
  <r>
    <s v="CMP1922"/>
    <s v="Cart to Couch"/>
    <x v="1"/>
    <x v="99"/>
    <d v="2024-06-13T00:00:00"/>
    <n v="41616"/>
    <n v="33033.599999999999"/>
    <n v="15603.2"/>
    <n v="4080.0479999999998"/>
    <n v="11564.304"/>
    <x v="4"/>
    <x v="4"/>
    <x v="1"/>
    <n v="0.79377162629757803"/>
    <n v="0.47234331105298799"/>
    <n v="0.12351206044754399"/>
    <n v="0.261487899917966"/>
    <n v="1.83435488994247"/>
    <n v="2.8343548899424702"/>
  </r>
  <r>
    <s v="CMP1923"/>
    <s v="Shop &amp; Share"/>
    <x v="0"/>
    <x v="24"/>
    <d v="2024-03-09T00:00:00"/>
    <n v="13814.4"/>
    <n v="11830.4"/>
    <n v="10382.4"/>
    <n v="6232.5280000000002"/>
    <n v="22602.752"/>
    <x v="0"/>
    <x v="1"/>
    <x v="1"/>
    <n v="0.85638174658327504"/>
    <n v="0.87760346226670305"/>
    <n v="0.526823099810657"/>
    <n v="0.60029742641393102"/>
    <n v="2.6265784927079299"/>
    <n v="3.6265784927079299"/>
  </r>
  <r>
    <s v="CMP1924"/>
    <s v="Cart to Couch"/>
    <x v="3"/>
    <x v="141"/>
    <d v="2024-05-31T00:00:00"/>
    <n v="26747.200000000001"/>
    <n v="1700.8"/>
    <n v="25.6"/>
    <n v="6205.6959999999999"/>
    <n v="13710.24"/>
    <x v="0"/>
    <x v="1"/>
    <x v="1"/>
    <n v="6.3587964347670001E-2"/>
    <n v="1.5051740357478799E-2"/>
    <n v="3.6486923800564401"/>
    <n v="242.41"/>
    <n v="1.2092993275855"/>
    <n v="2.2092993275855002"/>
  </r>
  <r>
    <s v="CMP1925"/>
    <s v="Deal of the Day"/>
    <x v="0"/>
    <x v="79"/>
    <d v="2024-07-09T00:00:00"/>
    <n v="46888"/>
    <n v="8513.6"/>
    <n v="7755.2"/>
    <n v="7044.7359999999999"/>
    <n v="12315.824000000001"/>
    <x v="4"/>
    <x v="4"/>
    <x v="1"/>
    <n v="0.181573110390718"/>
    <n v="0.91091900018793504"/>
    <n v="0.82746852095470802"/>
    <n v="0.90838869403754896"/>
    <n v="0.74823073568690202"/>
    <n v="1.7482307356869"/>
  </r>
  <r>
    <s v="CMP1926"/>
    <s v="Seasonal Steals"/>
    <x v="0"/>
    <x v="62"/>
    <d v="2024-04-25T00:00:00"/>
    <n v="18356.8"/>
    <n v="16801.599999999999"/>
    <n v="12244.8"/>
    <n v="846.83199999999999"/>
    <n v="2241.424"/>
    <x v="0"/>
    <x v="0"/>
    <x v="1"/>
    <n v="0.91527935152096196"/>
    <n v="0.72878773450147605"/>
    <n v="5.0401866488905801E-2"/>
    <n v="6.9158499934666107E-2"/>
    <n v="1.64683431896763"/>
    <n v="2.6468343189676302"/>
  </r>
  <r>
    <s v="CMP1927"/>
    <s v="Cart to Couch"/>
    <x v="1"/>
    <x v="227"/>
    <d v="2024-10-18T00:00:00"/>
    <n v="70108.800000000003"/>
    <n v="3465.6"/>
    <n v="155.19999999999999"/>
    <n v="2427.232"/>
    <n v="7024.2719999999999"/>
    <x v="4"/>
    <x v="4"/>
    <x v="0"/>
    <n v="4.9431740380665501E-2"/>
    <n v="4.4783010156971399E-2"/>
    <n v="0.70037857802400705"/>
    <n v="15.639381443298999"/>
    <n v="1.89394338901267"/>
    <n v="2.8939433890126698"/>
  </r>
  <r>
    <s v="CMP1928"/>
    <s v="Shop &amp; Share"/>
    <x v="3"/>
    <x v="11"/>
    <d v="2024-10-26T00:00:00"/>
    <n v="34123.199999999997"/>
    <n v="713.6"/>
    <n v="577.6"/>
    <n v="5754.2560000000003"/>
    <n v="17530.975999999999"/>
    <x v="4"/>
    <x v="3"/>
    <x v="1"/>
    <n v="2.09124583860834E-2"/>
    <n v="0.80941704035874396"/>
    <n v="8.0636995515695098"/>
    <n v="9.9623545706371193"/>
    <n v="2.0466103697854199"/>
    <n v="3.0466103697854199"/>
  </r>
  <r>
    <s v="CMP1929"/>
    <s v="Flash Sale Frenzy"/>
    <x v="0"/>
    <x v="140"/>
    <d v="2024-09-10T00:00:00"/>
    <n v="55481.599999999999"/>
    <n v="2216"/>
    <n v="1888"/>
    <n v="3701.04"/>
    <n v="6427.6959999999999"/>
    <x v="0"/>
    <x v="2"/>
    <x v="0"/>
    <n v="3.99411696850848E-2"/>
    <n v="0.85198555956678701"/>
    <n v="1.6701444043321301"/>
    <n v="1.9602966101694901"/>
    <n v="0.73672697403972898"/>
    <n v="1.73672697403973"/>
  </r>
  <r>
    <s v="CMP1930"/>
    <s v="Deal of the Day"/>
    <x v="2"/>
    <x v="69"/>
    <d v="2024-11-23T00:00:00"/>
    <n v="31252.799999999999"/>
    <n v="10380.799999999999"/>
    <n v="4148.8"/>
    <n v="4349.2640000000001"/>
    <n v="12462.368"/>
    <x v="3"/>
    <x v="0"/>
    <x v="1"/>
    <n v="0.33215583883684002"/>
    <n v="0.39966091245376101"/>
    <n v="0.418971948212084"/>
    <n v="1.0483185499421499"/>
    <n v="1.8653969959055099"/>
    <n v="2.8653969959055101"/>
  </r>
  <r>
    <s v="CMP1931"/>
    <s v="Deal of the Day"/>
    <x v="2"/>
    <x v="169"/>
    <d v="2024-02-07T00:00:00"/>
    <n v="53824"/>
    <n v="33184"/>
    <n v="15195.2"/>
    <n v="6079.424"/>
    <n v="20972.047999999999"/>
    <x v="1"/>
    <x v="4"/>
    <x v="0"/>
    <n v="0.61652794292508895"/>
    <n v="0.45790742526518802"/>
    <n v="0.18320347155255501"/>
    <n v="0.40008844898389001"/>
    <n v="2.4496768114874001"/>
    <n v="3.4496768114874001"/>
  </r>
  <r>
    <s v="CMP1932"/>
    <s v="Wishlist Wonders"/>
    <x v="2"/>
    <x v="181"/>
    <d v="2024-08-24T00:00:00"/>
    <n v="39264"/>
    <n v="12476.8"/>
    <n v="1550.4"/>
    <n v="5644.848"/>
    <n v="17097.552"/>
    <x v="1"/>
    <x v="0"/>
    <x v="1"/>
    <n v="0.31776691116544398"/>
    <n v="0.12426263144396001"/>
    <n v="0.45242754552449299"/>
    <n v="3.6408978328173398"/>
    <n v="2.0288773054650902"/>
    <n v="3.0288773054650902"/>
  </r>
  <r>
    <s v="CMP1933"/>
    <s v="Seasonal Steals"/>
    <x v="0"/>
    <x v="144"/>
    <d v="2024-04-22T00:00:00"/>
    <n v="61744"/>
    <n v="29089.599999999999"/>
    <n v="6822.4"/>
    <n v="995.48800000000006"/>
    <n v="2993.6"/>
    <x v="2"/>
    <x v="2"/>
    <x v="1"/>
    <n v="0.47113241772479902"/>
    <n v="0.234530553874924"/>
    <n v="3.42214399647984E-2"/>
    <n v="0.14591463414634101"/>
    <n v="2.0071683435661698"/>
    <n v="3.0071683435661698"/>
  </r>
  <r>
    <s v="CMP1934"/>
    <s v="Cart to Couch"/>
    <x v="1"/>
    <x v="64"/>
    <d v="2024-03-18T00:00:00"/>
    <n v="73596.800000000003"/>
    <n v="57896"/>
    <n v="10281.6"/>
    <n v="5087.12"/>
    <n v="8793.2479999999996"/>
    <x v="1"/>
    <x v="0"/>
    <x v="1"/>
    <n v="0.78666463759293903"/>
    <n v="0.17758739809313301"/>
    <n v="8.7866519275943106E-2"/>
    <n v="0.49477902272019902"/>
    <n v="0.72853166428155802"/>
    <n v="1.72853166428156"/>
  </r>
  <r>
    <s v="CMP1935"/>
    <s v="Flash Sale Frenzy"/>
    <x v="1"/>
    <x v="2"/>
    <d v="2024-04-05T00:00:00"/>
    <n v="74467.199999999997"/>
    <n v="41337.599999999999"/>
    <n v="3588.8"/>
    <n v="3838.4960000000001"/>
    <n v="14869.584000000001"/>
    <x v="0"/>
    <x v="2"/>
    <x v="1"/>
    <n v="0.55511151218254495"/>
    <n v="8.6816844712803806E-2"/>
    <n v="9.2857253444805707E-2"/>
    <n v="1.0695764600980799"/>
    <n v="2.8738047401899101"/>
    <n v="3.8738047401899101"/>
  </r>
  <r>
    <s v="CMP1936"/>
    <s v="Seasonal Steals"/>
    <x v="0"/>
    <x v="179"/>
    <d v="2024-03-25T00:00:00"/>
    <n v="3819.2"/>
    <n v="3809.6"/>
    <n v="1696"/>
    <n v="3974.6559999999999"/>
    <n v="12426.144"/>
    <x v="0"/>
    <x v="1"/>
    <x v="1"/>
    <n v="0.99748638458315897"/>
    <n v="0.44519109617807601"/>
    <n v="1.04332633347333"/>
    <n v="2.3435471698113202"/>
    <n v="2.1263445188715702"/>
    <n v="3.1263445188715702"/>
  </r>
  <r>
    <s v="CMP1937"/>
    <s v="Deal of the Day"/>
    <x v="0"/>
    <x v="260"/>
    <d v="2024-09-05T00:00:00"/>
    <n v="4577.6000000000004"/>
    <n v="169.6"/>
    <n v="65.599999999999994"/>
    <n v="2210.56"/>
    <n v="6005.12"/>
    <x v="4"/>
    <x v="1"/>
    <x v="1"/>
    <n v="3.7049982523593102E-2"/>
    <n v="0.38679245283018898"/>
    <n v="13.033962264150899"/>
    <n v="33.697560975609797"/>
    <n v="1.7165605095541401"/>
    <n v="2.7165605095541401"/>
  </r>
  <r>
    <s v="CMP1938"/>
    <s v="Wishlist Wonders"/>
    <x v="3"/>
    <x v="116"/>
    <d v="2024-08-21T00:00:00"/>
    <n v="67814.399999999994"/>
    <n v="61320"/>
    <n v="9792"/>
    <n v="7106.96"/>
    <n v="17674.191999999999"/>
    <x v="4"/>
    <x v="0"/>
    <x v="1"/>
    <n v="0.90423272933182297"/>
    <n v="0.15968688845401199"/>
    <n v="0.115899543378995"/>
    <n v="0.72579248366013105"/>
    <n v="1.48688496910071"/>
    <n v="2.4868849691007102"/>
  </r>
  <r>
    <s v="CMP1939"/>
    <s v="Wishlist Wonders"/>
    <x v="3"/>
    <x v="207"/>
    <d v="2024-06-03T00:00:00"/>
    <n v="41284.800000000003"/>
    <n v="16550.400000000001"/>
    <n v="15779.2"/>
    <n v="3376.9119999999998"/>
    <n v="10866.768"/>
    <x v="0"/>
    <x v="4"/>
    <x v="1"/>
    <n v="0.40088361818393198"/>
    <n v="0.95340293890177896"/>
    <n v="0.20403808971384399"/>
    <n v="0.21401034272966901"/>
    <n v="2.2179600771355599"/>
    <n v="3.2179600771355599"/>
  </r>
  <r>
    <s v="CMP1940"/>
    <s v="Cart to Couch"/>
    <x v="3"/>
    <x v="201"/>
    <d v="2024-03-12T00:00:00"/>
    <n v="79072"/>
    <n v="57584"/>
    <n v="46958.400000000001"/>
    <n v="1041.4880000000001"/>
    <n v="2936.7040000000002"/>
    <x v="3"/>
    <x v="4"/>
    <x v="1"/>
    <n v="0.72824767300687998"/>
    <n v="0.81547652125590397"/>
    <n v="1.8086412892470101E-2"/>
    <n v="2.2178949879041902E-2"/>
    <n v="1.81971947828492"/>
    <n v="2.8197194782849202"/>
  </r>
  <r>
    <s v="CMP1941"/>
    <s v="Seasonal Steals"/>
    <x v="2"/>
    <x v="175"/>
    <d v="2024-04-16T00:00:00"/>
    <n v="64812.800000000003"/>
    <n v="40993.599999999999"/>
    <n v="40241.599999999999"/>
    <n v="1730.704"/>
    <n v="2837.2159999999999"/>
    <x v="1"/>
    <x v="4"/>
    <x v="1"/>
    <n v="0.63249234719067804"/>
    <n v="0.98165567308067603"/>
    <n v="4.2218882947582102E-2"/>
    <n v="4.30078326905491E-2"/>
    <n v="0.63934214053934102"/>
    <n v="1.63934214053934"/>
  </r>
  <r>
    <s v="CMP1942"/>
    <s v="Wishlist Wonders"/>
    <x v="1"/>
    <x v="30"/>
    <d v="2024-08-17T00:00:00"/>
    <n v="2820.8"/>
    <n v="753.6"/>
    <n v="200"/>
    <n v="4328.6239999999998"/>
    <n v="10142.255999999999"/>
    <x v="3"/>
    <x v="1"/>
    <x v="1"/>
    <n v="0.26715825297787898"/>
    <n v="0.26539278131634803"/>
    <n v="5.7439278131634799"/>
    <n v="21.64312"/>
    <n v="1.3430669884933399"/>
    <n v="2.3430669884933399"/>
  </r>
  <r>
    <s v="CMP1943"/>
    <s v="Wishlist Wonders"/>
    <x v="2"/>
    <x v="265"/>
    <d v="2024-09-18T00:00:00"/>
    <n v="6600"/>
    <n v="5419.2"/>
    <n v="2640"/>
    <n v="5082.4799999999996"/>
    <n v="11673.824000000001"/>
    <x v="1"/>
    <x v="0"/>
    <x v="1"/>
    <n v="0.82109090909090898"/>
    <n v="0.48715677590788298"/>
    <n v="0.93786536758193095"/>
    <n v="1.9251818181818201"/>
    <n v="1.2968755410744399"/>
    <n v="2.2968755410744399"/>
  </r>
  <r>
    <s v="CMP1944"/>
    <s v="Cart to Couch"/>
    <x v="1"/>
    <x v="77"/>
    <d v="2024-04-01T00:00:00"/>
    <n v="32172.799999999999"/>
    <n v="29476.799999999999"/>
    <n v="13456"/>
    <n v="6547.52"/>
    <n v="17225.504000000001"/>
    <x v="0"/>
    <x v="3"/>
    <x v="1"/>
    <n v="0.91620250646508805"/>
    <n v="0.456494599142376"/>
    <n v="0.22212451826521201"/>
    <n v="0.48658739595719402"/>
    <n v="1.6308440447681001"/>
    <n v="2.6308440447681001"/>
  </r>
  <r>
    <s v="CMP1945"/>
    <s v="Flash Sale Frenzy"/>
    <x v="2"/>
    <x v="146"/>
    <d v="2024-03-04T00:00:00"/>
    <n v="23782.400000000001"/>
    <n v="18616"/>
    <n v="2166.4"/>
    <n v="3547.7759999999998"/>
    <n v="11636.72"/>
    <x v="1"/>
    <x v="1"/>
    <x v="1"/>
    <n v="0.78276372443487596"/>
    <n v="0.11637301246239801"/>
    <n v="0.190576708207993"/>
    <n v="1.63763663220089"/>
    <n v="2.2800041490781799"/>
    <n v="3.2800041490781799"/>
  </r>
  <r>
    <s v="CMP1946"/>
    <s v="Wishlist Wonders"/>
    <x v="1"/>
    <x v="285"/>
    <d v="2024-03-10T00:00:00"/>
    <n v="5801.6"/>
    <n v="5472"/>
    <n v="2420.8000000000002"/>
    <n v="2852.72"/>
    <n v="7490.9920000000002"/>
    <x v="2"/>
    <x v="1"/>
    <x v="1"/>
    <n v="0.94318808604522897"/>
    <n v="0.44239766081871301"/>
    <n v="0.52133040935672503"/>
    <n v="1.1784203569068099"/>
    <n v="1.6259121119493001"/>
    <n v="2.6259121119493001"/>
  </r>
  <r>
    <s v="CMP1947"/>
    <s v="Deal of the Day"/>
    <x v="1"/>
    <x v="226"/>
    <d v="2024-01-09T00:00:00"/>
    <n v="18347.2"/>
    <n v="15356.8"/>
    <n v="4451.2"/>
    <n v="7722.1760000000004"/>
    <n v="19105.727999999999"/>
    <x v="1"/>
    <x v="2"/>
    <x v="0"/>
    <n v="0.83701055201883701"/>
    <n v="0.28985205251093998"/>
    <n v="0.50285059387372399"/>
    <n v="1.7348526240115001"/>
    <n v="1.4741378595877599"/>
    <n v="2.4741378595877599"/>
  </r>
  <r>
    <s v="CMP1948"/>
    <s v="Cart to Couch"/>
    <x v="3"/>
    <x v="200"/>
    <d v="2024-07-11T00:00:00"/>
    <n v="23659.200000000001"/>
    <n v="20699.2"/>
    <n v="14953.6"/>
    <n v="386.33600000000001"/>
    <n v="1175.424"/>
    <x v="4"/>
    <x v="2"/>
    <x v="1"/>
    <n v="0.87489010617434204"/>
    <n v="0.72242405503594298"/>
    <n v="1.8664296204684201E-2"/>
    <n v="2.58356516156645E-2"/>
    <n v="2.04249150998095"/>
    <n v="3.04249150998095"/>
  </r>
  <r>
    <s v="CMP1949"/>
    <s v="Wishlist Wonders"/>
    <x v="3"/>
    <x v="88"/>
    <d v="2024-10-06T00:00:00"/>
    <n v="22374.400000000001"/>
    <n v="4150.3999999999996"/>
    <n v="1124.8"/>
    <n v="3387.6"/>
    <n v="9068.8960000000006"/>
    <x v="3"/>
    <x v="3"/>
    <x v="1"/>
    <n v="0.18549771167048101"/>
    <n v="0.27101002313030098"/>
    <n v="0.81621048573631505"/>
    <n v="3.0117354196301598"/>
    <n v="1.67708584248435"/>
    <n v="2.6770858424843502"/>
  </r>
  <r>
    <s v="CMP1950"/>
    <s v="Flash Sale Frenzy"/>
    <x v="2"/>
    <x v="178"/>
    <d v="2024-03-08T00:00:00"/>
    <n v="13132.8"/>
    <n v="265.60000000000002"/>
    <n v="182.4"/>
    <n v="5154.8959999999997"/>
    <n v="13651.103999999999"/>
    <x v="3"/>
    <x v="2"/>
    <x v="0"/>
    <n v="2.0224171539960999E-2"/>
    <n v="0.686746987951807"/>
    <n v="19.4084939759036"/>
    <n v="28.261491228070199"/>
    <n v="1.6481822329684199"/>
    <n v="2.6481822329684199"/>
  </r>
  <r>
    <s v="CMP1951"/>
    <s v="Seasonal Steals"/>
    <x v="1"/>
    <x v="211"/>
    <d v="2024-11-09T00:00:00"/>
    <n v="47283.199999999997"/>
    <n v="28222.400000000001"/>
    <n v="2166.4"/>
    <n v="2225.5039999999999"/>
    <n v="7268.7039999999997"/>
    <x v="4"/>
    <x v="2"/>
    <x v="1"/>
    <n v="0.59688007579859204"/>
    <n v="7.6761721186008297E-2"/>
    <n v="7.8855944214524604E-2"/>
    <n v="1.02728212703102"/>
    <n v="2.26609343321782"/>
    <n v="3.26609343321782"/>
  </r>
  <r>
    <s v="CMP1952"/>
    <s v="Deal of the Day"/>
    <x v="2"/>
    <x v="48"/>
    <d v="2024-08-26T00:00:00"/>
    <n v="30424"/>
    <n v="7555.2"/>
    <n v="2443.1999999999998"/>
    <n v="6127.4719999999998"/>
    <n v="7477.7920000000004"/>
    <x v="1"/>
    <x v="0"/>
    <x v="1"/>
    <n v="0.248330265579805"/>
    <n v="0.32337992376111802"/>
    <n v="0.81102710715798398"/>
    <n v="2.50796987557302"/>
    <n v="0.22037146803771601"/>
    <n v="1.22037146803772"/>
  </r>
  <r>
    <s v="CMP1953"/>
    <s v="Cart to Couch"/>
    <x v="3"/>
    <x v="277"/>
    <d v="2024-03-08T00:00:00"/>
    <n v="66627.199999999997"/>
    <n v="8782.4"/>
    <n v="3532.8"/>
    <n v="3230.72"/>
    <n v="8933.1839999999993"/>
    <x v="4"/>
    <x v="1"/>
    <x v="0"/>
    <n v="0.131814033908074"/>
    <n v="0.40225906358170899"/>
    <n v="0.367862998724722"/>
    <n v="0.91449275362318805"/>
    <n v="1.76507527733756"/>
    <n v="2.76507527733756"/>
  </r>
  <r>
    <s v="CMP1954"/>
    <s v="Deal of the Day"/>
    <x v="1"/>
    <x v="134"/>
    <d v="2024-07-30T00:00:00"/>
    <n v="40872"/>
    <n v="14270.4"/>
    <n v="3769.6"/>
    <n v="1764.864"/>
    <n v="5328.6080000000002"/>
    <x v="3"/>
    <x v="0"/>
    <x v="1"/>
    <n v="0.34914856136230199"/>
    <n v="0.2641551743469"/>
    <n v="0.123673057517659"/>
    <n v="0.468183361629881"/>
    <n v="2.0192740063823602"/>
    <n v="3.0192740063823602"/>
  </r>
  <r>
    <s v="CMP1955"/>
    <s v="Deal of the Day"/>
    <x v="0"/>
    <x v="117"/>
    <d v="2024-03-13T00:00:00"/>
    <n v="48059.199999999997"/>
    <n v="4865.6000000000004"/>
    <n v="22.4"/>
    <n v="7639.152"/>
    <n v="18152.351999999999"/>
    <x v="0"/>
    <x v="0"/>
    <x v="1"/>
    <n v="0.10124180177780701"/>
    <n v="4.6037487668530103E-3"/>
    <n v="1.5700328839197599"/>
    <n v="341.03357142857101"/>
    <n v="1.3762260523157499"/>
    <n v="2.3762260523157499"/>
  </r>
  <r>
    <s v="CMP1956"/>
    <s v="Wishlist Wonders"/>
    <x v="0"/>
    <x v="238"/>
    <d v="2024-08-07T00:00:00"/>
    <n v="37934.400000000001"/>
    <n v="9262.4"/>
    <n v="3532.8"/>
    <n v="5884.88"/>
    <n v="7916.4319999999998"/>
    <x v="0"/>
    <x v="1"/>
    <x v="0"/>
    <n v="0.24416888101564799"/>
    <n v="0.38141302470202099"/>
    <n v="0.63535152876144396"/>
    <n v="1.66578351449275"/>
    <n v="0.34521553540598998"/>
    <n v="1.34521553540599"/>
  </r>
  <r>
    <s v="CMP1957"/>
    <s v="Wishlist Wonders"/>
    <x v="2"/>
    <x v="238"/>
    <d v="2024-08-25T00:00:00"/>
    <n v="31624"/>
    <n v="10315.200000000001"/>
    <n v="1224"/>
    <n v="2979.9520000000002"/>
    <n v="5401.1679999999997"/>
    <x v="3"/>
    <x v="1"/>
    <x v="1"/>
    <n v="0.32618264609157599"/>
    <n v="0.118659841786878"/>
    <n v="0.28888940592523699"/>
    <n v="2.4346013071895398"/>
    <n v="0.81250167787937499"/>
    <n v="1.8125016778793701"/>
  </r>
  <r>
    <s v="CMP1958"/>
    <s v="Shop &amp; Share"/>
    <x v="3"/>
    <x v="271"/>
    <d v="2024-05-04T00:00:00"/>
    <n v="76736"/>
    <n v="60163.199999999997"/>
    <n v="4003.2"/>
    <n v="3842.9119999999998"/>
    <n v="10563.552"/>
    <x v="0"/>
    <x v="4"/>
    <x v="1"/>
    <n v="0.78402835696413697"/>
    <n v="6.6539013882240303E-2"/>
    <n v="6.3874793893941795E-2"/>
    <n v="0.95996003197442004"/>
    <n v="1.74884046264916"/>
    <n v="2.7488404626491598"/>
  </r>
  <r>
    <s v="CMP1959"/>
    <s v="Wishlist Wonders"/>
    <x v="3"/>
    <x v="15"/>
    <d v="2024-03-01T00:00:00"/>
    <n v="7372.8"/>
    <n v="4972.8"/>
    <n v="4817.6000000000004"/>
    <n v="216.624"/>
    <n v="573.80799999999999"/>
    <x v="2"/>
    <x v="0"/>
    <x v="1"/>
    <n v="0.67447916666666696"/>
    <n v="0.96879021879021898"/>
    <n v="4.3561776061776102E-2"/>
    <n v="4.4965127864496801E-2"/>
    <n v="1.64886623827461"/>
    <n v="2.6488662382746102"/>
  </r>
  <r>
    <s v="CMP1960"/>
    <s v="Wishlist Wonders"/>
    <x v="1"/>
    <x v="265"/>
    <d v="2024-09-15T00:00:00"/>
    <n v="30688"/>
    <n v="27940.799999999999"/>
    <n v="23308.799999999999"/>
    <n v="5517.5680000000002"/>
    <n v="12315.744000000001"/>
    <x v="3"/>
    <x v="4"/>
    <x v="1"/>
    <n v="0.91047966631908195"/>
    <n v="0.83422092423982097"/>
    <n v="0.197473515432629"/>
    <n v="0.236716090060406"/>
    <n v="1.2320964598895701"/>
    <n v="2.2320964598895698"/>
  </r>
  <r>
    <s v="CMP1961"/>
    <s v="Deal of the Day"/>
    <x v="2"/>
    <x v="118"/>
    <d v="2024-08-04T00:00:00"/>
    <n v="11230.4"/>
    <n v="552"/>
    <n v="283.2"/>
    <n v="5386.4639999999999"/>
    <n v="16899.536"/>
    <x v="0"/>
    <x v="0"/>
    <x v="1"/>
    <n v="4.9152300897563797E-2"/>
    <n v="0.51304347826086905"/>
    <n v="9.7580869565217405"/>
    <n v="19.02"/>
    <n v="2.1374081401082399"/>
    <n v="3.1374081401082399"/>
  </r>
  <r>
    <s v="CMP1962"/>
    <s v="Wishlist Wonders"/>
    <x v="0"/>
    <x v="213"/>
    <d v="2024-06-13T00:00:00"/>
    <n v="47140.800000000003"/>
    <n v="15910.4"/>
    <n v="15136"/>
    <n v="4338.6400000000003"/>
    <n v="16380.976000000001"/>
    <x v="2"/>
    <x v="0"/>
    <x v="0"/>
    <n v="0.337508060957811"/>
    <n v="0.95132743362831895"/>
    <n v="0.27269207562349201"/>
    <n v="0.28664376321353102"/>
    <n v="2.7756015709992101"/>
    <n v="3.7756015709992101"/>
  </r>
  <r>
    <s v="CMP1963"/>
    <s v="Shop &amp; Share"/>
    <x v="3"/>
    <x v="187"/>
    <d v="2024-07-16T00:00:00"/>
    <n v="23121.599999999999"/>
    <n v="13121.6"/>
    <n v="10504"/>
    <n v="2038.944"/>
    <n v="6913.9040000000005"/>
    <x v="1"/>
    <x v="3"/>
    <x v="0"/>
    <n v="0.567503978963394"/>
    <n v="0.80051213266674803"/>
    <n v="0.155388367272284"/>
    <n v="0.194111195734958"/>
    <n v="2.39092392924965"/>
    <n v="3.39092392924965"/>
  </r>
  <r>
    <s v="CMP1964"/>
    <s v="Cart to Couch"/>
    <x v="1"/>
    <x v="208"/>
    <d v="2024-06-09T00:00:00"/>
    <n v="2968"/>
    <n v="649.6"/>
    <n v="320"/>
    <n v="6677.232"/>
    <n v="26654.335999999999"/>
    <x v="0"/>
    <x v="2"/>
    <x v="0"/>
    <n v="0.218867924528302"/>
    <n v="0.49261083743842399"/>
    <n v="10.278990147783301"/>
    <n v="20.866350000000001"/>
    <n v="2.9918241570758699"/>
    <n v="3.9918241570758699"/>
  </r>
  <r>
    <s v="CMP1965"/>
    <s v="Seasonal Steals"/>
    <x v="2"/>
    <x v="231"/>
    <d v="2024-03-16T00:00:00"/>
    <n v="40128"/>
    <n v="19665.599999999999"/>
    <n v="4062.4"/>
    <n v="6332.3680000000004"/>
    <n v="11405.536"/>
    <x v="0"/>
    <x v="2"/>
    <x v="0"/>
    <n v="0.49007177033492799"/>
    <n v="0.20657391587340301"/>
    <n v="0.32200227808965898"/>
    <n v="1.55877510831036"/>
    <n v="0.80114863823454296"/>
    <n v="1.8011486382345401"/>
  </r>
  <r>
    <s v="CMP1966"/>
    <s v="Wishlist Wonders"/>
    <x v="0"/>
    <x v="30"/>
    <d v="2024-08-27T00:00:00"/>
    <n v="29240"/>
    <n v="3353.6"/>
    <n v="977.6"/>
    <n v="4781.5839999999998"/>
    <n v="17059.151999999998"/>
    <x v="0"/>
    <x v="2"/>
    <x v="0"/>
    <n v="0.11469220246238"/>
    <n v="0.29150763358778597"/>
    <n v="1.42580629770992"/>
    <n v="4.8911456628477898"/>
    <n v="2.5676779912263399"/>
    <n v="3.5676779912263399"/>
  </r>
  <r>
    <s v="CMP1967"/>
    <s v="Seasonal Steals"/>
    <x v="3"/>
    <x v="120"/>
    <d v="2024-03-02T00:00:00"/>
    <n v="44267.199999999997"/>
    <n v="3740.8"/>
    <n v="2051.1999999999998"/>
    <n v="683.952"/>
    <n v="1303.8879999999999"/>
    <x v="1"/>
    <x v="3"/>
    <x v="0"/>
    <n v="8.4505005963783603E-2"/>
    <n v="0.54833190761334505"/>
    <n v="0.182835757057314"/>
    <n v="0.33343993759750401"/>
    <n v="0.90640278849977796"/>
    <n v="1.9064027884997801"/>
  </r>
  <r>
    <s v="CMP1968"/>
    <s v="Deal of the Day"/>
    <x v="3"/>
    <x v="48"/>
    <d v="2024-08-25T00:00:00"/>
    <n v="39779.199999999997"/>
    <n v="18524.8"/>
    <n v="10721.6"/>
    <n v="7054.4160000000002"/>
    <n v="8906.5120000000006"/>
    <x v="0"/>
    <x v="4"/>
    <x v="1"/>
    <n v="0.46569061217922902"/>
    <n v="0.57877008118846096"/>
    <n v="0.38080929348764903"/>
    <n v="0.65796299059841801"/>
    <n v="0.26254419926468803"/>
    <n v="1.26254419926469"/>
  </r>
  <r>
    <s v="CMP1969"/>
    <s v="Cart to Couch"/>
    <x v="0"/>
    <x v="55"/>
    <d v="2024-08-03T00:00:00"/>
    <n v="43020.800000000003"/>
    <n v="7060.8"/>
    <n v="5048"/>
    <n v="7044.2879999999996"/>
    <n v="13735.824000000001"/>
    <x v="0"/>
    <x v="0"/>
    <x v="1"/>
    <n v="0.16412526033918501"/>
    <n v="0.71493315205075902"/>
    <n v="0.997661454792658"/>
    <n v="1.3954611727416799"/>
    <n v="0.94992368284772"/>
    <n v="1.94992368284772"/>
  </r>
  <r>
    <s v="CMP1970"/>
    <s v="Shop &amp; Share"/>
    <x v="1"/>
    <x v="119"/>
    <d v="2024-07-05T00:00:00"/>
    <n v="52718.400000000001"/>
    <n v="4878.3999999999996"/>
    <n v="2518.4"/>
    <n v="5598.1120000000001"/>
    <n v="13192.096"/>
    <x v="1"/>
    <x v="2"/>
    <x v="0"/>
    <n v="9.2536951045555205E-2"/>
    <n v="0.51623483109216095"/>
    <n v="1.14753033781568"/>
    <n v="2.2228843710292199"/>
    <n v="1.3565259144511601"/>
    <n v="2.3565259144511601"/>
  </r>
  <r>
    <s v="CMP1971"/>
    <s v="Deal of the Day"/>
    <x v="0"/>
    <x v="68"/>
    <d v="2024-04-06T00:00:00"/>
    <n v="62345.599999999999"/>
    <n v="46016"/>
    <n v="42812.800000000003"/>
    <n v="7008.5919999999996"/>
    <n v="21778.799999999999"/>
    <x v="4"/>
    <x v="3"/>
    <x v="0"/>
    <n v="0.73807935122927704"/>
    <n v="0.93038942976356098"/>
    <n v="0.15230771905424201"/>
    <n v="0.163703191568877"/>
    <n v="2.1074429785611701"/>
    <n v="3.1074429785611701"/>
  </r>
  <r>
    <s v="CMP1972"/>
    <s v="Shop &amp; Share"/>
    <x v="3"/>
    <x v="85"/>
    <d v="2024-07-21T00:00:00"/>
    <n v="45259.199999999997"/>
    <n v="2408"/>
    <n v="564.79999999999995"/>
    <n v="5829.4560000000001"/>
    <n v="22909.84"/>
    <x v="3"/>
    <x v="3"/>
    <x v="1"/>
    <n v="5.3204652313783699E-2"/>
    <n v="0.23455149501661099"/>
    <n v="2.42087043189369"/>
    <n v="10.321274787535399"/>
    <n v="2.9300133665988701"/>
    <n v="3.9300133665988701"/>
  </r>
  <r>
    <s v="CMP1973"/>
    <s v="Deal of the Day"/>
    <x v="2"/>
    <x v="264"/>
    <d v="2024-08-17T00:00:00"/>
    <n v="52345.599999999999"/>
    <n v="51379.199999999997"/>
    <n v="30572.799999999999"/>
    <n v="5903.0720000000001"/>
    <n v="22965.903999999999"/>
    <x v="4"/>
    <x v="3"/>
    <x v="1"/>
    <n v="0.98153808534050602"/>
    <n v="0.59504235176880904"/>
    <n v="0.114892252117588"/>
    <n v="0.19308247854301899"/>
    <n v="2.8905004038575202"/>
    <n v="3.8905004038575202"/>
  </r>
  <r>
    <s v="CMP1974"/>
    <s v="Cart to Couch"/>
    <x v="2"/>
    <x v="125"/>
    <d v="2024-02-02T00:00:00"/>
    <n v="50899.199999999997"/>
    <n v="37361.599999999999"/>
    <n v="22276.799999999999"/>
    <n v="6806.1279999999997"/>
    <n v="22566.624"/>
    <x v="0"/>
    <x v="1"/>
    <x v="1"/>
    <n v="0.734031183201308"/>
    <n v="0.59624855466575299"/>
    <n v="0.182169071988352"/>
    <n v="0.30552538964303699"/>
    <n v="2.3156332058403799"/>
    <n v="3.3156332058403799"/>
  </r>
  <r>
    <s v="CMP1975"/>
    <s v="Seasonal Steals"/>
    <x v="2"/>
    <x v="199"/>
    <d v="2024-07-20T00:00:00"/>
    <n v="20188.8"/>
    <n v="13720"/>
    <n v="11979.2"/>
    <n v="927.904"/>
    <n v="2311.3119999999999"/>
    <x v="4"/>
    <x v="0"/>
    <x v="0"/>
    <n v="0.67958472024092598"/>
    <n v="0.873119533527697"/>
    <n v="6.7631486880466496E-2"/>
    <n v="7.7459596634165906E-2"/>
    <n v="1.49089560989068"/>
    <n v="2.4908956098906798"/>
  </r>
  <r>
    <s v="CMP1976"/>
    <s v="Seasonal Steals"/>
    <x v="2"/>
    <x v="122"/>
    <d v="2024-02-11T00:00:00"/>
    <n v="27945.599999999999"/>
    <n v="6539.2"/>
    <n v="4971.2"/>
    <n v="6362.6080000000002"/>
    <n v="11999.984"/>
    <x v="3"/>
    <x v="2"/>
    <x v="0"/>
    <n v="0.23399748081987901"/>
    <n v="0.76021531685833099"/>
    <n v="0.97299486175678995"/>
    <n v="1.27989378822015"/>
    <n v="0.88601655170332705"/>
    <n v="1.88601655170333"/>
  </r>
  <r>
    <s v="CMP1977"/>
    <s v="Cart to Couch"/>
    <x v="2"/>
    <x v="123"/>
    <d v="2024-03-23T00:00:00"/>
    <n v="21888"/>
    <n v="16155.2"/>
    <n v="6435.2"/>
    <n v="3578.5439999999999"/>
    <n v="4452.6400000000003"/>
    <x v="3"/>
    <x v="4"/>
    <x v="1"/>
    <n v="0.73808479532163795"/>
    <n v="0.39833613944736102"/>
    <n v="0.22151034960879501"/>
    <n v="0.55608901044256598"/>
    <n v="0.244260235447713"/>
    <n v="1.2442602354477099"/>
  </r>
  <r>
    <s v="CMP1978"/>
    <s v="Flash Sale Frenzy"/>
    <x v="1"/>
    <x v="3"/>
    <d v="2024-05-10T00:00:00"/>
    <n v="48603.199999999997"/>
    <n v="5776"/>
    <n v="5204.8"/>
    <n v="4423.68"/>
    <n v="13756.976000000001"/>
    <x v="3"/>
    <x v="1"/>
    <x v="1"/>
    <n v="0.11883991177535599"/>
    <n v="0.90110803324099698"/>
    <n v="0.76587257617728499"/>
    <n v="0.84992314786351097"/>
    <n v="2.1098488136574098"/>
    <n v="3.1098488136574098"/>
  </r>
  <r>
    <s v="CMP1979"/>
    <s v="Deal of the Day"/>
    <x v="1"/>
    <x v="60"/>
    <d v="2024-09-09T00:00:00"/>
    <n v="7523.2"/>
    <n v="2092.8000000000002"/>
    <n v="1662.4"/>
    <n v="1879.184"/>
    <n v="2990.6239999999998"/>
    <x v="1"/>
    <x v="1"/>
    <x v="1"/>
    <n v="0.27817949808592102"/>
    <n v="0.79434250764526004"/>
    <n v="0.89792813455657505"/>
    <n v="1.13040423484119"/>
    <n v="0.59144820304983403"/>
    <n v="1.59144820304983"/>
  </r>
  <r>
    <s v="CMP1980"/>
    <s v="Shop &amp; Share"/>
    <x v="1"/>
    <x v="77"/>
    <d v="2024-03-18T00:00:00"/>
    <n v="65448"/>
    <n v="61534.400000000001"/>
    <n v="57022.400000000001"/>
    <n v="4448.3680000000004"/>
    <n v="17033.184000000001"/>
    <x v="1"/>
    <x v="2"/>
    <x v="0"/>
    <n v="0.94020290917980698"/>
    <n v="0.92667516056059696"/>
    <n v="7.2290751189578506E-2"/>
    <n v="7.8010886949689995E-2"/>
    <n v="2.8290860828061"/>
    <n v="3.8290860828061"/>
  </r>
  <r>
    <s v="CMP1981"/>
    <s v="Cart to Couch"/>
    <x v="2"/>
    <x v="158"/>
    <d v="2024-09-10T00:00:00"/>
    <n v="41478.400000000001"/>
    <n v="30195.200000000001"/>
    <n v="14206.4"/>
    <n v="1740.048"/>
    <n v="2807.5520000000001"/>
    <x v="2"/>
    <x v="3"/>
    <x v="1"/>
    <n v="0.72797407807437098"/>
    <n v="0.47048537515896599"/>
    <n v="5.7626642645188603E-2"/>
    <n v="0.122483387768893"/>
    <n v="0.61349112208398904"/>
    <n v="1.61349112208399"/>
  </r>
  <r>
    <s v="CMP1982"/>
    <s v="Cart to Couch"/>
    <x v="3"/>
    <x v="280"/>
    <d v="2024-07-05T00:00:00"/>
    <n v="11713.6"/>
    <n v="7976"/>
    <n v="4257.6000000000004"/>
    <n v="2159.4560000000001"/>
    <n v="3769.5839999999998"/>
    <x v="1"/>
    <x v="0"/>
    <x v="0"/>
    <n v="0.68091790738970104"/>
    <n v="0.533801404212638"/>
    <n v="0.270744232698094"/>
    <n v="0.50720030063885801"/>
    <n v="0.74561741475630905"/>
    <n v="1.7456174147563099"/>
  </r>
  <r>
    <s v="CMP1983"/>
    <s v="Deal of the Day"/>
    <x v="2"/>
    <x v="209"/>
    <d v="2024-05-03T00:00:00"/>
    <n v="12262.4"/>
    <n v="6800"/>
    <n v="2521.6"/>
    <n v="7593.9520000000002"/>
    <n v="23230.175999999999"/>
    <x v="1"/>
    <x v="2"/>
    <x v="1"/>
    <n v="0.55454070981210901"/>
    <n v="0.370823529411765"/>
    <n v="1.1167576470588201"/>
    <n v="3.0115609137055799"/>
    <n v="2.0590364542730799"/>
    <n v="3.0590364542730799"/>
  </r>
  <r>
    <s v="CMP1984"/>
    <s v="Cart to Couch"/>
    <x v="2"/>
    <x v="229"/>
    <d v="2024-05-24T00:00:00"/>
    <n v="5139.2"/>
    <n v="872"/>
    <n v="825.6"/>
    <n v="3426.72"/>
    <n v="6569.7439999999997"/>
    <x v="2"/>
    <x v="3"/>
    <x v="1"/>
    <n v="0.16967621419676199"/>
    <n v="0.94678899082568801"/>
    <n v="3.9297247706422"/>
    <n v="4.1505813953488397"/>
    <n v="0.917210627071952"/>
    <n v="1.91721062707195"/>
  </r>
  <r>
    <s v="CMP1985"/>
    <s v="Flash Sale Frenzy"/>
    <x v="0"/>
    <x v="263"/>
    <d v="2024-06-05T00:00:00"/>
    <n v="46302.400000000001"/>
    <n v="31078.400000000001"/>
    <n v="4588.8"/>
    <n v="486.464"/>
    <n v="1650.72"/>
    <x v="2"/>
    <x v="1"/>
    <x v="0"/>
    <n v="0.67120494833961097"/>
    <n v="0.147652388797364"/>
    <n v="1.5652800658978599E-2"/>
    <n v="0.106011157601116"/>
    <n v="2.3933035126957001"/>
    <n v="3.3933035126957001"/>
  </r>
  <r>
    <s v="CMP1986"/>
    <s v="Deal of the Day"/>
    <x v="2"/>
    <x v="80"/>
    <d v="2024-10-25T00:00:00"/>
    <n v="52480"/>
    <n v="7364.8"/>
    <n v="1430.4"/>
    <n v="4075.76"/>
    <n v="11109.984"/>
    <x v="3"/>
    <x v="3"/>
    <x v="0"/>
    <n v="0.14033536585365899"/>
    <n v="0.19422116011297"/>
    <n v="0.55341081903106704"/>
    <n v="2.8493847874720402"/>
    <n v="1.72586805896324"/>
    <n v="2.7258680589632398"/>
  </r>
  <r>
    <s v="CMP1987"/>
    <s v="Shop &amp; Share"/>
    <x v="1"/>
    <x v="138"/>
    <d v="2024-02-08T00:00:00"/>
    <n v="40158.400000000001"/>
    <n v="22088"/>
    <n v="9169.6"/>
    <n v="4649.2479999999996"/>
    <n v="16408.64"/>
    <x v="1"/>
    <x v="3"/>
    <x v="1"/>
    <n v="0.55002191322363403"/>
    <n v="0.41513944223107602"/>
    <n v="0.21048750452734499"/>
    <n v="0.507028441807712"/>
    <n v="2.5293105465658101"/>
    <n v="3.5293105465658101"/>
  </r>
  <r>
    <s v="CMP1988"/>
    <s v="Deal of the Day"/>
    <x v="0"/>
    <x v="137"/>
    <d v="2024-06-14T00:00:00"/>
    <n v="63348.800000000003"/>
    <n v="53097.599999999999"/>
    <n v="84.8"/>
    <n v="1255.04"/>
    <n v="3405.0079999999998"/>
    <x v="0"/>
    <x v="2"/>
    <x v="1"/>
    <n v="0.83817846589043499"/>
    <n v="1.59705900078346E-3"/>
    <n v="2.3636473211595201E-2"/>
    <n v="14.8"/>
    <n v="1.71306731259561"/>
    <n v="2.71306731259561"/>
  </r>
  <r>
    <s v="CMP1989"/>
    <s v="Flash Sale Frenzy"/>
    <x v="1"/>
    <x v="27"/>
    <d v="2024-03-22T00:00:00"/>
    <n v="2838.4"/>
    <n v="2585.6"/>
    <n v="1702.4"/>
    <n v="7238.4480000000003"/>
    <n v="20389.024000000001"/>
    <x v="0"/>
    <x v="4"/>
    <x v="1"/>
    <n v="0.91093573844419395"/>
    <n v="0.658415841584158"/>
    <n v="2.7995235148514901"/>
    <n v="4.2519078947368403"/>
    <n v="1.8167673512333"/>
    <n v="2.8167673512332998"/>
  </r>
  <r>
    <s v="CMP1990"/>
    <s v="Shop &amp; Share"/>
    <x v="2"/>
    <x v="282"/>
    <d v="2024-05-16T00:00:00"/>
    <n v="36168"/>
    <n v="11201.6"/>
    <n v="9552"/>
    <n v="6746.1440000000002"/>
    <n v="22514.576000000001"/>
    <x v="4"/>
    <x v="1"/>
    <x v="0"/>
    <n v="0.30971024109710199"/>
    <n v="0.85273532352521098"/>
    <n v="0.60224825024996398"/>
    <n v="0.70625460636515902"/>
    <n v="2.3373992609704102"/>
    <n v="3.3373992609704102"/>
  </r>
  <r>
    <s v="CMP1991"/>
    <s v="Flash Sale Frenzy"/>
    <x v="1"/>
    <x v="167"/>
    <d v="2024-01-15T00:00:00"/>
    <n v="31924.799999999999"/>
    <n v="4699.2"/>
    <n v="3216"/>
    <n v="7574.2879999999996"/>
    <n v="12553.168"/>
    <x v="0"/>
    <x v="2"/>
    <x v="1"/>
    <n v="0.14719591038941501"/>
    <n v="0.68437180796731401"/>
    <n v="1.6118249914879099"/>
    <n v="2.3551890547263699"/>
    <n v="0.65733967337920096"/>
    <n v="1.6573396733792001"/>
  </r>
  <r>
    <s v="CMP1992"/>
    <s v="Flash Sale Frenzy"/>
    <x v="1"/>
    <x v="60"/>
    <d v="2024-08-31T00:00:00"/>
    <n v="49363.199999999997"/>
    <n v="33644.800000000003"/>
    <n v="11419.2"/>
    <n v="3696.9119999999998"/>
    <n v="10366.575999999999"/>
    <x v="3"/>
    <x v="1"/>
    <x v="0"/>
    <n v="0.68157655905613901"/>
    <n v="0.33940460338596201"/>
    <n v="0.109880635343352"/>
    <n v="0.32374527112231999"/>
    <n v="1.80411759868777"/>
    <n v="2.8041175986877702"/>
  </r>
  <r>
    <s v="CMP1993"/>
    <s v="Flash Sale Frenzy"/>
    <x v="0"/>
    <x v="64"/>
    <d v="2024-03-01T00:00:00"/>
    <n v="59276.800000000003"/>
    <n v="27001.599999999999"/>
    <n v="7601.6"/>
    <n v="4526.0159999999996"/>
    <n v="15655.567999999999"/>
    <x v="2"/>
    <x v="1"/>
    <x v="1"/>
    <n v="0.45551716691859201"/>
    <n v="0.28152405783361001"/>
    <n v="0.167620289168049"/>
    <n v="0.59540307303725504"/>
    <n v="2.4590173786394001"/>
    <n v="3.4590173786394001"/>
  </r>
  <r>
    <s v="CMP1994"/>
    <s v="Cart to Couch"/>
    <x v="1"/>
    <x v="129"/>
    <d v="2024-10-29T00:00:00"/>
    <n v="13444.8"/>
    <n v="1259.2"/>
    <n v="388.8"/>
    <n v="5269.1840000000002"/>
    <n v="12203.056"/>
    <x v="0"/>
    <x v="1"/>
    <x v="0"/>
    <n v="9.3657027252171898E-2"/>
    <n v="0.30876747141041899"/>
    <n v="4.1845489199491697"/>
    <n v="13.552427983539101"/>
    <n v="1.3159289939390999"/>
    <n v="2.3159289939390999"/>
  </r>
  <r>
    <s v="CMP1995"/>
    <s v="Deal of the Day"/>
    <x v="1"/>
    <x v="296"/>
    <d v="2024-08-02T00:00:00"/>
    <n v="72044.800000000003"/>
    <n v="53483.199999999997"/>
    <n v="18400"/>
    <n v="5276.16"/>
    <n v="19789.12"/>
    <x v="2"/>
    <x v="2"/>
    <x v="1"/>
    <n v="0.74236030914097895"/>
    <n v="0.34403326652107602"/>
    <n v="9.8650791276512995E-2"/>
    <n v="0.28674782608695698"/>
    <n v="2.7506671518680301"/>
    <n v="3.7506671518680301"/>
  </r>
  <r>
    <s v="CMP1996"/>
    <s v="Shop &amp; Share"/>
    <x v="3"/>
    <x v="241"/>
    <d v="2024-02-03T00:00:00"/>
    <n v="44468.800000000003"/>
    <n v="40398.400000000001"/>
    <n v="12140.8"/>
    <n v="1424.2719999999999"/>
    <n v="5573.2479999999996"/>
    <x v="4"/>
    <x v="0"/>
    <x v="0"/>
    <n v="0.90846616054402196"/>
    <n v="0.30052675353479302"/>
    <n v="3.5255653689254998E-2"/>
    <n v="0.117312862414338"/>
    <n v="2.9130503162317298"/>
    <n v="3.9130503162317298"/>
  </r>
  <r>
    <s v="CMP1997"/>
    <s v="Cart to Couch"/>
    <x v="0"/>
    <x v="253"/>
    <d v="2024-08-16T00:00:00"/>
    <n v="49792"/>
    <n v="18830.400000000001"/>
    <n v="7768"/>
    <n v="5380.72"/>
    <n v="14687.552"/>
    <x v="0"/>
    <x v="3"/>
    <x v="1"/>
    <n v="0.378181233933162"/>
    <n v="0.41252442858356703"/>
    <n v="0.28574645254482101"/>
    <n v="0.69267765190525199"/>
    <n v="1.7296629447360199"/>
    <n v="2.7296629447360199"/>
  </r>
  <r>
    <s v="CMP1998"/>
    <s v="Flash Sale Frenzy"/>
    <x v="1"/>
    <x v="21"/>
    <d v="2024-07-07T00:00:00"/>
    <n v="13043.2"/>
    <n v="11891.2"/>
    <n v="3123.2"/>
    <n v="6669.12"/>
    <n v="9944.6880000000001"/>
    <x v="4"/>
    <x v="2"/>
    <x v="1"/>
    <n v="0.91167811579980396"/>
    <n v="0.26264800861141002"/>
    <n v="0.56084499461786896"/>
    <n v="2.13534836065574"/>
    <n v="0.49115445516050099"/>
    <n v="1.4911544551605"/>
  </r>
  <r>
    <s v="CMP1999"/>
    <s v="Deal of the Day"/>
    <x v="0"/>
    <x v="93"/>
    <d v="2024-04-26T00:00:00"/>
    <n v="61086.400000000001"/>
    <n v="45625.599999999999"/>
    <n v="42048"/>
    <n v="6828.3519999999999"/>
    <n v="18457.968000000001"/>
    <x v="3"/>
    <x v="3"/>
    <x v="1"/>
    <n v="0.74690274758374997"/>
    <n v="0.92158788048814699"/>
    <n v="0.14966054145041399"/>
    <n v="0.162394216133942"/>
    <n v="1.70313656940943"/>
    <n v="2.70313656940943"/>
  </r>
  <r>
    <s v="CMP2000"/>
    <s v="Cart to Couch"/>
    <x v="0"/>
    <x v="242"/>
    <d v="2024-02-18T00:00:00"/>
    <n v="3809.6"/>
    <n v="1168"/>
    <n v="403.2"/>
    <n v="6356.2240000000002"/>
    <n v="19246.351999999999"/>
    <x v="1"/>
    <x v="2"/>
    <x v="0"/>
    <n v="0.306593868122638"/>
    <n v="0.34520547945205499"/>
    <n v="5.4419726027397299"/>
    <n v="15.764444444444401"/>
    <n v="2.02795370333078"/>
    <n v="3.027953703330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153D1E-F954-4C0F-82BC-134BCFE04E37}" name="Average of ROAS"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G82:G83" firstHeaderRow="1" firstDataRow="1" firstDataCol="0"/>
  <pivotFields count="38">
    <pivotField showAll="0"/>
    <pivotField showAll="0"/>
    <pivotField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numFmtId="1" showAll="0"/>
    <pivotField numFmtId="1" showAll="0"/>
    <pivotField numFmtId="1" showAll="0"/>
    <pivotField showAll="0"/>
    <pivotField showAll="0"/>
    <pivotField showAll="0">
      <items count="6">
        <item x="2"/>
        <item x="0"/>
        <item x="1"/>
        <item x="4"/>
        <item x="3"/>
        <item t="default"/>
      </items>
    </pivotField>
    <pivotField showAll="0">
      <items count="6">
        <item x="2"/>
        <item x="0"/>
        <item x="4"/>
        <item x="1"/>
        <item x="3"/>
        <item t="default"/>
      </items>
    </pivotField>
    <pivotField showAll="0">
      <items count="3">
        <item x="1"/>
        <item x="0"/>
        <item t="default"/>
      </items>
    </pivotField>
    <pivotField numFmtId="9" showAll="0"/>
    <pivotField numFmtId="9" showAll="0"/>
    <pivotField numFmtId="8" showAll="0"/>
    <pivotField numFmtId="8" showAll="0"/>
    <pivotField numFmtId="9" showAll="0"/>
    <pivotField dataField="1"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ROAS" fld="18" subtotal="average" baseField="0" baseItem="0" numFmtId="2"/>
  </dataFields>
  <formats count="7">
    <format dxfId="2036">
      <pivotArea type="all" dataOnly="0" outline="0" fieldPosition="0"/>
    </format>
    <format dxfId="2035">
      <pivotArea outline="0" collapsedLevelsAreSubtotals="1" fieldPosition="0"/>
    </format>
    <format dxfId="2034">
      <pivotArea dataOnly="0" labelOnly="1" outline="0" axis="axisValues" fieldPosition="0"/>
    </format>
    <format dxfId="2018">
      <pivotArea type="all" dataOnly="0" outline="0" fieldPosition="0"/>
    </format>
    <format dxfId="2017">
      <pivotArea outline="0" collapsedLevelsAreSubtotals="1" fieldPosition="0"/>
    </format>
    <format dxfId="2016">
      <pivotArea dataOnly="0" labelOnly="1" outline="0" axis="axisValues" fieldPosition="0"/>
    </format>
    <format dxfId="198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DD1322-879C-4322-B0F2-42DCF48F5DB1}" name="Average of CTR"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F82:F83" firstHeaderRow="1" firstDataRow="1" firstDataCol="0"/>
  <pivotFields count="38">
    <pivotField showAll="0"/>
    <pivotField showAll="0"/>
    <pivotField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numFmtId="1" showAll="0"/>
    <pivotField numFmtId="1" showAll="0"/>
    <pivotField numFmtId="1" showAll="0"/>
    <pivotField showAll="0"/>
    <pivotField showAll="0"/>
    <pivotField showAll="0">
      <items count="6">
        <item x="2"/>
        <item x="0"/>
        <item x="1"/>
        <item x="4"/>
        <item x="3"/>
        <item t="default"/>
      </items>
    </pivotField>
    <pivotField showAll="0">
      <items count="6">
        <item x="2"/>
        <item x="0"/>
        <item x="4"/>
        <item x="1"/>
        <item x="3"/>
        <item t="default"/>
      </items>
    </pivotField>
    <pivotField showAll="0">
      <items count="3">
        <item x="1"/>
        <item x="0"/>
        <item t="default"/>
      </items>
    </pivotField>
    <pivotField dataField="1" numFmtId="9" showAll="0"/>
    <pivotField numFmtId="9" showAll="0"/>
    <pivotField numFmtId="8" showAll="0"/>
    <pivotField numFmtId="8"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erage of CTR" fld="13" subtotal="average" baseField="0" baseItem="0" numFmtId="2"/>
  </dataFields>
  <formats count="7">
    <format dxfId="1986">
      <pivotArea type="all" dataOnly="0" outline="0" fieldPosition="0"/>
    </format>
    <format dxfId="1987">
      <pivotArea outline="0" collapsedLevelsAreSubtotals="1" fieldPosition="0"/>
    </format>
    <format dxfId="1988">
      <pivotArea dataOnly="0" labelOnly="1" outline="0" axis="axisValues" fieldPosition="0"/>
    </format>
    <format dxfId="1989">
      <pivotArea type="all" dataOnly="0" outline="0" fieldPosition="0"/>
    </format>
    <format dxfId="1990">
      <pivotArea outline="0" collapsedLevelsAreSubtotals="1" fieldPosition="0"/>
    </format>
    <format dxfId="1991">
      <pivotArea dataOnly="0" labelOnly="1" outline="0" axis="axisValues" fieldPosition="0"/>
    </format>
    <format dxfId="198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55B228-C4A2-4ADB-A761-431F47C97F80}" name="Revenue_Generated "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E82:E83" firstHeaderRow="1" firstDataRow="1" firstDataCol="0"/>
  <pivotFields count="38">
    <pivotField showAll="0"/>
    <pivotField showAll="0"/>
    <pivotField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numFmtId="1" showAll="0"/>
    <pivotField numFmtId="1" showAll="0"/>
    <pivotField numFmtId="1" showAll="0"/>
    <pivotField showAll="0"/>
    <pivotField dataField="1" showAll="0"/>
    <pivotField showAll="0">
      <items count="6">
        <item x="2"/>
        <item x="0"/>
        <item x="1"/>
        <item x="4"/>
        <item x="3"/>
        <item t="default"/>
      </items>
    </pivotField>
    <pivotField showAll="0">
      <items count="6">
        <item x="2"/>
        <item x="0"/>
        <item x="4"/>
        <item x="1"/>
        <item x="3"/>
        <item t="default"/>
      </items>
    </pivotField>
    <pivotField showAll="0">
      <items count="3">
        <item x="1"/>
        <item x="0"/>
        <item t="default"/>
      </items>
    </pivotField>
    <pivotField numFmtId="9" showAll="0"/>
    <pivotField numFmtId="9" showAll="0"/>
    <pivotField numFmtId="8" showAll="0"/>
    <pivotField numFmtId="8"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Revenue_Generated " fld="9" baseField="0" baseItem="0" numFmtId="8"/>
  </dataFields>
  <formats count="9">
    <format dxfId="2033">
      <pivotArea type="all" dataOnly="0" outline="0" fieldPosition="0"/>
    </format>
    <format dxfId="2032">
      <pivotArea outline="0" collapsedLevelsAreSubtotals="1" fieldPosition="0"/>
    </format>
    <format dxfId="2031">
      <pivotArea dataOnly="0" labelOnly="1" outline="0" axis="axisValues" fieldPosition="0"/>
    </format>
    <format dxfId="2015">
      <pivotArea type="all" dataOnly="0" outline="0" fieldPosition="0"/>
    </format>
    <format dxfId="2014">
      <pivotArea outline="0" collapsedLevelsAreSubtotals="1" fieldPosition="0"/>
    </format>
    <format dxfId="2013">
      <pivotArea dataOnly="0" labelOnly="1" outline="0" axis="axisValues" fieldPosition="0"/>
    </format>
    <format dxfId="1994">
      <pivotArea type="all" dataOnly="0" outline="0" fieldPosition="0"/>
    </format>
    <format dxfId="1993">
      <pivotArea outline="0" collapsedLevelsAreSubtotals="1" fieldPosition="0"/>
    </format>
    <format dxfId="19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4C8EBA-EC76-4F2D-9636-2EC5194CB999}" name="Total_Spend "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D82:D83" firstHeaderRow="1" firstDataRow="1" firstDataCol="0"/>
  <pivotFields count="38">
    <pivotField showAll="0"/>
    <pivotField showAll="0"/>
    <pivotField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numFmtId="1" showAll="0"/>
    <pivotField numFmtId="1" showAll="0"/>
    <pivotField numFmtId="1" showAll="0"/>
    <pivotField dataField="1" showAll="0"/>
    <pivotField showAll="0"/>
    <pivotField showAll="0">
      <items count="6">
        <item x="2"/>
        <item x="0"/>
        <item x="1"/>
        <item x="4"/>
        <item x="3"/>
        <item t="default"/>
      </items>
    </pivotField>
    <pivotField showAll="0">
      <items count="6">
        <item x="2"/>
        <item x="0"/>
        <item x="4"/>
        <item x="1"/>
        <item x="3"/>
        <item t="default"/>
      </items>
    </pivotField>
    <pivotField showAll="0">
      <items count="3">
        <item x="1"/>
        <item x="0"/>
        <item t="default"/>
      </items>
    </pivotField>
    <pivotField numFmtId="9" showAll="0"/>
    <pivotField numFmtId="9" showAll="0"/>
    <pivotField numFmtId="8" showAll="0"/>
    <pivotField numFmtId="8"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_Spend " fld="8" baseField="0" baseItem="0" numFmtId="8"/>
  </dataFields>
  <formats count="9">
    <format dxfId="2030">
      <pivotArea type="all" dataOnly="0" outline="0" fieldPosition="0"/>
    </format>
    <format dxfId="2029">
      <pivotArea outline="0" collapsedLevelsAreSubtotals="1" fieldPosition="0"/>
    </format>
    <format dxfId="2028">
      <pivotArea dataOnly="0" labelOnly="1" outline="0" axis="axisValues" fieldPosition="0"/>
    </format>
    <format dxfId="2012">
      <pivotArea type="all" dataOnly="0" outline="0" fieldPosition="0"/>
    </format>
    <format dxfId="2011">
      <pivotArea outline="0" collapsedLevelsAreSubtotals="1" fieldPosition="0"/>
    </format>
    <format dxfId="2010">
      <pivotArea dataOnly="0" labelOnly="1" outline="0" axis="axisValues" fieldPosition="0"/>
    </format>
    <format dxfId="1997">
      <pivotArea type="all" dataOnly="0" outline="0" fieldPosition="0"/>
    </format>
    <format dxfId="1996">
      <pivotArea outline="0" collapsedLevelsAreSubtotals="1" fieldPosition="0"/>
    </format>
    <format dxfId="19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16B22A-9658-460C-A321-12EEFF5EFC1E}" name="Conversions "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C82:C83" firstHeaderRow="1" firstDataRow="1" firstDataCol="0"/>
  <pivotFields count="38">
    <pivotField showAll="0"/>
    <pivotField showAll="0"/>
    <pivotField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numFmtId="1" showAll="0"/>
    <pivotField numFmtId="1" showAll="0"/>
    <pivotField dataField="1" numFmtId="1" showAll="0"/>
    <pivotField showAll="0"/>
    <pivotField showAll="0"/>
    <pivotField showAll="0">
      <items count="6">
        <item x="2"/>
        <item x="0"/>
        <item x="1"/>
        <item x="4"/>
        <item x="3"/>
        <item t="default"/>
      </items>
    </pivotField>
    <pivotField showAll="0">
      <items count="6">
        <item x="2"/>
        <item x="0"/>
        <item x="4"/>
        <item x="1"/>
        <item x="3"/>
        <item t="default"/>
      </items>
    </pivotField>
    <pivotField showAll="0">
      <items count="3">
        <item x="1"/>
        <item x="0"/>
        <item t="default"/>
      </items>
    </pivotField>
    <pivotField numFmtId="9" showAll="0"/>
    <pivotField numFmtId="9" showAll="0"/>
    <pivotField numFmtId="8" showAll="0"/>
    <pivotField numFmtId="8"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nversions " fld="7" baseField="0" baseItem="0" numFmtId="3"/>
  </dataFields>
  <formats count="7">
    <format dxfId="2027">
      <pivotArea type="all" dataOnly="0" outline="0" fieldPosition="0"/>
    </format>
    <format dxfId="2026">
      <pivotArea outline="0" collapsedLevelsAreSubtotals="1" fieldPosition="0"/>
    </format>
    <format dxfId="2025">
      <pivotArea dataOnly="0" labelOnly="1" outline="0" axis="axisValues" fieldPosition="0"/>
    </format>
    <format dxfId="2009">
      <pivotArea type="all" dataOnly="0" outline="0" fieldPosition="0"/>
    </format>
    <format dxfId="2008">
      <pivotArea outline="0" collapsedLevelsAreSubtotals="1" fieldPosition="0"/>
    </format>
    <format dxfId="2007">
      <pivotArea dataOnly="0" labelOnly="1" outline="0" axis="axisValues" fieldPosition="0"/>
    </format>
    <format dxfId="199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49E835-0B51-403A-9A82-D8A0ABAE44FF}" name="Clicks"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
  <location ref="B82:B83" firstHeaderRow="1" firstDataRow="1" firstDataCol="0"/>
  <pivotFields count="38">
    <pivotField showAll="0"/>
    <pivotField showAll="0"/>
    <pivotField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numFmtId="1" showAll="0"/>
    <pivotField dataField="1" numFmtId="1" showAll="0"/>
    <pivotField numFmtId="1" showAll="0"/>
    <pivotField showAll="0"/>
    <pivotField showAll="0"/>
    <pivotField showAll="0">
      <items count="6">
        <item x="2"/>
        <item x="0"/>
        <item x="1"/>
        <item x="4"/>
        <item x="3"/>
        <item t="default"/>
      </items>
    </pivotField>
    <pivotField showAll="0">
      <items count="6">
        <item x="2"/>
        <item x="0"/>
        <item x="4"/>
        <item x="1"/>
        <item x="3"/>
        <item t="default"/>
      </items>
    </pivotField>
    <pivotField showAll="0">
      <items count="3">
        <item x="1"/>
        <item x="0"/>
        <item t="default"/>
      </items>
    </pivotField>
    <pivotField numFmtId="9" showAll="0"/>
    <pivotField numFmtId="9" showAll="0"/>
    <pivotField numFmtId="8" showAll="0"/>
    <pivotField numFmtId="8"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licks " fld="6" baseField="0" baseItem="0" numFmtId="3"/>
  </dataFields>
  <formats count="7">
    <format dxfId="2024">
      <pivotArea type="all" dataOnly="0" outline="0" fieldPosition="0"/>
    </format>
    <format dxfId="2023">
      <pivotArea outline="0" collapsedLevelsAreSubtotals="1" fieldPosition="0"/>
    </format>
    <format dxfId="2022">
      <pivotArea dataOnly="0" labelOnly="1" outline="0" axis="axisValues" fieldPosition="0"/>
    </format>
    <format dxfId="2006">
      <pivotArea type="all" dataOnly="0" outline="0" fieldPosition="0"/>
    </format>
    <format dxfId="2005">
      <pivotArea outline="0" collapsedLevelsAreSubtotals="1" fieldPosition="0"/>
    </format>
    <format dxfId="2004">
      <pivotArea dataOnly="0" labelOnly="1" outline="0" axis="axisValues" fieldPosition="0"/>
    </format>
    <format dxfId="199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AFB760-4CBC-44B8-A507-678CEF90A3AF}" name="Impressions "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82:A83" firstHeaderRow="1" firstDataRow="1" firstDataCol="0"/>
  <pivotFields count="38">
    <pivotField showAll="0"/>
    <pivotField showAll="0"/>
    <pivotField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dataField="1" numFmtId="1" showAll="0"/>
    <pivotField numFmtId="1" showAll="0"/>
    <pivotField numFmtId="1" showAll="0"/>
    <pivotField showAll="0"/>
    <pivotField showAll="0"/>
    <pivotField showAll="0">
      <items count="6">
        <item x="2"/>
        <item x="0"/>
        <item x="1"/>
        <item x="4"/>
        <item x="3"/>
        <item t="default"/>
      </items>
    </pivotField>
    <pivotField showAll="0">
      <items count="6">
        <item x="2"/>
        <item x="0"/>
        <item x="4"/>
        <item x="1"/>
        <item x="3"/>
        <item t="default"/>
      </items>
    </pivotField>
    <pivotField showAll="0">
      <items count="3">
        <item x="1"/>
        <item x="0"/>
        <item t="default"/>
      </items>
    </pivotField>
    <pivotField numFmtId="9" showAll="0"/>
    <pivotField numFmtId="9" showAll="0"/>
    <pivotField numFmtId="8" showAll="0"/>
    <pivotField numFmtId="8"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Impressions " fld="5" baseField="0" baseItem="0" numFmtId="3"/>
  </dataFields>
  <formats count="7">
    <format dxfId="2021">
      <pivotArea type="all" dataOnly="0" outline="0" fieldPosition="0"/>
    </format>
    <format dxfId="2020">
      <pivotArea outline="0" collapsedLevelsAreSubtotals="1" fieldPosition="0"/>
    </format>
    <format dxfId="2019">
      <pivotArea dataOnly="0" labelOnly="1" outline="0" axis="axisValues" fieldPosition="0"/>
    </format>
    <format dxfId="2003">
      <pivotArea type="all" dataOnly="0" outline="0" fieldPosition="0"/>
    </format>
    <format dxfId="2002">
      <pivotArea outline="0" collapsedLevelsAreSubtotals="1" fieldPosition="0"/>
    </format>
    <format dxfId="2001">
      <pivotArea dataOnly="0" labelOnly="1" outline="0" axis="axisValues" fieldPosition="0"/>
    </format>
    <format dxfId="200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F7FA6F-D09F-4F6C-948A-7EC6E4C9C59E}" name="PivotTable2" cacheId="18"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chartFormat="8">
  <location ref="F87:J99" firstHeaderRow="0" firstDataRow="1" firstDataCol="2"/>
  <pivotFields count="3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1"/>
        <item x="3"/>
      </items>
      <extLst>
        <ext xmlns:x14="http://schemas.microsoft.com/office/spreadsheetml/2009/9/main" uri="{2946ED86-A175-432a-8AC1-64E0C546D7DE}">
          <x14:pivotField fillDownLabels="1"/>
        </ext>
      </extLst>
    </pivotField>
    <pivotField compact="0" numFmtId="165" outline="0" showAll="0" defaultSubtotal="0">
      <items count="299">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0"/>
        <item x="1"/>
        <item x="4"/>
        <item x="3"/>
      </items>
      <extLst>
        <ext xmlns:x14="http://schemas.microsoft.com/office/spreadsheetml/2009/9/main" uri="{2946ED86-A175-432a-8AC1-64E0C546D7DE}">
          <x14:pivotField fillDownLabels="1"/>
        </ext>
      </extLst>
    </pivotField>
    <pivotField compact="0" outline="0" showAll="0" defaultSubtotal="0">
      <items count="5">
        <item x="2"/>
        <item x="0"/>
        <item x="4"/>
        <item x="1"/>
        <item x="3"/>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8" outline="0" showAll="0" defaultSubtotal="0">
      <extLst>
        <ext xmlns:x14="http://schemas.microsoft.com/office/spreadsheetml/2009/9/main" uri="{2946ED86-A175-432a-8AC1-64E0C546D7DE}">
          <x14:pivotField fillDownLabels="1"/>
        </ext>
      </extLst>
    </pivotField>
    <pivotField compact="0" numFmtId="8"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axis="axisRow"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axis="axisRow" compact="0" outline="0" showAll="0" defaultSubtotal="0">
      <items count="4">
        <item sd="0" x="0"/>
        <item x="1"/>
        <item x="2"/>
        <item sd="0" x="3"/>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2">
    <field x="34"/>
    <field x="33"/>
  </rowFields>
  <rowItems count="12">
    <i>
      <x v="1"/>
      <x v="5"/>
    </i>
    <i r="1">
      <x v="6"/>
    </i>
    <i r="1">
      <x v="7"/>
    </i>
    <i r="1">
      <x v="8"/>
    </i>
    <i r="1">
      <x v="9"/>
    </i>
    <i r="1">
      <x v="10"/>
    </i>
    <i r="1">
      <x v="11"/>
    </i>
    <i r="1">
      <x v="12"/>
    </i>
    <i>
      <x v="2"/>
      <x v="1"/>
    </i>
    <i r="1">
      <x v="2"/>
    </i>
    <i r="1">
      <x v="3"/>
    </i>
    <i t="grand">
      <x/>
    </i>
  </rowItems>
  <colFields count="1">
    <field x="-2"/>
  </colFields>
  <colItems count="3">
    <i>
      <x/>
    </i>
    <i i="1">
      <x v="1"/>
    </i>
    <i i="2">
      <x v="2"/>
    </i>
  </colItems>
  <dataFields count="3">
    <dataField name="Impressions " fld="5" baseField="33" baseItem="5" numFmtId="3"/>
    <dataField name="Clicks " fld="6" baseField="33" baseItem="5" numFmtId="3"/>
    <dataField name="Conversions " fld="7" baseField="33" baseItem="5" numFmtId="3"/>
  </dataFields>
  <formats count="21">
    <format dxfId="2106">
      <pivotArea type="all" dataOnly="0" outline="0" fieldPosition="0"/>
    </format>
    <format dxfId="2105">
      <pivotArea outline="0" collapsedLevelsAreSubtotals="1" fieldPosition="0"/>
    </format>
    <format dxfId="2104">
      <pivotArea field="34" type="button" dataOnly="0" labelOnly="1" outline="0" axis="axisRow" fieldPosition="0"/>
    </format>
    <format dxfId="2103">
      <pivotArea field="33" type="button" dataOnly="0" labelOnly="1" outline="0" axis="axisRow" fieldPosition="1"/>
    </format>
    <format dxfId="2102">
      <pivotArea dataOnly="0" labelOnly="1" outline="0" fieldPosition="0">
        <references count="1">
          <reference field="34" count="2">
            <x v="1"/>
            <x v="2"/>
          </reference>
        </references>
      </pivotArea>
    </format>
    <format dxfId="2101">
      <pivotArea dataOnly="0" labelOnly="1" grandRow="1" outline="0" fieldPosition="0"/>
    </format>
    <format dxfId="2100">
      <pivotArea dataOnly="0" labelOnly="1" outline="0" fieldPosition="0">
        <references count="2">
          <reference field="33" count="8">
            <x v="5"/>
            <x v="6"/>
            <x v="7"/>
            <x v="8"/>
            <x v="9"/>
            <x v="10"/>
            <x v="11"/>
            <x v="12"/>
          </reference>
          <reference field="34" count="1" selected="0">
            <x v="1"/>
          </reference>
        </references>
      </pivotArea>
    </format>
    <format dxfId="2099">
      <pivotArea dataOnly="0" labelOnly="1" outline="0" fieldPosition="0">
        <references count="2">
          <reference field="33" count="3">
            <x v="1"/>
            <x v="2"/>
            <x v="3"/>
          </reference>
          <reference field="34" count="1" selected="0">
            <x v="2"/>
          </reference>
        </references>
      </pivotArea>
    </format>
    <format dxfId="2098">
      <pivotArea dataOnly="0" labelOnly="1" outline="0" fieldPosition="0">
        <references count="1">
          <reference field="4294967294" count="3">
            <x v="0"/>
            <x v="1"/>
            <x v="2"/>
          </reference>
        </references>
      </pivotArea>
    </format>
    <format dxfId="2097">
      <pivotArea type="all" dataOnly="0" outline="0" fieldPosition="0"/>
    </format>
    <format dxfId="2096">
      <pivotArea outline="0" collapsedLevelsAreSubtotals="1" fieldPosition="0"/>
    </format>
    <format dxfId="2095">
      <pivotArea field="34" type="button" dataOnly="0" labelOnly="1" outline="0" axis="axisRow" fieldPosition="0"/>
    </format>
    <format dxfId="2094">
      <pivotArea field="33" type="button" dataOnly="0" labelOnly="1" outline="0" axis="axisRow" fieldPosition="1"/>
    </format>
    <format dxfId="2093">
      <pivotArea dataOnly="0" labelOnly="1" outline="0" fieldPosition="0">
        <references count="1">
          <reference field="34" count="2">
            <x v="1"/>
            <x v="2"/>
          </reference>
        </references>
      </pivotArea>
    </format>
    <format dxfId="2092">
      <pivotArea dataOnly="0" labelOnly="1" grandRow="1" outline="0" fieldPosition="0"/>
    </format>
    <format dxfId="2091">
      <pivotArea dataOnly="0" labelOnly="1" outline="0" fieldPosition="0">
        <references count="2">
          <reference field="33" count="8">
            <x v="5"/>
            <x v="6"/>
            <x v="7"/>
            <x v="8"/>
            <x v="9"/>
            <x v="10"/>
            <x v="11"/>
            <x v="12"/>
          </reference>
          <reference field="34" count="1" selected="0">
            <x v="1"/>
          </reference>
        </references>
      </pivotArea>
    </format>
    <format dxfId="2090">
      <pivotArea dataOnly="0" labelOnly="1" outline="0" fieldPosition="0">
        <references count="2">
          <reference field="33" count="3">
            <x v="1"/>
            <x v="2"/>
            <x v="3"/>
          </reference>
          <reference field="34" count="1" selected="0">
            <x v="2"/>
          </reference>
        </references>
      </pivotArea>
    </format>
    <format dxfId="2089">
      <pivotArea dataOnly="0" labelOnly="1" outline="0" fieldPosition="0">
        <references count="1">
          <reference field="4294967294" count="3">
            <x v="0"/>
            <x v="1"/>
            <x v="2"/>
          </reference>
        </references>
      </pivotArea>
    </format>
    <format dxfId="2052">
      <pivotArea outline="0" fieldPosition="0">
        <references count="1">
          <reference field="4294967294" count="1">
            <x v="0"/>
          </reference>
        </references>
      </pivotArea>
    </format>
    <format dxfId="2051">
      <pivotArea outline="0" fieldPosition="0">
        <references count="1">
          <reference field="4294967294" count="1">
            <x v="1"/>
          </reference>
        </references>
      </pivotArea>
    </format>
    <format dxfId="2050">
      <pivotArea outline="0" fieldPosition="0">
        <references count="1">
          <reference field="4294967294" count="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A480FA-53DC-4A36-8BEB-7E126B7A0E48}" name="Channel Performance Breakdown"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 rowHeaderCaption="Marketing_Channel">
  <location ref="A95:D100" firstHeaderRow="0" firstDataRow="1" firstDataCol="1"/>
  <pivotFields count="38">
    <pivotField showAll="0"/>
    <pivotField showAll="0"/>
    <pivotField axis="axisRow"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dataField="1" numFmtId="1" showAll="0"/>
    <pivotField numFmtId="1" showAll="0"/>
    <pivotField dataField="1" numFmtId="1" showAll="0"/>
    <pivotField dataField="1" showAll="0"/>
    <pivotField showAll="0"/>
    <pivotField showAll="0">
      <items count="6">
        <item x="2"/>
        <item x="0"/>
        <item x="1"/>
        <item x="4"/>
        <item x="3"/>
        <item t="default"/>
      </items>
    </pivotField>
    <pivotField showAll="0">
      <items count="6">
        <item x="2"/>
        <item x="0"/>
        <item x="4"/>
        <item x="1"/>
        <item x="3"/>
        <item t="default"/>
      </items>
    </pivotField>
    <pivotField showAll="0">
      <items count="3">
        <item x="1"/>
        <item x="0"/>
        <item t="default"/>
      </items>
    </pivotField>
    <pivotField numFmtId="9" showAll="0"/>
    <pivotField numFmtId="9" showAll="0"/>
    <pivotField numFmtId="8" showAll="0"/>
    <pivotField numFmtId="8"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2"/>
  </colFields>
  <colItems count="3">
    <i>
      <x/>
    </i>
    <i i="1">
      <x v="1"/>
    </i>
    <i i="2">
      <x v="2"/>
    </i>
  </colItems>
  <dataFields count="3">
    <dataField name="Impressions " fld="5" baseField="2" baseItem="0" numFmtId="3"/>
    <dataField name="Conversions " fld="7" baseField="2" baseItem="0" numFmtId="3"/>
    <dataField name="Total_Spend  " fld="8" baseField="2" baseItem="0"/>
  </dataFields>
  <formats count="14">
    <format dxfId="2108">
      <pivotArea collapsedLevelsAreSubtotals="1" fieldPosition="0">
        <references count="2">
          <reference field="4294967294" count="1" selected="0">
            <x v="2"/>
          </reference>
          <reference field="2" count="1">
            <x v="0"/>
          </reference>
        </references>
      </pivotArea>
    </format>
    <format dxfId="2107">
      <pivotArea dataOnly="0" outline="0" fieldPosition="0">
        <references count="1">
          <reference field="4294967294" count="1">
            <x v="2"/>
          </reference>
        </references>
      </pivotArea>
    </format>
    <format dxfId="2088">
      <pivotArea type="all" dataOnly="0" outline="0" fieldPosition="0"/>
    </format>
    <format dxfId="2087">
      <pivotArea outline="0" collapsedLevelsAreSubtotals="1" fieldPosition="0"/>
    </format>
    <format dxfId="2086">
      <pivotArea field="2" type="button" dataOnly="0" labelOnly="1" outline="0" axis="axisRow" fieldPosition="0"/>
    </format>
    <format dxfId="2085">
      <pivotArea dataOnly="0" labelOnly="1" fieldPosition="0">
        <references count="1">
          <reference field="2" count="0"/>
        </references>
      </pivotArea>
    </format>
    <format dxfId="2084">
      <pivotArea dataOnly="0" labelOnly="1" grandRow="1" outline="0" fieldPosition="0"/>
    </format>
    <format dxfId="2083">
      <pivotArea dataOnly="0" labelOnly="1" outline="0" fieldPosition="0">
        <references count="1">
          <reference field="4294967294" count="3">
            <x v="0"/>
            <x v="1"/>
            <x v="2"/>
          </reference>
        </references>
      </pivotArea>
    </format>
    <format dxfId="2082">
      <pivotArea type="all" dataOnly="0" outline="0" fieldPosition="0"/>
    </format>
    <format dxfId="2081">
      <pivotArea outline="0" collapsedLevelsAreSubtotals="1" fieldPosition="0"/>
    </format>
    <format dxfId="2080">
      <pivotArea field="2" type="button" dataOnly="0" labelOnly="1" outline="0" axis="axisRow" fieldPosition="0"/>
    </format>
    <format dxfId="2079">
      <pivotArea dataOnly="0" labelOnly="1" fieldPosition="0">
        <references count="1">
          <reference field="2" count="0"/>
        </references>
      </pivotArea>
    </format>
    <format dxfId="2078">
      <pivotArea dataOnly="0" labelOnly="1" grandRow="1" outline="0" fieldPosition="0"/>
    </format>
    <format dxfId="2077">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Age_group analysis" cacheId="18" applyNumberFormats="0" applyBorderFormats="0" applyFontFormats="0" applyPatternFormats="0" applyAlignmentFormats="0" applyWidthHeightFormats="1" dataCaption="Values" updatedVersion="8" minRefreshableVersion="3" useAutoFormatting="1" createdVersion="5" indent="0" compact="0" compactData="0" multipleFieldFilters="0">
  <location ref="A34:F40" firstHeaderRow="0" firstDataRow="1" firstDataCol="1"/>
  <pivotFields count="3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1"/>
        <item x="3"/>
      </items>
      <extLst>
        <ext xmlns:x14="http://schemas.microsoft.com/office/spreadsheetml/2009/9/main" uri="{2946ED86-A175-432a-8AC1-64E0C546D7DE}">
          <x14:pivotField fillDownLabels="1"/>
        </ext>
      </extLst>
    </pivotField>
    <pivotField compact="0" numFmtId="165" outline="0" showAll="0" defaultSubtotal="0">
      <items count="299">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0"/>
        <item x="1"/>
        <item x="4"/>
        <item x="3"/>
      </items>
      <extLst>
        <ext xmlns:x14="http://schemas.microsoft.com/office/spreadsheetml/2009/9/main" uri="{2946ED86-A175-432a-8AC1-64E0C546D7DE}">
          <x14:pivotField fillDownLabels="1"/>
        </ext>
      </extLst>
    </pivotField>
    <pivotField axis="axisRow" compact="0" outline="0" showAll="0" defaultSubtotal="0">
      <items count="5">
        <item x="2"/>
        <item x="0"/>
        <item x="4"/>
        <item x="1"/>
        <item x="3"/>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 outline="0" dragToRow="0" dragToCol="0" dragToPage="0" showAll="0" defaultSubtotal="0">
      <extLst>
        <ext xmlns:x14="http://schemas.microsoft.com/office/spreadsheetml/2009/9/main" uri="{2946ED86-A175-432a-8AC1-64E0C546D7DE}">
          <x14:pivotField fillDownLabels="1"/>
        </ext>
      </extLst>
    </pivotField>
    <pivotField compact="0" numFmtId="1" outline="0" dragToRow="0" dragToCol="0" dragToPage="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pivotField compact="0" outline="0" subtotalTop="0" dragToRow="0" dragToCol="0" dragToPage="0" showAll="0" defaultSubtotal="0"/>
    <pivotField compact="0" numFmtId="1" outline="0" subtotalTop="0" dragToRow="0" dragToCol="0" dragToPage="0" showAll="0" defaultSubtotal="0"/>
    <pivotField dataField="1" compact="0" numFmtId="1" outline="0" subtotalTop="0" dragToRow="0" dragToCol="0" dragToPage="0" showAll="0" defaultSubtotal="0"/>
    <pivotField compact="0" numFmtId="1" outline="0" subtotalTop="0" dragToRow="0" dragToCol="0" dragToPage="0" showAll="0" defaultSubtotal="0"/>
    <pivotField compact="0" outline="0" subtotalTop="0" dragToRow="0" dragToCol="0" dragToPage="0" showAll="0" defaultSubtotal="0"/>
    <pivotField compact="0" numFmtId="1" outline="0" subtotalTop="0" dragToRow="0" dragToCol="0" dragToPage="0" showAll="0" defaultSubtotal="0"/>
    <pivotField compact="0" outline="0" dragToRow="0" dragToCol="0" dragToPage="0" showAll="0"/>
    <pivotField compact="0" numFmtId="1" outline="0" subtotalTop="0" dragToRow="0" dragToCol="0" dragToPage="0" showAll="0" defaultSubtotal="0"/>
    <pivotField compact="0" outline="0" subtotalTop="0" dragToRow="0" dragToCol="0" dragToPage="0" showAll="0" defaultSubtota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1"/>
  </rowFields>
  <rowItems count="6">
    <i>
      <x/>
    </i>
    <i>
      <x v="1"/>
    </i>
    <i>
      <x v="2"/>
    </i>
    <i>
      <x v="3"/>
    </i>
    <i>
      <x v="4"/>
    </i>
    <i t="grand">
      <x/>
    </i>
  </rowItems>
  <colFields count="1">
    <field x="-2"/>
  </colFields>
  <colItems count="5">
    <i>
      <x/>
    </i>
    <i i="1">
      <x v="1"/>
    </i>
    <i i="2">
      <x v="2"/>
    </i>
    <i i="3">
      <x v="3"/>
    </i>
    <i i="4">
      <x v="4"/>
    </i>
  </colItems>
  <dataFields count="5">
    <dataField name="Conversions " fld="7" baseField="0" baseItem="0" numFmtId="4"/>
    <dataField name="Total_Spend " fld="8" baseField="0" baseItem="0" numFmtId="4"/>
    <dataField name="Revenue_Generated " fld="9" baseField="0" baseItem="0" numFmtId="4"/>
    <dataField name="CVR " fld="24" baseField="0" baseItem="0" numFmtId="2"/>
    <dataField name="ROAS " fld="21" baseField="0" baseItem="0"/>
  </dataFields>
  <formats count="20">
    <format dxfId="2128">
      <pivotArea type="all" dataOnly="0" outline="0" fieldPosition="0"/>
    </format>
    <format dxfId="2127">
      <pivotArea type="all" dataOnly="0" outline="0" fieldPosition="0"/>
    </format>
    <format dxfId="2126">
      <pivotArea collapsedLevelsAreSubtotals="1" fieldPosition="0">
        <references count="1">
          <reference field="4294967294" count="1" selected="0">
            <x v="0"/>
          </reference>
        </references>
      </pivotArea>
    </format>
    <format dxfId="2125">
      <pivotArea collapsedLevelsAreSubtotals="1" fieldPosition="0">
        <references count="1">
          <reference field="4294967294" count="1" selected="0">
            <x v="1"/>
          </reference>
        </references>
      </pivotArea>
    </format>
    <format dxfId="2124">
      <pivotArea collapsedLevelsAreSubtotals="1" fieldPosition="0">
        <references count="1">
          <reference field="4294967294" count="1" selected="0">
            <x v="2"/>
          </reference>
        </references>
      </pivotArea>
    </format>
    <format dxfId="2123">
      <pivotArea dataOnly="0" labelOnly="1" fieldPosition="0">
        <references count="1">
          <reference field="4294967294" count="1">
            <x v="1"/>
          </reference>
        </references>
      </pivotArea>
    </format>
    <format dxfId="2122">
      <pivotArea collapsedLevelsAreSubtotals="1" fieldPosition="0">
        <references count="1">
          <reference field="4294967294" count="1" selected="0">
            <x v="1"/>
          </reference>
        </references>
      </pivotArea>
    </format>
    <format dxfId="2121">
      <pivotArea dataOnly="0" labelOnly="1" fieldPosition="0">
        <references count="1">
          <reference field="4294967294" count="1">
            <x v="2"/>
          </reference>
        </references>
      </pivotArea>
    </format>
    <format dxfId="2120">
      <pivotArea dataOnly="0" labelOnly="1" fieldPosition="0">
        <references count="1">
          <reference field="4294967294" count="1">
            <x v="2"/>
          </reference>
        </references>
      </pivotArea>
    </format>
    <format dxfId="2119">
      <pivotArea collapsedLevelsAreSubtotals="1" fieldPosition="0">
        <references count="1">
          <reference field="4294967294" count="1" selected="0">
            <x v="2"/>
          </reference>
        </references>
      </pivotArea>
    </format>
    <format dxfId="2118">
      <pivotArea collapsedLevelsAreSubtotals="1" fieldPosition="0">
        <references count="1">
          <reference field="4294967294" count="1" selected="0">
            <x v="3"/>
          </reference>
        </references>
      </pivotArea>
    </format>
    <format dxfId="2117">
      <pivotArea dataOnly="0" labelOnly="1" fieldPosition="0">
        <references count="1">
          <reference field="4294967294" count="1">
            <x v="2"/>
          </reference>
        </references>
      </pivotArea>
    </format>
    <format dxfId="2116">
      <pivotArea collapsedLevelsAreSubtotals="1" fieldPosition="0">
        <references count="1">
          <reference field="4294967294" count="1" selected="0">
            <x v="2"/>
          </reference>
        </references>
      </pivotArea>
    </format>
    <format dxfId="2115">
      <pivotArea dataOnly="0" labelOnly="1" fieldPosition="0">
        <references count="1">
          <reference field="4294967294" count="1">
            <x v="2"/>
          </reference>
        </references>
      </pivotArea>
    </format>
    <format dxfId="2114">
      <pivotArea dataOnly="0" labelOnly="1" fieldPosition="0">
        <references count="1">
          <reference field="4294967294" count="1">
            <x v="3"/>
          </reference>
        </references>
      </pivotArea>
    </format>
    <format dxfId="2113">
      <pivotArea collapsedLevelsAreSubtotals="1" fieldPosition="0">
        <references count="1">
          <reference field="4294967294" count="1" selected="0">
            <x v="3"/>
          </reference>
        </references>
      </pivotArea>
    </format>
    <format dxfId="2112">
      <pivotArea dataOnly="0" labelOnly="1" fieldPosition="0">
        <references count="1">
          <reference field="4294967294" count="1">
            <x v="3"/>
          </reference>
        </references>
      </pivotArea>
    </format>
    <format dxfId="2111">
      <pivotArea collapsedLevelsAreSubtotals="1" fieldPosition="0">
        <references count="1">
          <reference field="4294967294" count="1" selected="0">
            <x v="3"/>
          </reference>
        </references>
      </pivotArea>
    </format>
    <format dxfId="2110">
      <pivotArea dataOnly="0" labelOnly="1" fieldPosition="0">
        <references count="1">
          <reference field="4294967294" count="1">
            <x v="4"/>
          </reference>
        </references>
      </pivotArea>
    </format>
    <format dxfId="2109">
      <pivotArea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campaign performance across channels" cacheId="18" applyNumberFormats="0" applyBorderFormats="0" applyFontFormats="0" applyPatternFormats="0" applyAlignmentFormats="0" applyWidthHeightFormats="1" dataCaption="Values" updatedVersion="8" minRefreshableVersion="3" useAutoFormatting="1" rowGrandTotals="0" colGrandTotals="0" createdVersion="5" indent="0" compact="0" compactData="0" multipleFieldFilters="0" chartFormat="19">
  <location ref="A5:J9" firstHeaderRow="0" firstDataRow="1" firstDataCol="1"/>
  <pivotFields count="38">
    <pivotField compact="0" outline="0" showAll="0" defaultSubtotal="0"/>
    <pivotField compact="0" outline="0" showAll="0" defaultSubtotal="0"/>
    <pivotField axis="axisRow" compact="0" outline="0" showAll="0" defaultSubtotal="0">
      <items count="4">
        <item x="2"/>
        <item x="0"/>
        <item x="1"/>
        <item x="3"/>
      </items>
    </pivotField>
    <pivotField compact="0" numFmtId="165" outline="0" showAll="0" defaultSubtotal="0">
      <items count="299">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s>
    </pivotField>
    <pivotField compact="0" numFmtId="165" outline="0" showAll="0" defaultSubtotal="0"/>
    <pivotField dataField="1" compact="0" numFmtId="1" outline="0" showAll="0" defaultSubtotal="0"/>
    <pivotField dataField="1" compact="0" numFmtId="1" outline="0" showAll="0" defaultSubtotal="0"/>
    <pivotField dataField="1" compact="0" numFmtId="1" outline="0" showAll="0" defaultSubtotal="0"/>
    <pivotField dataField="1" compact="0" outline="0" showAll="0" defaultSubtotal="0"/>
    <pivotField dataField="1" compact="0" outline="0" showAll="0" defaultSubtotal="0"/>
    <pivotField compact="0" outline="0" showAll="0" defaultSubtotal="0">
      <items count="5">
        <item x="2"/>
        <item x="0"/>
        <item x="1"/>
        <item x="4"/>
        <item x="3"/>
      </items>
    </pivotField>
    <pivotField compact="0" outline="0" showAll="0" defaultSubtotal="0">
      <items count="5">
        <item x="2"/>
        <item x="0"/>
        <item x="4"/>
        <item x="1"/>
        <item x="3"/>
      </items>
    </pivotField>
    <pivotField compact="0" outline="0" showAll="0" defaultSubtotal="0">
      <items count="2">
        <item x="1"/>
        <item x="0"/>
      </items>
    </pivotField>
    <pivotField compact="0" numFmtId="9" outline="0" showAll="0" defaultSubtotal="0"/>
    <pivotField compact="0" numFmtId="9" outline="0" showAll="0" defaultSubtotal="0"/>
    <pivotField compact="0" numFmtId="166" outline="0" showAll="0" defaultSubtotal="0"/>
    <pivotField compact="0" numFmtId="166" outline="0" showAll="0" defaultSubtotal="0"/>
    <pivotField compact="0" numFmtId="9" outline="0" showAll="0" defaultSubtotal="0"/>
    <pivotField compact="0" numFmtId="9" outline="0" showAll="0" defaultSubtotal="0"/>
    <pivotField dataField="1" compact="0" numFmtId="1" outline="0" dragToRow="0" dragToCol="0" dragToPage="0" showAll="0" defaultSubtotal="0"/>
    <pivotField dataField="1"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numFmtId="1" outline="0" dragToRow="0" dragToCol="0" dragToPage="0" showAll="0" defaultSubtotal="0"/>
    <pivotField compact="0" numFmtId="1" outline="0" subtotalTop="0" dragToRow="0" dragToCol="0" dragToPage="0" showAll="0" defaultSubtotal="0"/>
    <pivotField compact="0" numFmtId="1" outline="0" subtotalTop="0" dragToRow="0" dragToCol="0" dragToPage="0" showAll="0" defaultSubtotal="0"/>
    <pivotField compact="0" outline="0" subtotalTop="0" dragToRow="0" dragToCol="0" dragToPage="0" showAll="0" defaultSubtotal="0"/>
    <pivotField compact="0" numFmtId="1" outline="0" subtotalTop="0" dragToRow="0" dragToCol="0" dragToPage="0" showAll="0" defaultSubtotal="0"/>
    <pivotField compact="0" outline="0" dragToRow="0" dragToCol="0" dragToPage="0" showAll="0"/>
    <pivotField compact="0" numFmtId="1" outline="0" subtotalTop="0" dragToRow="0" dragToCol="0" dragToPage="0" showAll="0" defaultSubtotal="0"/>
    <pivotField compact="0" outline="0" subtotalTop="0" dragToRow="0" dragToCol="0" dragToPage="0" showAll="0" defaultSubtota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2"/>
  </rowFields>
  <rowItems count="4">
    <i>
      <x/>
    </i>
    <i>
      <x v="1"/>
    </i>
    <i>
      <x v="2"/>
    </i>
    <i>
      <x v="3"/>
    </i>
  </rowItems>
  <colFields count="1">
    <field x="-2"/>
  </colFields>
  <colItems count="9">
    <i>
      <x/>
    </i>
    <i i="1">
      <x v="1"/>
    </i>
    <i i="2">
      <x v="2"/>
    </i>
    <i i="3">
      <x v="3"/>
    </i>
    <i i="4">
      <x v="4"/>
    </i>
    <i i="5">
      <x v="5"/>
    </i>
    <i i="6">
      <x v="6"/>
    </i>
    <i i="7">
      <x v="7"/>
    </i>
    <i i="8">
      <x v="8"/>
    </i>
  </colItems>
  <dataFields count="9">
    <dataField name="Total_Spend " fld="8" baseField="0" baseItem="0"/>
    <dataField name="Revenue_Generated " fld="9" baseField="0" baseItem="0"/>
    <dataField name="Conversions " fld="7" baseField="0" baseItem="0" numFmtId="3"/>
    <dataField name="Clicks " fld="6" baseField="0" baseItem="0" numFmtId="3"/>
    <dataField name="Impressions " fld="5" baseField="0" baseItem="0" numFmtId="3"/>
    <dataField name="CTR  " fld="19" baseField="0" baseItem="0" numFmtId="164"/>
    <dataField name="CPC  " fld="20" baseField="0" baseItem="0"/>
    <dataField name="Channel ROAS " fld="22" baseField="0" baseItem="0"/>
    <dataField name="Channel CVR " fld="23" baseField="0" baseItem="0" numFmtId="164"/>
  </dataFields>
  <formats count="30">
    <format dxfId="2158">
      <pivotArea type="all" dataOnly="0" outline="0" fieldPosition="0"/>
    </format>
    <format dxfId="2157">
      <pivotArea type="all" dataOnly="0" outline="0" fieldPosition="0"/>
    </format>
    <format dxfId="2156">
      <pivotArea collapsedLevelsAreSubtotals="1" fieldPosition="0">
        <references count="1">
          <reference field="4294967294" count="1" selected="0">
            <x v="2"/>
          </reference>
        </references>
      </pivotArea>
    </format>
    <format dxfId="2155">
      <pivotArea dataOnly="0" labelOnly="1" fieldPosition="0">
        <references count="1">
          <reference field="4294967294" count="1">
            <x v="0"/>
          </reference>
        </references>
      </pivotArea>
    </format>
    <format dxfId="2154">
      <pivotArea collapsedLevelsAreSubtotals="1" fieldPosition="0">
        <references count="1">
          <reference field="4294967294" count="1" selected="0">
            <x v="0"/>
          </reference>
        </references>
      </pivotArea>
    </format>
    <format dxfId="2153">
      <pivotArea dataOnly="0" labelOnly="1" fieldPosition="0">
        <references count="1">
          <reference field="4294967294" count="1">
            <x v="1"/>
          </reference>
        </references>
      </pivotArea>
    </format>
    <format dxfId="2152">
      <pivotArea collapsedLevelsAreSubtotals="1" fieldPosition="0">
        <references count="1">
          <reference field="4294967294" count="1" selected="0">
            <x v="1"/>
          </reference>
        </references>
      </pivotArea>
    </format>
    <format dxfId="2151">
      <pivotArea collapsedLevelsAreSubtotals="1" fieldPosition="0">
        <references count="1">
          <reference field="4294967294" count="1" selected="0">
            <x v="3"/>
          </reference>
        </references>
      </pivotArea>
    </format>
    <format dxfId="2150">
      <pivotArea collapsedLevelsAreSubtotals="1" fieldPosition="0">
        <references count="1">
          <reference field="4294967294" count="1" selected="0">
            <x v="5"/>
          </reference>
        </references>
      </pivotArea>
    </format>
    <format dxfId="2149">
      <pivotArea collapsedLevelsAreSubtotals="1" fieldPosition="0">
        <references count="2">
          <reference field="4294967294" count="1" selected="0">
            <x v="5"/>
          </reference>
          <reference field="2" count="1" selected="0">
            <x v="3"/>
          </reference>
        </references>
      </pivotArea>
    </format>
    <format dxfId="2148">
      <pivotArea dataOnly="0" labelOnly="1" fieldPosition="0">
        <references count="1">
          <reference field="4294967294" count="1">
            <x v="5"/>
          </reference>
        </references>
      </pivotArea>
    </format>
    <format dxfId="2147">
      <pivotArea collapsedLevelsAreSubtotals="1" fieldPosition="0">
        <references count="1">
          <reference field="4294967294" count="1" selected="0">
            <x v="5"/>
          </reference>
        </references>
      </pivotArea>
    </format>
    <format dxfId="2146">
      <pivotArea dataOnly="0" labelOnly="1" fieldPosition="0">
        <references count="1">
          <reference field="4294967294" count="1">
            <x v="6"/>
          </reference>
        </references>
      </pivotArea>
    </format>
    <format dxfId="2145">
      <pivotArea collapsedLevelsAreSubtotals="1" fieldPosition="0">
        <references count="1">
          <reference field="4294967294" count="1" selected="0">
            <x v="6"/>
          </reference>
        </references>
      </pivotArea>
    </format>
    <format dxfId="2144">
      <pivotArea dataOnly="0" labelOnly="1" fieldPosition="0">
        <references count="1">
          <reference field="4294967294" count="1">
            <x v="0"/>
          </reference>
        </references>
      </pivotArea>
    </format>
    <format dxfId="2143">
      <pivotArea collapsedLevelsAreSubtotals="1" fieldPosition="0">
        <references count="1">
          <reference field="4294967294" count="1" selected="0">
            <x v="0"/>
          </reference>
        </references>
      </pivotArea>
    </format>
    <format dxfId="2142">
      <pivotArea dataOnly="0" labelOnly="1" fieldPosition="0">
        <references count="1">
          <reference field="4294967294" count="1">
            <x v="1"/>
          </reference>
        </references>
      </pivotArea>
    </format>
    <format dxfId="2141">
      <pivotArea collapsedLevelsAreSubtotals="1" fieldPosition="0">
        <references count="1">
          <reference field="4294967294" count="1" selected="0">
            <x v="1"/>
          </reference>
        </references>
      </pivotArea>
    </format>
    <format dxfId="2140">
      <pivotArea collapsedLevelsAreSubtotals="1" fieldPosition="0">
        <references count="1">
          <reference field="4294967294" count="1" selected="0">
            <x v="8"/>
          </reference>
        </references>
      </pivotArea>
    </format>
    <format dxfId="2139">
      <pivotArea dataOnly="0" labelOnly="1" fieldPosition="0">
        <references count="1">
          <reference field="4294967294" count="1">
            <x v="8"/>
          </reference>
        </references>
      </pivotArea>
    </format>
    <format dxfId="2138">
      <pivotArea collapsedLevelsAreSubtotals="1" fieldPosition="0">
        <references count="1">
          <reference field="4294967294" count="1" selected="0">
            <x v="8"/>
          </reference>
        </references>
      </pivotArea>
    </format>
    <format dxfId="2137">
      <pivotArea collapsedLevelsAreSubtotals="1" fieldPosition="0">
        <references count="1">
          <reference field="4294967294" count="1" selected="0">
            <x v="4"/>
          </reference>
        </references>
      </pivotArea>
    </format>
    <format dxfId="2136">
      <pivotArea collapsedLevelsAreSubtotals="1" fieldPosition="0">
        <references count="1">
          <reference field="4294967294" count="1" selected="0">
            <x v="8"/>
          </reference>
        </references>
      </pivotArea>
    </format>
    <format dxfId="2135">
      <pivotArea collapsedLevelsAreSubtotals="1" fieldPosition="0">
        <references count="1">
          <reference field="4294967294" count="1" selected="0">
            <x v="5"/>
          </reference>
        </references>
      </pivotArea>
    </format>
    <format dxfId="2134">
      <pivotArea collapsedLevelsAreSubtotals="1" fieldPosition="0">
        <references count="1">
          <reference field="4294967294" count="1" selected="0">
            <x v="5"/>
          </reference>
        </references>
      </pivotArea>
    </format>
    <format dxfId="2133">
      <pivotArea collapsedLevelsAreSubtotals="1" fieldPosition="0">
        <references count="1">
          <reference field="4294967294" count="1" selected="0">
            <x v="8"/>
          </reference>
        </references>
      </pivotArea>
    </format>
    <format dxfId="2132">
      <pivotArea outline="0" fieldPosition="0">
        <references count="1">
          <reference field="4294967294" count="1">
            <x v="3"/>
          </reference>
        </references>
      </pivotArea>
    </format>
    <format dxfId="2131">
      <pivotArea outline="0" fieldPosition="0">
        <references count="1">
          <reference field="4294967294" count="1">
            <x v="2"/>
          </reference>
        </references>
      </pivotArea>
    </format>
    <format dxfId="2130">
      <pivotArea outline="0" fieldPosition="0">
        <references count="1">
          <reference field="4294967294" count="1">
            <x v="4"/>
          </reference>
        </references>
      </pivotArea>
    </format>
    <format dxfId="2129">
      <pivotArea dataOnly="0" outline="0" fieldPosition="0">
        <references count="1">
          <reference field="4294967294" count="1">
            <x v="7"/>
          </reference>
        </references>
      </pivotArea>
    </format>
  </formats>
  <conditionalFormats count="3">
    <conditionalFormat type="all" priority="3">
      <pivotAreas count="1">
        <pivotArea outline="0" fieldPosition="0">
          <references count="1">
            <reference field="4294967294" count="1">
              <x v="0"/>
            </reference>
          </references>
        </pivotArea>
      </pivotAreas>
    </conditionalFormat>
    <conditionalFormat type="all" priority="2">
      <pivotAreas count="1">
        <pivotArea outline="0" fieldPosition="0">
          <references count="1">
            <reference field="4294967294" count="1">
              <x v="7"/>
            </reference>
          </references>
        </pivotArea>
      </pivotAreas>
    </conditionalFormat>
    <conditionalFormat type="all" priority="1">
      <pivotAreas count="1">
        <pivotArea outline="0" fieldPosition="0">
          <references count="1">
            <reference field="4294967294" count="1">
              <x v="7"/>
            </reference>
          </references>
        </pivotArea>
      </pivotAreas>
    </conditionalFormat>
  </conditional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8"/>
          </reference>
        </references>
      </pivotArea>
    </chartFormat>
    <chartFormat chart="0" format="8" series="1">
      <pivotArea type="data" outline="0" fieldPosition="0">
        <references count="1">
          <reference field="4294967294" count="1" selected="0">
            <x v="7"/>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3"/>
          </reference>
        </references>
      </pivotArea>
    </chartFormat>
    <chartFormat chart="4" format="13" series="1">
      <pivotArea type="data" outline="0" fieldPosition="0">
        <references count="1">
          <reference field="4294967294" count="1" selected="0">
            <x v="4"/>
          </reference>
        </references>
      </pivotArea>
    </chartFormat>
    <chartFormat chart="4" format="14" series="1">
      <pivotArea type="data" outline="0" fieldPosition="0">
        <references count="1">
          <reference field="4294967294" count="1" selected="0">
            <x v="5"/>
          </reference>
        </references>
      </pivotArea>
    </chartFormat>
    <chartFormat chart="4" format="15" series="1">
      <pivotArea type="data" outline="0" fieldPosition="0">
        <references count="1">
          <reference field="4294967294" count="1" selected="0">
            <x v="6"/>
          </reference>
        </references>
      </pivotArea>
    </chartFormat>
    <chartFormat chart="4" format="16" series="1">
      <pivotArea type="data" outline="0" fieldPosition="0">
        <references count="1">
          <reference field="4294967294" count="1" selected="0">
            <x v="8"/>
          </reference>
        </references>
      </pivotArea>
    </chartFormat>
    <chartFormat chart="4" format="17"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5ED5E2-91DE-47AA-967D-423A8A9B4BC6}" name="conversions and revenue by age"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 rowHeaderCaption="Age_Group">
  <location ref="A103:C109" firstHeaderRow="0" firstDataRow="1" firstDataCol="1"/>
  <pivotFields count="38">
    <pivotField showAll="0"/>
    <pivotField showAll="0"/>
    <pivotField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numFmtId="1" showAll="0"/>
    <pivotField numFmtId="1" showAll="0"/>
    <pivotField dataField="1" numFmtId="1" showAll="0"/>
    <pivotField showAll="0"/>
    <pivotField dataField="1" showAll="0"/>
    <pivotField showAll="0">
      <items count="6">
        <item x="2"/>
        <item x="0"/>
        <item x="1"/>
        <item x="4"/>
        <item x="3"/>
        <item t="default"/>
      </items>
    </pivotField>
    <pivotField axis="axisRow" showAll="0">
      <items count="6">
        <item x="2"/>
        <item x="0"/>
        <item x="4"/>
        <item x="1"/>
        <item x="3"/>
        <item t="default"/>
      </items>
    </pivotField>
    <pivotField showAll="0">
      <items count="3">
        <item x="1"/>
        <item x="0"/>
        <item t="default"/>
      </items>
    </pivotField>
    <pivotField numFmtId="9" showAll="0"/>
    <pivotField numFmtId="9" showAll="0"/>
    <pivotField numFmtId="8" showAll="0"/>
    <pivotField numFmtId="8"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6">
    <i>
      <x/>
    </i>
    <i>
      <x v="1"/>
    </i>
    <i>
      <x v="2"/>
    </i>
    <i>
      <x v="3"/>
    </i>
    <i>
      <x v="4"/>
    </i>
    <i t="grand">
      <x/>
    </i>
  </rowItems>
  <colFields count="1">
    <field x="-2"/>
  </colFields>
  <colItems count="2">
    <i>
      <x/>
    </i>
    <i i="1">
      <x v="1"/>
    </i>
  </colItems>
  <dataFields count="2">
    <dataField name="Conversions  " fld="7" baseField="11" baseItem="0" numFmtId="3"/>
    <dataField name="Revenue_Generated  " fld="9" baseField="11" baseItem="0"/>
  </dataFields>
  <formats count="14">
    <format dxfId="2160">
      <pivotArea dataOnly="0" outline="0" fieldPosition="0">
        <references count="1">
          <reference field="4294967294" count="1">
            <x v="1"/>
          </reference>
        </references>
      </pivotArea>
    </format>
    <format dxfId="2159">
      <pivotArea outline="0" fieldPosition="0">
        <references count="1">
          <reference field="4294967294" count="1">
            <x v="0"/>
          </reference>
        </references>
      </pivotArea>
    </format>
    <format dxfId="2076">
      <pivotArea type="all" dataOnly="0" outline="0" fieldPosition="0"/>
    </format>
    <format dxfId="2075">
      <pivotArea outline="0" collapsedLevelsAreSubtotals="1" fieldPosition="0"/>
    </format>
    <format dxfId="2074">
      <pivotArea field="11" type="button" dataOnly="0" labelOnly="1" outline="0" axis="axisRow" fieldPosition="0"/>
    </format>
    <format dxfId="2073">
      <pivotArea dataOnly="0" labelOnly="1" fieldPosition="0">
        <references count="1">
          <reference field="11" count="0"/>
        </references>
      </pivotArea>
    </format>
    <format dxfId="2072">
      <pivotArea dataOnly="0" labelOnly="1" grandRow="1" outline="0" fieldPosition="0"/>
    </format>
    <format dxfId="2071">
      <pivotArea dataOnly="0" labelOnly="1" outline="0" fieldPosition="0">
        <references count="1">
          <reference field="4294967294" count="2">
            <x v="0"/>
            <x v="1"/>
          </reference>
        </references>
      </pivotArea>
    </format>
    <format dxfId="2070">
      <pivotArea type="all" dataOnly="0" outline="0" fieldPosition="0"/>
    </format>
    <format dxfId="2069">
      <pivotArea outline="0" collapsedLevelsAreSubtotals="1" fieldPosition="0"/>
    </format>
    <format dxfId="2068">
      <pivotArea field="11" type="button" dataOnly="0" labelOnly="1" outline="0" axis="axisRow" fieldPosition="0"/>
    </format>
    <format dxfId="2067">
      <pivotArea dataOnly="0" labelOnly="1" fieldPosition="0">
        <references count="1">
          <reference field="11" count="0"/>
        </references>
      </pivotArea>
    </format>
    <format dxfId="2066">
      <pivotArea dataOnly="0" labelOnly="1" grandRow="1" outline="0" fieldPosition="0"/>
    </format>
    <format dxfId="206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Location Analysis" cacheId="18"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A49:E55" firstHeaderRow="0" firstDataRow="1" firstDataCol="1"/>
  <pivotFields count="38">
    <pivotField compact="0" showAll="0"/>
    <pivotField compact="0" showAll="0"/>
    <pivotField compact="0" showAll="0">
      <items count="5">
        <item x="2"/>
        <item x="0"/>
        <item x="1"/>
        <item x="3"/>
        <item t="default"/>
      </items>
    </pivotField>
    <pivotField compact="0"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compact="0" numFmtId="165" showAll="0"/>
    <pivotField compact="0" numFmtId="1" showAll="0"/>
    <pivotField compact="0" numFmtId="1" showAll="0"/>
    <pivotField dataField="1" compact="0" numFmtId="1" showAll="0"/>
    <pivotField dataField="1" compact="0" showAll="0"/>
    <pivotField dataField="1" compact="0" showAll="0"/>
    <pivotField axis="axisRow" compact="0" showAll="0">
      <items count="6">
        <item x="2"/>
        <item x="0"/>
        <item x="1"/>
        <item x="4"/>
        <item x="3"/>
        <item t="default"/>
      </items>
    </pivotField>
    <pivotField compact="0" showAll="0">
      <items count="6">
        <item x="2"/>
        <item x="0"/>
        <item x="4"/>
        <item x="1"/>
        <item x="3"/>
        <item t="default"/>
      </items>
    </pivotField>
    <pivotField compact="0" showAll="0">
      <items count="3">
        <item x="1"/>
        <item x="0"/>
        <item t="default"/>
      </items>
    </pivotField>
    <pivotField compact="0" numFmtId="9" showAll="0"/>
    <pivotField compact="0" numFmtId="9" showAll="0"/>
    <pivotField compact="0" numFmtId="8" showAll="0"/>
    <pivotField compact="0" numFmtId="8" showAll="0"/>
    <pivotField compact="0" numFmtId="9" showAll="0"/>
    <pivotField compact="0" numFmtId="9" showAll="0"/>
    <pivotField compact="0" numFmtId="1" dragToRow="0" dragToCol="0" dragToPage="0" showAll="0" defaultSubtotal="0"/>
    <pivotField compact="0" numFmtId="1" dragToRow="0" dragToCol="0" dragToPage="0" showAll="0" defaultSubtotal="0"/>
    <pivotField compact="0" dragToRow="0" dragToCol="0" dragToPage="0" showAll="0" defaultSubtotal="0"/>
    <pivotField compact="0" dragToRow="0" dragToCol="0" dragToPage="0" showAll="0" defaultSubtotal="0"/>
    <pivotField compact="0" numFmtId="1" dragToRow="0" dragToCol="0" dragToPage="0" showAll="0" defaultSubtotal="0"/>
    <pivotField compact="0" numFmtId="1" dragToRow="0" dragToCol="0" dragToPage="0" showAll="0" defaultSubtotal="0"/>
    <pivotField compact="0" numFmtId="1" dragToRow="0" dragToCol="0" dragToPage="0" showAll="0" defaultSubtotal="0"/>
    <pivotField compact="0" dragToRow="0" dragToCol="0" dragToPage="0" showAll="0" defaultSubtotal="0"/>
    <pivotField dataField="1" compact="0" numFmtId="1" dragToRow="0" dragToCol="0" dragToPage="0" showAll="0" defaultSubtotal="0"/>
    <pivotField compact="0" dragToRow="0" dragToCol="0" dragToPage="0" showAll="0"/>
    <pivotField compact="0" numFmtId="1" dragToRow="0" dragToCol="0" dragToPage="0" showAll="0" defaultSubtotal="0"/>
    <pivotField compact="0" dragToRow="0" dragToCol="0" dragToPage="0" showAll="0" defaultSubtotal="0"/>
    <pivotField compact="0" dragToRow="0" dragToCol="0" dragToPage="0" showAll="0" defaultSubtotal="0"/>
    <pivotField compact="0" dragToRow="0" dragToCol="0" dragToPage="0" showAll="0" defaultSubtotal="0"/>
    <pivotField compact="0" showAll="0">
      <items count="15">
        <item x="0"/>
        <item x="1"/>
        <item x="2"/>
        <item x="3"/>
        <item x="4"/>
        <item x="5"/>
        <item x="6"/>
        <item x="7"/>
        <item x="8"/>
        <item x="9"/>
        <item x="10"/>
        <item x="11"/>
        <item x="12"/>
        <item x="13"/>
        <item t="default"/>
      </items>
    </pivotField>
    <pivotField compact="0" showAll="0">
      <items count="5">
        <item x="0"/>
        <item x="1"/>
        <item x="2"/>
        <item x="3"/>
        <item t="default"/>
      </items>
    </pivotField>
    <pivotField compact="0" dragToRow="0" dragToCol="0" dragToPage="0" showAll="0" defaultSubtotal="0"/>
    <pivotField compact="0" dragToRow="0" dragToCol="0" dragToPage="0" showAll="0" defaultSubtotal="0"/>
    <pivotField compact="0" dragToRow="0" dragToCol="0" dragToPage="0" showAll="0" defaultSubtotal="0"/>
  </pivotFields>
  <rowFields count="1">
    <field x="10"/>
  </rowFields>
  <rowItems count="6">
    <i>
      <x/>
    </i>
    <i>
      <x v="1"/>
    </i>
    <i>
      <x v="2"/>
    </i>
    <i>
      <x v="3"/>
    </i>
    <i>
      <x v="4"/>
    </i>
    <i t="grand">
      <x/>
    </i>
  </rowItems>
  <colFields count="1">
    <field x="-2"/>
  </colFields>
  <colItems count="4">
    <i>
      <x/>
    </i>
    <i i="1">
      <x v="1"/>
    </i>
    <i i="2">
      <x v="2"/>
    </i>
    <i i="3">
      <x v="3"/>
    </i>
  </colItems>
  <dataFields count="4">
    <dataField name="Sum of Conversions" fld="7" baseField="0" baseItem="0"/>
    <dataField name="Sum of Total_Spend" fld="8" baseField="0" baseItem="0"/>
    <dataField name="Sum of Revenue_Generated" fld="9" baseField="0" baseItem="0"/>
    <dataField name="CVR " fld="27" baseField="0" baseItem="0" numFmtId="2"/>
  </dataFields>
  <formats count="5">
    <format dxfId="2165">
      <pivotArea type="all" dataOnly="0" outline="0" fieldPosition="0"/>
    </format>
    <format dxfId="2164">
      <pivotArea type="all" dataOnly="0" outline="0" fieldPosition="0"/>
    </format>
    <format dxfId="2163">
      <pivotArea collapsedLevelsAreSubtotals="1" fieldPosition="0">
        <references count="1">
          <reference field="4294967294" count="1" selected="0">
            <x v="3"/>
          </reference>
        </references>
      </pivotArea>
    </format>
    <format dxfId="2162">
      <pivotArea dataOnly="0" labelOnly="1" fieldPosition="0">
        <references count="1">
          <reference field="4294967294" count="1">
            <x v="3"/>
          </reference>
        </references>
      </pivotArea>
    </format>
    <format dxfId="2161">
      <pivotArea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F6277B-82D0-4C5C-9E95-BB8356B3FC3E}" name="conversions and revenue by gender"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 rowHeaderCaption="Gender">
  <location ref="E103:G106" firstHeaderRow="0" firstDataRow="1" firstDataCol="1"/>
  <pivotFields count="38">
    <pivotField showAll="0"/>
    <pivotField showAll="0"/>
    <pivotField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numFmtId="1" showAll="0"/>
    <pivotField numFmtId="1" showAll="0"/>
    <pivotField dataField="1" numFmtId="1" showAll="0"/>
    <pivotField showAll="0"/>
    <pivotField dataField="1" showAll="0"/>
    <pivotField showAll="0">
      <items count="6">
        <item x="2"/>
        <item x="0"/>
        <item x="1"/>
        <item x="4"/>
        <item x="3"/>
        <item t="default"/>
      </items>
    </pivotField>
    <pivotField showAll="0">
      <items count="6">
        <item x="2"/>
        <item x="0"/>
        <item x="4"/>
        <item x="1"/>
        <item x="3"/>
        <item t="default"/>
      </items>
    </pivotField>
    <pivotField axis="axisRow" showAll="0">
      <items count="3">
        <item x="1"/>
        <item x="0"/>
        <item t="default"/>
      </items>
    </pivotField>
    <pivotField numFmtId="9" showAll="0"/>
    <pivotField numFmtId="9" showAll="0"/>
    <pivotField numFmtId="8" showAll="0"/>
    <pivotField numFmtId="8"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s>
  <rowFields count="1">
    <field x="12"/>
  </rowFields>
  <rowItems count="3">
    <i>
      <x/>
    </i>
    <i>
      <x v="1"/>
    </i>
    <i t="grand">
      <x/>
    </i>
  </rowItems>
  <colFields count="1">
    <field x="-2"/>
  </colFields>
  <colItems count="2">
    <i>
      <x/>
    </i>
    <i i="1">
      <x v="1"/>
    </i>
  </colItems>
  <dataFields count="2">
    <dataField name="Conversions  " fld="7" baseField="0" baseItem="0"/>
    <dataField name="Revenue_Generated  " fld="9" baseField="0" baseItem="0"/>
  </dataFields>
  <formats count="12">
    <format dxfId="2064">
      <pivotArea type="all" dataOnly="0" outline="0" fieldPosition="0"/>
    </format>
    <format dxfId="2063">
      <pivotArea outline="0" collapsedLevelsAreSubtotals="1" fieldPosition="0"/>
    </format>
    <format dxfId="2062">
      <pivotArea field="12" type="button" dataOnly="0" labelOnly="1" outline="0" axis="axisRow" fieldPosition="0"/>
    </format>
    <format dxfId="2061">
      <pivotArea dataOnly="0" labelOnly="1" fieldPosition="0">
        <references count="1">
          <reference field="12" count="0"/>
        </references>
      </pivotArea>
    </format>
    <format dxfId="2060">
      <pivotArea dataOnly="0" labelOnly="1" grandRow="1" outline="0" fieldPosition="0"/>
    </format>
    <format dxfId="2059">
      <pivotArea dataOnly="0" labelOnly="1" outline="0" fieldPosition="0">
        <references count="1">
          <reference field="4294967294" count="2">
            <x v="0"/>
            <x v="1"/>
          </reference>
        </references>
      </pivotArea>
    </format>
    <format dxfId="2058">
      <pivotArea type="all" dataOnly="0" outline="0" fieldPosition="0"/>
    </format>
    <format dxfId="2057">
      <pivotArea outline="0" collapsedLevelsAreSubtotals="1" fieldPosition="0"/>
    </format>
    <format dxfId="2056">
      <pivotArea field="12" type="button" dataOnly="0" labelOnly="1" outline="0" axis="axisRow" fieldPosition="0"/>
    </format>
    <format dxfId="2055">
      <pivotArea dataOnly="0" labelOnly="1" fieldPosition="0">
        <references count="1">
          <reference field="12" count="0"/>
        </references>
      </pivotArea>
    </format>
    <format dxfId="2054">
      <pivotArea dataOnly="0" labelOnly="1" grandRow="1" outline="0" fieldPosition="0"/>
    </format>
    <format dxfId="2053">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12" count="1" selected="0">
            <x v="0"/>
          </reference>
        </references>
      </pivotArea>
    </chartFormat>
    <chartFormat chart="2" format="13">
      <pivotArea type="data" outline="0" fieldPosition="0">
        <references count="2">
          <reference field="4294967294"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FCD664-D6E7-4377-85D3-6A531325EDF5}" name="conversions and revenue by location"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 rowHeaderCaption="Location">
  <location ref="I103:K109" firstHeaderRow="0" firstDataRow="1" firstDataCol="1"/>
  <pivotFields count="38">
    <pivotField showAll="0"/>
    <pivotField showAll="0"/>
    <pivotField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numFmtId="1" showAll="0"/>
    <pivotField numFmtId="1" showAll="0"/>
    <pivotField dataField="1" numFmtId="1" showAll="0"/>
    <pivotField showAll="0"/>
    <pivotField dataField="1" showAll="0"/>
    <pivotField axis="axisRow" showAll="0">
      <items count="6">
        <item x="2"/>
        <item x="0"/>
        <item x="1"/>
        <item x="4"/>
        <item x="3"/>
        <item t="default"/>
      </items>
    </pivotField>
    <pivotField showAll="0">
      <items count="6">
        <item x="2"/>
        <item x="0"/>
        <item x="4"/>
        <item x="1"/>
        <item x="3"/>
        <item t="default"/>
      </items>
    </pivotField>
    <pivotField showAll="0">
      <items count="3">
        <item x="1"/>
        <item x="0"/>
        <item t="default"/>
      </items>
    </pivotField>
    <pivotField numFmtId="9" showAll="0"/>
    <pivotField numFmtId="9" showAll="0"/>
    <pivotField numFmtId="8" showAll="0"/>
    <pivotField numFmtId="8"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6">
    <i>
      <x/>
    </i>
    <i>
      <x v="1"/>
    </i>
    <i>
      <x v="2"/>
    </i>
    <i>
      <x v="3"/>
    </i>
    <i>
      <x v="4"/>
    </i>
    <i t="grand">
      <x/>
    </i>
  </rowItems>
  <colFields count="1">
    <field x="-2"/>
  </colFields>
  <colItems count="2">
    <i>
      <x/>
    </i>
    <i i="1">
      <x v="1"/>
    </i>
  </colItems>
  <dataFields count="2">
    <dataField name="Conversions  " fld="7" baseField="10" baseItem="0"/>
    <dataField name="Revenue_Generated " fld="9" baseField="1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Gender Analysis" cacheId="18"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A43:F46" firstHeaderRow="0" firstDataRow="1" firstDataCol="1"/>
  <pivotFields count="38">
    <pivotField compact="0" showAll="0"/>
    <pivotField compact="0" showAll="0"/>
    <pivotField compact="0" showAll="0">
      <items count="5">
        <item x="2"/>
        <item x="0"/>
        <item x="1"/>
        <item x="3"/>
        <item t="default"/>
      </items>
    </pivotField>
    <pivotField compact="0"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compact="0" numFmtId="165" showAll="0"/>
    <pivotField compact="0" numFmtId="1" showAll="0"/>
    <pivotField compact="0" numFmtId="1" showAll="0"/>
    <pivotField dataField="1" compact="0" numFmtId="1" showAll="0"/>
    <pivotField dataField="1" compact="0" showAll="0"/>
    <pivotField dataField="1" compact="0" showAll="0"/>
    <pivotField compact="0" showAll="0">
      <items count="6">
        <item x="2"/>
        <item x="0"/>
        <item x="1"/>
        <item x="4"/>
        <item x="3"/>
        <item t="default"/>
      </items>
    </pivotField>
    <pivotField compact="0" showAll="0">
      <items count="6">
        <item x="2"/>
        <item x="0"/>
        <item x="4"/>
        <item x="1"/>
        <item x="3"/>
        <item t="default"/>
      </items>
    </pivotField>
    <pivotField axis="axisRow" compact="0" showAll="0">
      <items count="3">
        <item x="1"/>
        <item x="0"/>
        <item t="default"/>
      </items>
    </pivotField>
    <pivotField compact="0" numFmtId="9" showAll="0"/>
    <pivotField compact="0" numFmtId="9" showAll="0"/>
    <pivotField compact="0" numFmtId="8" showAll="0"/>
    <pivotField compact="0" numFmtId="8" showAll="0"/>
    <pivotField compact="0" numFmtId="9" showAll="0"/>
    <pivotField compact="0" numFmtId="9" showAll="0"/>
    <pivotField compact="0" numFmtId="1" dragToRow="0" dragToCol="0" dragToPage="0" showAll="0" defaultSubtotal="0"/>
    <pivotField compact="0" numFmtId="1" dragToRow="0" dragToCol="0" dragToPage="0" showAll="0" defaultSubtotal="0"/>
    <pivotField compact="0" dragToRow="0" dragToCol="0" dragToPage="0" showAll="0" defaultSubtotal="0"/>
    <pivotField compact="0" dragToRow="0" dragToCol="0" dragToPage="0" showAll="0" defaultSubtotal="0"/>
    <pivotField compact="0" numFmtId="1" dragToRow="0" dragToCol="0" dragToPage="0" showAll="0" defaultSubtotal="0"/>
    <pivotField compact="0" numFmtId="1" dragToRow="0" dragToCol="0" dragToPage="0" showAll="0" defaultSubtotal="0"/>
    <pivotField dataField="1" compact="0" numFmtId="1" dragToRow="0" dragToCol="0" dragToPage="0" showAll="0" defaultSubtotal="0"/>
    <pivotField dataField="1" compact="0" dragToRow="0" dragToCol="0" dragToPage="0" showAll="0" defaultSubtotal="0"/>
    <pivotField compact="0" numFmtId="1" dragToRow="0" dragToCol="0" dragToPage="0" showAll="0" defaultSubtotal="0"/>
    <pivotField compact="0" dragToRow="0" dragToCol="0" dragToPage="0" showAll="0"/>
    <pivotField compact="0" numFmtId="1" dragToRow="0" dragToCol="0" dragToPage="0" showAll="0" defaultSubtotal="0"/>
    <pivotField compact="0" dragToRow="0" dragToCol="0" dragToPage="0" showAll="0" defaultSubtotal="0"/>
    <pivotField compact="0" dragToRow="0" dragToCol="0" dragToPage="0" showAll="0" defaultSubtotal="0"/>
    <pivotField compact="0" dragToRow="0" dragToCol="0" dragToPage="0" showAll="0" defaultSubtotal="0"/>
    <pivotField compact="0" showAll="0">
      <items count="15">
        <item x="0"/>
        <item x="1"/>
        <item x="2"/>
        <item x="3"/>
        <item x="4"/>
        <item x="5"/>
        <item x="6"/>
        <item x="7"/>
        <item x="8"/>
        <item x="9"/>
        <item x="10"/>
        <item x="11"/>
        <item x="12"/>
        <item x="13"/>
        <item t="default"/>
      </items>
    </pivotField>
    <pivotField compact="0" showAll="0">
      <items count="5">
        <item x="0"/>
        <item x="1"/>
        <item x="2"/>
        <item x="3"/>
        <item t="default"/>
      </items>
    </pivotField>
    <pivotField compact="0" dragToRow="0" dragToCol="0" dragToPage="0" showAll="0" defaultSubtotal="0"/>
    <pivotField compact="0" dragToRow="0" dragToCol="0" dragToPage="0" showAll="0" defaultSubtotal="0"/>
    <pivotField compact="0" dragToRow="0" dragToCol="0" dragToPage="0" showAll="0" defaultSubtotal="0"/>
  </pivotFields>
  <rowFields count="1">
    <field x="12"/>
  </rowFields>
  <rowItems count="3">
    <i>
      <x/>
    </i>
    <i>
      <x v="1"/>
    </i>
    <i t="grand">
      <x/>
    </i>
  </rowItems>
  <colFields count="1">
    <field x="-2"/>
  </colFields>
  <colItems count="5">
    <i>
      <x/>
    </i>
    <i i="1">
      <x v="1"/>
    </i>
    <i i="2">
      <x v="2"/>
    </i>
    <i i="3">
      <x v="3"/>
    </i>
    <i i="4">
      <x v="4"/>
    </i>
  </colItems>
  <dataFields count="5">
    <dataField name="Conversions  " fld="7" baseField="0" baseItem="0" numFmtId="4"/>
    <dataField name="Total_Spend " fld="8" baseField="0" baseItem="0"/>
    <dataField name="Revenue_Generated " fld="9" baseField="0" baseItem="0"/>
    <dataField name="CVR " fld="25" baseField="0" baseItem="0" numFmtId="2"/>
    <dataField name="ROAS " fld="26" baseField="0" baseItem="0"/>
  </dataFields>
  <formats count="15">
    <format dxfId="2180">
      <pivotArea type="all" dataOnly="0" outline="0" fieldPosition="0"/>
    </format>
    <format dxfId="2179">
      <pivotArea type="all" dataOnly="0" outline="0" fieldPosition="0"/>
    </format>
    <format dxfId="2178">
      <pivotArea collapsedLevelsAreSubtotals="1" fieldPosition="0">
        <references count="1">
          <reference field="4294967294" count="1" selected="0">
            <x v="0"/>
          </reference>
        </references>
      </pivotArea>
    </format>
    <format dxfId="2177">
      <pivotArea dataOnly="0" labelOnly="1" fieldPosition="0">
        <references count="1">
          <reference field="4294967294" count="1">
            <x v="1"/>
          </reference>
        </references>
      </pivotArea>
    </format>
    <format dxfId="2176">
      <pivotArea dataOnly="0" labelOnly="1" fieldPosition="0">
        <references count="1">
          <reference field="4294967294" count="1">
            <x v="1"/>
          </reference>
        </references>
      </pivotArea>
    </format>
    <format dxfId="2175">
      <pivotArea collapsedLevelsAreSubtotals="1" fieldPosition="0">
        <references count="1">
          <reference field="4294967294" count="1" selected="0">
            <x v="1"/>
          </reference>
        </references>
      </pivotArea>
    </format>
    <format dxfId="2174">
      <pivotArea dataOnly="0" labelOnly="1" fieldPosition="0">
        <references count="1">
          <reference field="4294967294" count="1">
            <x v="2"/>
          </reference>
        </references>
      </pivotArea>
    </format>
    <format dxfId="2173">
      <pivotArea collapsedLevelsAreSubtotals="1" fieldPosition="0">
        <references count="1">
          <reference field="4294967294" count="1" selected="0">
            <x v="2"/>
          </reference>
        </references>
      </pivotArea>
    </format>
    <format dxfId="2172">
      <pivotArea dataOnly="0" labelOnly="1" fieldPosition="0">
        <references count="1">
          <reference field="4294967294" count="1">
            <x v="2"/>
          </reference>
        </references>
      </pivotArea>
    </format>
    <format dxfId="2171">
      <pivotArea collapsedLevelsAreSubtotals="1" fieldPosition="0">
        <references count="1">
          <reference field="4294967294" count="1" selected="0">
            <x v="2"/>
          </reference>
        </references>
      </pivotArea>
    </format>
    <format dxfId="2170">
      <pivotArea collapsedLevelsAreSubtotals="1" fieldPosition="0">
        <references count="1">
          <reference field="4294967294" count="1" selected="0">
            <x v="3"/>
          </reference>
        </references>
      </pivotArea>
    </format>
    <format dxfId="2169">
      <pivotArea dataOnly="0" labelOnly="1" fieldPosition="0">
        <references count="1">
          <reference field="4294967294" count="1">
            <x v="3"/>
          </reference>
        </references>
      </pivotArea>
    </format>
    <format dxfId="2168">
      <pivotArea collapsedLevelsAreSubtotals="1" fieldPosition="0">
        <references count="1">
          <reference field="4294967294" count="1" selected="0">
            <x v="3"/>
          </reference>
        </references>
      </pivotArea>
    </format>
    <format dxfId="2167">
      <pivotArea dataOnly="0" labelOnly="1" fieldPosition="0">
        <references count="1">
          <reference field="4294967294" count="1">
            <x v="4"/>
          </reference>
        </references>
      </pivotArea>
    </format>
    <format dxfId="2166">
      <pivotArea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Best Channel based on groups" cacheId="18" dataPosition="1" applyNumberFormats="0" applyBorderFormats="0" applyFontFormats="0" applyPatternFormats="0" applyAlignmentFormats="0" applyWidthHeightFormats="1" dataCaption="Values" updatedVersion="8" minRefreshableVersion="3" useAutoFormatting="1" rowGrandTotals="0" colGrandTotals="0" createdVersion="5" indent="0" compact="0" outline="1" outlineData="1" compactData="0" multipleFieldFilters="0">
  <location ref="I34:Q41" firstHeaderRow="1" firstDataRow="3" firstDataCol="1"/>
  <pivotFields count="38">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axis="axisCol" compact="0" showAll="0" defaultSubtotal="0">
      <items count="4">
        <item x="2"/>
        <item x="0"/>
        <item x="1"/>
        <item x="3"/>
      </items>
      <extLst>
        <ext xmlns:x14="http://schemas.microsoft.com/office/spreadsheetml/2009/9/main" uri="{2946ED86-A175-432a-8AC1-64E0C546D7DE}">
          <x14:pivotField fillDownLabels="1"/>
        </ext>
      </extLst>
    </pivotField>
    <pivotField compact="0" numFmtId="165" showAll="0" defaultSubtotal="0">
      <items count="299">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s>
      <extLst>
        <ext xmlns:x14="http://schemas.microsoft.com/office/spreadsheetml/2009/9/main" uri="{2946ED86-A175-432a-8AC1-64E0C546D7DE}">
          <x14:pivotField fillDownLabels="1"/>
        </ext>
      </extLst>
    </pivotField>
    <pivotField compact="0" numFmtId="165" showAll="0" defaultSubtotal="0">
      <extLst>
        <ext xmlns:x14="http://schemas.microsoft.com/office/spreadsheetml/2009/9/main" uri="{2946ED86-A175-432a-8AC1-64E0C546D7DE}">
          <x14:pivotField fillDownLabels="1"/>
        </ext>
      </extLst>
    </pivotField>
    <pivotField compact="0" numFmtId="1" showAll="0" defaultSubtotal="0">
      <extLst>
        <ext xmlns:x14="http://schemas.microsoft.com/office/spreadsheetml/2009/9/main" uri="{2946ED86-A175-432a-8AC1-64E0C546D7DE}">
          <x14:pivotField fillDownLabels="1"/>
        </ext>
      </extLst>
    </pivotField>
    <pivotField compact="0" numFmtId="1" showAll="0" defaultSubtotal="0">
      <extLst>
        <ext xmlns:x14="http://schemas.microsoft.com/office/spreadsheetml/2009/9/main" uri="{2946ED86-A175-432a-8AC1-64E0C546D7DE}">
          <x14:pivotField fillDownLabels="1"/>
        </ext>
      </extLst>
    </pivotField>
    <pivotField compact="0" numFmtId="1"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items count="5">
        <item x="2"/>
        <item x="0"/>
        <item x="1"/>
        <item x="4"/>
        <item x="3"/>
      </items>
      <extLst>
        <ext xmlns:x14="http://schemas.microsoft.com/office/spreadsheetml/2009/9/main" uri="{2946ED86-A175-432a-8AC1-64E0C546D7DE}">
          <x14:pivotField fillDownLabels="1"/>
        </ext>
      </extLst>
    </pivotField>
    <pivotField axis="axisRow" compact="0" showAll="0" defaultSubtotal="0">
      <items count="5">
        <item x="2"/>
        <item x="0"/>
        <item x="4"/>
        <item x="1"/>
        <item x="3"/>
      </items>
      <extLst>
        <ext xmlns:x14="http://schemas.microsoft.com/office/spreadsheetml/2009/9/main" uri="{2946ED86-A175-432a-8AC1-64E0C546D7DE}">
          <x14:pivotField fillDownLabels="1"/>
        </ext>
      </extLst>
    </pivotField>
    <pivotField compact="0" showAll="0" defaultSubtotal="0">
      <items count="2">
        <item x="1"/>
        <item x="0"/>
      </items>
      <extLst>
        <ext xmlns:x14="http://schemas.microsoft.com/office/spreadsheetml/2009/9/main" uri="{2946ED86-A175-432a-8AC1-64E0C546D7DE}">
          <x14:pivotField fillDownLabels="1"/>
        </ext>
      </extLst>
    </pivotField>
    <pivotField compact="0" numFmtId="9" showAll="0" defaultSubtotal="0">
      <extLst>
        <ext xmlns:x14="http://schemas.microsoft.com/office/spreadsheetml/2009/9/main" uri="{2946ED86-A175-432a-8AC1-64E0C546D7DE}">
          <x14:pivotField fillDownLabels="1"/>
        </ext>
      </extLst>
    </pivotField>
    <pivotField compact="0" numFmtId="9" showAll="0" defaultSubtotal="0">
      <extLst>
        <ext xmlns:x14="http://schemas.microsoft.com/office/spreadsheetml/2009/9/main" uri="{2946ED86-A175-432a-8AC1-64E0C546D7DE}">
          <x14:pivotField fillDownLabels="1"/>
        </ext>
      </extLst>
    </pivotField>
    <pivotField compact="0" numFmtId="166" showAll="0" defaultSubtotal="0">
      <extLst>
        <ext xmlns:x14="http://schemas.microsoft.com/office/spreadsheetml/2009/9/main" uri="{2946ED86-A175-432a-8AC1-64E0C546D7DE}">
          <x14:pivotField fillDownLabels="1"/>
        </ext>
      </extLst>
    </pivotField>
    <pivotField compact="0" numFmtId="166" showAll="0" defaultSubtotal="0">
      <extLst>
        <ext xmlns:x14="http://schemas.microsoft.com/office/spreadsheetml/2009/9/main" uri="{2946ED86-A175-432a-8AC1-64E0C546D7DE}">
          <x14:pivotField fillDownLabels="1"/>
        </ext>
      </extLst>
    </pivotField>
    <pivotField compact="0" numFmtId="9" showAll="0" defaultSubtotal="0">
      <extLst>
        <ext xmlns:x14="http://schemas.microsoft.com/office/spreadsheetml/2009/9/main" uri="{2946ED86-A175-432a-8AC1-64E0C546D7DE}">
          <x14:pivotField fillDownLabels="1"/>
        </ext>
      </extLst>
    </pivotField>
    <pivotField compact="0" numFmtId="9" showAll="0" defaultSubtotal="0">
      <extLst>
        <ext xmlns:x14="http://schemas.microsoft.com/office/spreadsheetml/2009/9/main" uri="{2946ED86-A175-432a-8AC1-64E0C546D7DE}">
          <x14:pivotField fillDownLabels="1"/>
        </ext>
      </extLst>
    </pivotField>
    <pivotField compact="0" numFmtId="1" dragToRow="0" dragToCol="0" dragToPage="0" showAll="0" defaultSubtotal="0">
      <extLst>
        <ext xmlns:x14="http://schemas.microsoft.com/office/spreadsheetml/2009/9/main" uri="{2946ED86-A175-432a-8AC1-64E0C546D7DE}">
          <x14:pivotField fillDownLabels="1"/>
        </ext>
      </extLst>
    </pivotField>
    <pivotField compact="0" numFmtId="1" dragToRow="0" dragToCol="0" dragToPage="0" showAll="0" defaultSubtotal="0">
      <extLst>
        <ext xmlns:x14="http://schemas.microsoft.com/office/spreadsheetml/2009/9/main" uri="{2946ED86-A175-432a-8AC1-64E0C546D7DE}">
          <x14:pivotField fillDownLabels="1"/>
        </ext>
      </extLst>
    </pivotField>
    <pivotField compact="0" dragToRow="0" dragToCol="0" dragToPage="0" showAll="0" defaultSubtotal="0">
      <extLst>
        <ext xmlns:x14="http://schemas.microsoft.com/office/spreadsheetml/2009/9/main" uri="{2946ED86-A175-432a-8AC1-64E0C546D7DE}">
          <x14:pivotField fillDownLabels="1"/>
        </ext>
      </extLst>
    </pivotField>
    <pivotField compact="0" dragToRow="0" dragToCol="0" dragToPage="0" showAll="0" defaultSubtotal="0">
      <extLst>
        <ext xmlns:x14="http://schemas.microsoft.com/office/spreadsheetml/2009/9/main" uri="{2946ED86-A175-432a-8AC1-64E0C546D7DE}">
          <x14:pivotField fillDownLabels="1"/>
        </ext>
      </extLst>
    </pivotField>
    <pivotField compact="0" numFmtId="1" dragToRow="0" dragToCol="0" dragToPage="0" showAll="0" defaultSubtotal="0">
      <extLst>
        <ext xmlns:x14="http://schemas.microsoft.com/office/spreadsheetml/2009/9/main" uri="{2946ED86-A175-432a-8AC1-64E0C546D7DE}">
          <x14:pivotField fillDownLabels="1"/>
        </ext>
      </extLst>
    </pivotField>
    <pivotField compact="0" numFmtId="1" dragToRow="0" dragToCol="0" dragToPage="0" showAll="0" defaultSubtotal="0"/>
    <pivotField compact="0" numFmtId="1" dragToRow="0" dragToCol="0" dragToPage="0" showAll="0" defaultSubtotal="0"/>
    <pivotField compact="0" dragToRow="0" dragToCol="0" dragToPage="0" showAll="0" defaultSubtotal="0"/>
    <pivotField compact="0" numFmtId="1" dragToRow="0" dragToCol="0" dragToPage="0" showAll="0" defaultSubtotal="0"/>
    <pivotField compact="0" dragToRow="0" dragToCol="0" dragToPage="0" showAll="0"/>
    <pivotField dataField="1" compact="0" numFmtId="1" dragToRow="0" dragToCol="0" dragToPage="0" showAll="0" defaultSubtotal="0"/>
    <pivotField dataField="1" compact="0" dragToRow="0" dragToCol="0" dragToPage="0" showAll="0" defaultSubtotal="0"/>
    <pivotField compact="0" dragToRow="0" dragToCol="0" dragToPage="0" showAll="0" defaultSubtotal="0"/>
    <pivotField compact="0" dragToRow="0" dragToCol="0" dragToPage="0" showAll="0" defaultSubtotal="0"/>
    <pivotField compact="0" showAll="0">
      <items count="15">
        <item x="0"/>
        <item x="1"/>
        <item x="2"/>
        <item x="3"/>
        <item x="4"/>
        <item x="5"/>
        <item x="6"/>
        <item x="7"/>
        <item x="8"/>
        <item x="9"/>
        <item x="10"/>
        <item x="11"/>
        <item x="12"/>
        <item x="13"/>
        <item t="default"/>
      </items>
    </pivotField>
    <pivotField compact="0" showAll="0">
      <items count="5">
        <item x="0"/>
        <item x="1"/>
        <item x="2"/>
        <item x="3"/>
        <item t="default"/>
      </items>
    </pivotField>
    <pivotField compact="0" dragToRow="0" dragToCol="0" dragToPage="0" showAll="0" defaultSubtotal="0"/>
    <pivotField compact="0" dragToRow="0" dragToCol="0" dragToPage="0" showAll="0" defaultSubtotal="0"/>
    <pivotField compact="0" dragToRow="0" dragToCol="0" dragToPage="0" showAll="0" defaultSubtotal="0"/>
  </pivotFields>
  <rowFields count="1">
    <field x="11"/>
  </rowFields>
  <rowItems count="5">
    <i>
      <x/>
    </i>
    <i>
      <x v="1"/>
    </i>
    <i>
      <x v="2"/>
    </i>
    <i>
      <x v="3"/>
    </i>
    <i>
      <x v="4"/>
    </i>
  </rowItems>
  <colFields count="2">
    <field x="2"/>
    <field x="-2"/>
  </colFields>
  <colItems count="8">
    <i>
      <x/>
      <x/>
    </i>
    <i r="1" i="1">
      <x v="1"/>
    </i>
    <i>
      <x v="1"/>
      <x/>
    </i>
    <i r="1" i="1">
      <x v="1"/>
    </i>
    <i>
      <x v="2"/>
      <x/>
    </i>
    <i r="1" i="1">
      <x v="1"/>
    </i>
    <i>
      <x v="3"/>
      <x/>
    </i>
    <i r="1" i="1">
      <x v="1"/>
    </i>
  </colItems>
  <dataFields count="2">
    <dataField name="CVR " fld="29" baseField="0" baseItem="0" numFmtId="2"/>
    <dataField name="ROAS  " fld="30" baseField="0" baseItem="0"/>
  </dataFields>
  <formats count="22">
    <format dxfId="2202">
      <pivotArea type="all" dataOnly="0" outline="0" fieldPosition="0"/>
    </format>
    <format dxfId="2201">
      <pivotArea type="all" dataOnly="0" outline="0" fieldPosition="0"/>
    </format>
    <format dxfId="2200">
      <pivotArea collapsedLevelsAreSubtotals="1" fieldPosition="0">
        <references count="2">
          <reference field="4294967294" count="1" selected="0">
            <x v="0"/>
          </reference>
          <reference field="2" count="1" selected="0">
            <x v="0"/>
          </reference>
        </references>
      </pivotArea>
    </format>
    <format dxfId="2199">
      <pivotArea collapsedLevelsAreSubtotals="1" fieldPosition="0">
        <references count="2">
          <reference field="4294967294" count="1" selected="0">
            <x v="0"/>
          </reference>
          <reference field="2" count="1" selected="0">
            <x v="1"/>
          </reference>
        </references>
      </pivotArea>
    </format>
    <format dxfId="2198">
      <pivotArea collapsedLevelsAreSubtotals="1" fieldPosition="0">
        <references count="2">
          <reference field="4294967294" count="1" selected="0">
            <x v="0"/>
          </reference>
          <reference field="2" count="1" selected="0">
            <x v="2"/>
          </reference>
        </references>
      </pivotArea>
    </format>
    <format dxfId="2197">
      <pivotArea collapsedLevelsAreSubtotals="1" fieldPosition="0">
        <references count="2">
          <reference field="4294967294" count="1" selected="0">
            <x v="0"/>
          </reference>
          <reference field="2" count="1" selected="0">
            <x v="3"/>
          </reference>
        </references>
      </pivotArea>
    </format>
    <format dxfId="2196">
      <pivotArea dataOnly="0" labelOnly="1" fieldPosition="0">
        <references count="2">
          <reference field="4294967294" count="1">
            <x v="0"/>
          </reference>
          <reference field="2" count="1" selected="0">
            <x v="0"/>
          </reference>
        </references>
      </pivotArea>
    </format>
    <format dxfId="2195">
      <pivotArea dataOnly="0" labelOnly="1" fieldPosition="0">
        <references count="2">
          <reference field="4294967294" count="1">
            <x v="0"/>
          </reference>
          <reference field="2" count="1" selected="0">
            <x v="1"/>
          </reference>
        </references>
      </pivotArea>
    </format>
    <format dxfId="2194">
      <pivotArea dataOnly="0" labelOnly="1" fieldPosition="0">
        <references count="2">
          <reference field="4294967294" count="1">
            <x v="0"/>
          </reference>
          <reference field="2" count="1" selected="0">
            <x v="2"/>
          </reference>
        </references>
      </pivotArea>
    </format>
    <format dxfId="2193">
      <pivotArea dataOnly="0" labelOnly="1" fieldPosition="0">
        <references count="2">
          <reference field="4294967294" count="1">
            <x v="0"/>
          </reference>
          <reference field="2" count="1" selected="0">
            <x v="3"/>
          </reference>
        </references>
      </pivotArea>
    </format>
    <format dxfId="2192">
      <pivotArea collapsedLevelsAreSubtotals="1" fieldPosition="0">
        <references count="2">
          <reference field="4294967294" count="1" selected="0">
            <x v="0"/>
          </reference>
          <reference field="2" count="1" selected="0">
            <x v="0"/>
          </reference>
        </references>
      </pivotArea>
    </format>
    <format dxfId="2191">
      <pivotArea collapsedLevelsAreSubtotals="1" fieldPosition="0">
        <references count="2">
          <reference field="4294967294" count="1" selected="0">
            <x v="0"/>
          </reference>
          <reference field="2" count="1" selected="0">
            <x v="1"/>
          </reference>
        </references>
      </pivotArea>
    </format>
    <format dxfId="2190">
      <pivotArea collapsedLevelsAreSubtotals="1" fieldPosition="0">
        <references count="2">
          <reference field="4294967294" count="1" selected="0">
            <x v="0"/>
          </reference>
          <reference field="2" count="1" selected="0">
            <x v="2"/>
          </reference>
        </references>
      </pivotArea>
    </format>
    <format dxfId="2189">
      <pivotArea collapsedLevelsAreSubtotals="1" fieldPosition="0">
        <references count="2">
          <reference field="4294967294" count="1" selected="0">
            <x v="0"/>
          </reference>
          <reference field="2" count="1" selected="0">
            <x v="3"/>
          </reference>
        </references>
      </pivotArea>
    </format>
    <format dxfId="2188">
      <pivotArea dataOnly="0" labelOnly="1" fieldPosition="0">
        <references count="2">
          <reference field="4294967294" count="1">
            <x v="1"/>
          </reference>
          <reference field="2" count="1" selected="0">
            <x v="0"/>
          </reference>
        </references>
      </pivotArea>
    </format>
    <format dxfId="2187">
      <pivotArea dataOnly="0" labelOnly="1" fieldPosition="0">
        <references count="2">
          <reference field="4294967294" count="1">
            <x v="1"/>
          </reference>
          <reference field="2" count="1" selected="0">
            <x v="1"/>
          </reference>
        </references>
      </pivotArea>
    </format>
    <format dxfId="2186">
      <pivotArea dataOnly="0" labelOnly="1" fieldPosition="0">
        <references count="2">
          <reference field="4294967294" count="1">
            <x v="1"/>
          </reference>
          <reference field="2" count="1" selected="0">
            <x v="2"/>
          </reference>
        </references>
      </pivotArea>
    </format>
    <format dxfId="2185">
      <pivotArea dataOnly="0" labelOnly="1" fieldPosition="0">
        <references count="2">
          <reference field="4294967294" count="1">
            <x v="1"/>
          </reference>
          <reference field="2" count="1" selected="0">
            <x v="3"/>
          </reference>
        </references>
      </pivotArea>
    </format>
    <format dxfId="2184">
      <pivotArea collapsedLevelsAreSubtotals="1" fieldPosition="0">
        <references count="2">
          <reference field="4294967294" count="1" selected="0">
            <x v="1"/>
          </reference>
          <reference field="2" count="1" selected="0">
            <x v="0"/>
          </reference>
        </references>
      </pivotArea>
    </format>
    <format dxfId="2183">
      <pivotArea collapsedLevelsAreSubtotals="1" fieldPosition="0">
        <references count="2">
          <reference field="4294967294" count="1" selected="0">
            <x v="1"/>
          </reference>
          <reference field="2" count="1" selected="0">
            <x v="1"/>
          </reference>
        </references>
      </pivotArea>
    </format>
    <format dxfId="2182">
      <pivotArea collapsedLevelsAreSubtotals="1" fieldPosition="0">
        <references count="2">
          <reference field="4294967294" count="1" selected="0">
            <x v="1"/>
          </reference>
          <reference field="2" count="1" selected="0">
            <x v="2"/>
          </reference>
        </references>
      </pivotArea>
    </format>
    <format dxfId="2181">
      <pivotArea collapsedLevelsAreSubtotals="1" fieldPosition="0">
        <references count="2">
          <reference field="4294967294" count="1" selected="0">
            <x v="1"/>
          </reference>
          <reference field="2"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4C7A0C4-54CE-4963-B623-247F2F930AD5}" name="Campaign Performance Overview:" cacheId="1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rowHeaderCaption="Marketing_Channel">
  <location ref="A87:D92" firstHeaderRow="0" firstDataRow="1" firstDataCol="1"/>
  <pivotFields count="38">
    <pivotField showAll="0"/>
    <pivotField showAll="0"/>
    <pivotField axis="axisRow" showAll="0">
      <items count="5">
        <item x="2"/>
        <item x="0"/>
        <item x="1"/>
        <item x="3"/>
        <item t="default"/>
      </items>
    </pivotField>
    <pivotField numFmtId="165" showAll="0">
      <items count="300">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 t="default"/>
      </items>
    </pivotField>
    <pivotField numFmtId="165" showAll="0"/>
    <pivotField numFmtId="1" showAll="0"/>
    <pivotField numFmtId="1" showAll="0"/>
    <pivotField numFmtId="1" showAll="0"/>
    <pivotField showAll="0"/>
    <pivotField showAll="0"/>
    <pivotField showAll="0">
      <items count="6">
        <item x="2"/>
        <item x="0"/>
        <item x="1"/>
        <item x="4"/>
        <item x="3"/>
        <item t="default"/>
      </items>
    </pivotField>
    <pivotField showAll="0">
      <items count="6">
        <item x="2"/>
        <item x="0"/>
        <item x="4"/>
        <item x="1"/>
        <item x="3"/>
        <item t="default"/>
      </items>
    </pivotField>
    <pivotField showAll="0">
      <items count="3">
        <item x="1"/>
        <item x="0"/>
        <item t="default"/>
      </items>
    </pivotField>
    <pivotField numFmtId="9" showAll="0"/>
    <pivotField numFmtId="9" showAll="0"/>
    <pivotField numFmtId="8" showAll="0"/>
    <pivotField numFmtId="8"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4">
        <item x="0"/>
        <item x="1"/>
        <item x="2"/>
        <item x="3"/>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2"/>
  </rowFields>
  <rowItems count="5">
    <i>
      <x/>
    </i>
    <i>
      <x v="1"/>
    </i>
    <i>
      <x v="2"/>
    </i>
    <i>
      <x v="3"/>
    </i>
    <i t="grand">
      <x/>
    </i>
  </rowItems>
  <colFields count="1">
    <field x="-2"/>
  </colFields>
  <colItems count="3">
    <i>
      <x/>
    </i>
    <i i="1">
      <x v="1"/>
    </i>
    <i i="2">
      <x v="2"/>
    </i>
  </colItems>
  <dataFields count="3">
    <dataField name="CTR    " fld="35" baseField="2" baseItem="0" numFmtId="1"/>
    <dataField name="CVR   " fld="36" baseField="2" baseItem="0" numFmtId="1"/>
    <dataField name="ROAS  " fld="37" baseField="2" baseItem="0"/>
  </dataFields>
  <formats count="13">
    <format dxfId="2037">
      <pivotArea dataOnly="0" outline="0" fieldPosition="0">
        <references count="1">
          <reference field="4294967294" count="1">
            <x v="0"/>
          </reference>
        </references>
      </pivotArea>
    </format>
    <format dxfId="2038">
      <pivotArea dataOnly="0" outline="0" fieldPosition="0">
        <references count="1">
          <reference field="4294967294" count="1">
            <x v="1"/>
          </reference>
        </references>
      </pivotArea>
    </format>
    <format dxfId="2039">
      <pivotArea dataOnly="0" outline="0" fieldPosition="0">
        <references count="1">
          <reference field="4294967294" count="1">
            <x v="2"/>
          </reference>
        </references>
      </pivotArea>
    </format>
    <format dxfId="2040">
      <pivotArea type="all" dataOnly="0" outline="0" fieldPosition="0"/>
    </format>
    <format dxfId="2041">
      <pivotArea outline="0" collapsedLevelsAreSubtotals="1" fieldPosition="0"/>
    </format>
    <format dxfId="2042">
      <pivotArea field="2" type="button" dataOnly="0" labelOnly="1" outline="0" axis="axisRow" fieldPosition="0"/>
    </format>
    <format dxfId="2043">
      <pivotArea dataOnly="0" labelOnly="1" grandRow="1" outline="0" fieldPosition="0"/>
    </format>
    <format dxfId="2044">
      <pivotArea dataOnly="0" labelOnly="1" outline="0" fieldPosition="0">
        <references count="1">
          <reference field="4294967294" count="3">
            <x v="0"/>
            <x v="1"/>
            <x v="2"/>
          </reference>
        </references>
      </pivotArea>
    </format>
    <format dxfId="2045">
      <pivotArea type="all" dataOnly="0" outline="0" fieldPosition="0"/>
    </format>
    <format dxfId="2046">
      <pivotArea outline="0" collapsedLevelsAreSubtotals="1" fieldPosition="0"/>
    </format>
    <format dxfId="2047">
      <pivotArea field="2" type="button" dataOnly="0" labelOnly="1" outline="0" axis="axisRow" fieldPosition="0"/>
    </format>
    <format dxfId="2048">
      <pivotArea dataOnly="0" labelOnly="1" grandRow="1" outline="0" fieldPosition="0"/>
    </format>
    <format dxfId="2049">
      <pivotArea dataOnly="0" labelOnly="1" outline="0" fieldPosition="0">
        <references count="1">
          <reference field="4294967294" count="3">
            <x v="0"/>
            <x v="1"/>
            <x v="2"/>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 cacheId="18" applyNumberFormats="0" applyBorderFormats="0" applyFontFormats="0" applyPatternFormats="0" applyAlignmentFormats="0" applyWidthHeightFormats="1" dataCaption="Values" updatedVersion="8" minRefreshableVersion="3" useAutoFormatting="1" rowGrandTotals="0" colGrandTotals="0" createdVersion="5" indent="0" compact="0" compactData="0" multipleFieldFilters="0">
  <location ref="A66:J77" firstHeaderRow="0" firstDataRow="1" firstDataCol="2"/>
  <pivotFields count="38">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1"/>
        <item x="3"/>
      </items>
      <extLst>
        <ext xmlns:x14="http://schemas.microsoft.com/office/spreadsheetml/2009/9/main" uri="{2946ED86-A175-432a-8AC1-64E0C546D7DE}">
          <x14:pivotField fillDownLabels="1"/>
        </ext>
      </extLst>
    </pivotField>
    <pivotField compact="0" numFmtId="165" outline="0" showAll="0" defaultSubtotal="0">
      <items count="299">
        <item x="10"/>
        <item x="81"/>
        <item x="226"/>
        <item x="188"/>
        <item x="32"/>
        <item x="219"/>
        <item x="167"/>
        <item x="7"/>
        <item x="148"/>
        <item x="241"/>
        <item x="125"/>
        <item x="192"/>
        <item x="36"/>
        <item x="100"/>
        <item x="52"/>
        <item x="40"/>
        <item x="114"/>
        <item x="169"/>
        <item x="254"/>
        <item x="218"/>
        <item x="194"/>
        <item x="95"/>
        <item x="138"/>
        <item x="293"/>
        <item x="163"/>
        <item x="172"/>
        <item x="122"/>
        <item x="142"/>
        <item x="107"/>
        <item x="242"/>
        <item x="28"/>
        <item x="270"/>
        <item x="222"/>
        <item x="96"/>
        <item x="102"/>
        <item x="87"/>
        <item x="154"/>
        <item x="89"/>
        <item x="15"/>
        <item x="121"/>
        <item x="281"/>
        <item x="61"/>
        <item x="216"/>
        <item x="288"/>
        <item x="206"/>
        <item x="291"/>
        <item x="215"/>
        <item x="64"/>
        <item x="120"/>
        <item x="251"/>
        <item x="231"/>
        <item x="43"/>
        <item x="49"/>
        <item x="164"/>
        <item x="277"/>
        <item x="249"/>
        <item x="221"/>
        <item x="24"/>
        <item x="285"/>
        <item x="178"/>
        <item x="258"/>
        <item x="117"/>
        <item x="146"/>
        <item x="210"/>
        <item x="220"/>
        <item x="65"/>
        <item x="27"/>
        <item x="77"/>
        <item x="278"/>
        <item x="201"/>
        <item x="269"/>
        <item x="245"/>
        <item x="179"/>
        <item x="123"/>
        <item x="130"/>
        <item x="275"/>
        <item x="2"/>
        <item x="290"/>
        <item x="70"/>
        <item x="195"/>
        <item x="136"/>
        <item x="6"/>
        <item x="0"/>
        <item x="144"/>
        <item x="267"/>
        <item x="68"/>
        <item x="175"/>
        <item x="244"/>
        <item x="62"/>
        <item x="42"/>
        <item x="257"/>
        <item x="198"/>
        <item x="132"/>
        <item x="93"/>
        <item x="113"/>
        <item x="170"/>
        <item x="209"/>
        <item x="126"/>
        <item x="67"/>
        <item x="149"/>
        <item x="166"/>
        <item x="17"/>
        <item x="3"/>
        <item x="13"/>
        <item x="248"/>
        <item x="34"/>
        <item x="225"/>
        <item x="153"/>
        <item x="190"/>
        <item x="59"/>
        <item x="235"/>
        <item x="94"/>
        <item x="297"/>
        <item x="171"/>
        <item x="104"/>
        <item x="271"/>
        <item x="266"/>
        <item x="39"/>
        <item x="237"/>
        <item x="155"/>
        <item x="131"/>
        <item x="287"/>
        <item x="229"/>
        <item x="276"/>
        <item x="174"/>
        <item x="193"/>
        <item x="263"/>
        <item x="298"/>
        <item x="186"/>
        <item x="247"/>
        <item x="1"/>
        <item x="282"/>
        <item x="165"/>
        <item x="139"/>
        <item x="46"/>
        <item x="208"/>
        <item x="259"/>
        <item x="101"/>
        <item x="54"/>
        <item x="137"/>
        <item x="9"/>
        <item x="47"/>
        <item x="141"/>
        <item x="233"/>
        <item x="202"/>
        <item x="99"/>
        <item x="207"/>
        <item x="255"/>
        <item x="33"/>
        <item x="110"/>
        <item x="213"/>
        <item x="50"/>
        <item x="63"/>
        <item x="177"/>
        <item x="91"/>
        <item x="286"/>
        <item x="119"/>
        <item x="191"/>
        <item x="45"/>
        <item x="53"/>
        <item x="228"/>
        <item x="79"/>
        <item x="203"/>
        <item x="84"/>
        <item x="274"/>
        <item x="214"/>
        <item x="168"/>
        <item x="16"/>
        <item x="71"/>
        <item x="21"/>
        <item x="205"/>
        <item x="92"/>
        <item x="108"/>
        <item x="199"/>
        <item x="147"/>
        <item x="115"/>
        <item x="200"/>
        <item x="230"/>
        <item x="217"/>
        <item x="250"/>
        <item x="74"/>
        <item x="103"/>
        <item x="183"/>
        <item x="280"/>
        <item x="83"/>
        <item x="246"/>
        <item x="173"/>
        <item x="256"/>
        <item x="182"/>
        <item x="159"/>
        <item x="134"/>
        <item x="252"/>
        <item x="187"/>
        <item x="124"/>
        <item x="143"/>
        <item x="152"/>
        <item x="296"/>
        <item x="72"/>
        <item x="223"/>
        <item x="85"/>
        <item x="18"/>
        <item x="19"/>
        <item x="160"/>
        <item x="90"/>
        <item x="118"/>
        <item x="116"/>
        <item x="240"/>
        <item x="264"/>
        <item x="55"/>
        <item x="145"/>
        <item x="30"/>
        <item x="238"/>
        <item x="197"/>
        <item x="239"/>
        <item x="176"/>
        <item x="14"/>
        <item x="262"/>
        <item x="82"/>
        <item x="253"/>
        <item x="48"/>
        <item x="294"/>
        <item x="184"/>
        <item x="20"/>
        <item x="295"/>
        <item x="111"/>
        <item x="289"/>
        <item x="260"/>
        <item x="279"/>
        <item x="26"/>
        <item x="51"/>
        <item x="273"/>
        <item x="133"/>
        <item x="106"/>
        <item x="38"/>
        <item x="181"/>
        <item x="86"/>
        <item x="5"/>
        <item x="151"/>
        <item x="78"/>
        <item x="265"/>
        <item x="12"/>
        <item x="212"/>
        <item x="60"/>
        <item x="44"/>
        <item x="284"/>
        <item x="161"/>
        <item x="140"/>
        <item x="150"/>
        <item x="268"/>
        <item x="243"/>
        <item x="8"/>
        <item x="158"/>
        <item x="234"/>
        <item x="224"/>
        <item x="22"/>
        <item x="189"/>
        <item x="109"/>
        <item x="127"/>
        <item x="180"/>
        <item x="157"/>
        <item x="56"/>
        <item x="128"/>
        <item x="135"/>
        <item x="112"/>
        <item x="105"/>
        <item x="41"/>
        <item x="97"/>
        <item x="98"/>
        <item x="76"/>
        <item x="283"/>
        <item x="57"/>
        <item x="261"/>
        <item x="29"/>
        <item x="88"/>
        <item x="75"/>
        <item x="129"/>
        <item x="232"/>
        <item x="272"/>
        <item x="185"/>
        <item x="156"/>
        <item x="11"/>
        <item x="227"/>
        <item x="292"/>
        <item x="73"/>
        <item x="23"/>
        <item x="211"/>
        <item x="35"/>
        <item x="31"/>
        <item x="196"/>
        <item x="236"/>
        <item x="162"/>
        <item x="37"/>
        <item x="66"/>
        <item x="80"/>
        <item x="25"/>
        <item x="204"/>
        <item x="58"/>
        <item x="4"/>
        <item x="69"/>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0"/>
        <item x="1"/>
        <item x="4"/>
        <item x="3"/>
      </items>
      <extLst>
        <ext xmlns:x14="http://schemas.microsoft.com/office/spreadsheetml/2009/9/main" uri="{2946ED86-A175-432a-8AC1-64E0C546D7DE}">
          <x14:pivotField fillDownLabels="1"/>
        </ext>
      </extLst>
    </pivotField>
    <pivotField compact="0" outline="0" showAll="0" defaultSubtotal="0">
      <items count="5">
        <item x="2"/>
        <item x="0"/>
        <item x="4"/>
        <item x="1"/>
        <item x="3"/>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8" outline="0" showAll="0" defaultSubtotal="0">
      <extLst>
        <ext xmlns:x14="http://schemas.microsoft.com/office/spreadsheetml/2009/9/main" uri="{2946ED86-A175-432a-8AC1-64E0C546D7DE}">
          <x14:pivotField fillDownLabels="1"/>
        </ext>
      </extLst>
    </pivotField>
    <pivotField compact="0" numFmtId="8"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axis="axisRow"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34"/>
    <field x="33"/>
  </rowFields>
  <rowItems count="11">
    <i>
      <x v="1"/>
      <x v="5"/>
    </i>
    <i r="1">
      <x v="6"/>
    </i>
    <i r="1">
      <x v="7"/>
    </i>
    <i r="1">
      <x v="8"/>
    </i>
    <i r="1">
      <x v="9"/>
    </i>
    <i r="1">
      <x v="10"/>
    </i>
    <i r="1">
      <x v="11"/>
    </i>
    <i r="1">
      <x v="12"/>
    </i>
    <i>
      <x v="2"/>
      <x v="1"/>
    </i>
    <i r="1">
      <x v="2"/>
    </i>
    <i r="1">
      <x v="3"/>
    </i>
  </rowItems>
  <colFields count="1">
    <field x="-2"/>
  </colFields>
  <colItems count="8">
    <i>
      <x/>
    </i>
    <i i="1">
      <x v="1"/>
    </i>
    <i i="2">
      <x v="2"/>
    </i>
    <i i="3">
      <x v="3"/>
    </i>
    <i i="4">
      <x v="4"/>
    </i>
    <i i="5">
      <x v="5"/>
    </i>
    <i i="6">
      <x v="6"/>
    </i>
    <i i="7">
      <x v="7"/>
    </i>
  </colItems>
  <dataFields count="8">
    <dataField name="Count of Campaign_ID" fld="0" subtotal="count" baseField="0" baseItem="0"/>
    <dataField name="Impressions " fld="5" baseField="33" baseItem="1" numFmtId="3"/>
    <dataField name="Clicks " fld="6" baseField="33" baseItem="1" numFmtId="3"/>
    <dataField name="Conversions " fld="7" baseField="33" baseItem="1" numFmtId="3"/>
    <dataField name="Total_Spend " fld="8" baseField="33" baseItem="1"/>
    <dataField name="Revenue_Generated " fld="9" baseField="33" baseItem="1"/>
    <dataField name="CVR  " fld="31" baseField="31" baseItem="0" numFmtId="2"/>
    <dataField name="ROAS  " fld="32" baseField="31" baseItem="0"/>
  </dataFields>
  <formats count="15">
    <format dxfId="2217">
      <pivotArea type="all" dataOnly="0" outline="0" fieldPosition="0"/>
    </format>
    <format dxfId="2216">
      <pivotArea outline="0" collapsedLevelsAreSubtotals="1" fieldPosition="0"/>
    </format>
    <format dxfId="2215">
      <pivotArea dataOnly="0" labelOnly="1" grandRow="1" outline="0" fieldPosition="0"/>
    </format>
    <format dxfId="2214">
      <pivotArea dataOnly="0" labelOnly="1" outline="0" fieldPosition="0">
        <references count="1">
          <reference field="4294967294" count="5">
            <x v="1"/>
            <x v="2"/>
            <x v="3"/>
            <x v="4"/>
            <x v="5"/>
          </reference>
        </references>
      </pivotArea>
    </format>
    <format dxfId="2213">
      <pivotArea type="all" dataOnly="0" outline="0" fieldPosition="0"/>
    </format>
    <format dxfId="2212">
      <pivotArea outline="0" collapsedLevelsAreSubtotals="1" fieldPosition="0"/>
    </format>
    <format dxfId="2211">
      <pivotArea dataOnly="0" labelOnly="1" grandRow="1" outline="0" fieldPosition="0"/>
    </format>
    <format dxfId="2210">
      <pivotArea dataOnly="0" labelOnly="1" outline="0" fieldPosition="0">
        <references count="1">
          <reference field="4294967294" count="5">
            <x v="1"/>
            <x v="2"/>
            <x v="3"/>
            <x v="4"/>
            <x v="5"/>
          </reference>
        </references>
      </pivotArea>
    </format>
    <format dxfId="2209">
      <pivotArea outline="0" fieldPosition="0">
        <references count="1">
          <reference field="4294967294" count="1">
            <x v="1"/>
          </reference>
        </references>
      </pivotArea>
    </format>
    <format dxfId="2208">
      <pivotArea outline="0" fieldPosition="0">
        <references count="1">
          <reference field="4294967294" count="1">
            <x v="2"/>
          </reference>
        </references>
      </pivotArea>
    </format>
    <format dxfId="2207">
      <pivotArea outline="0" fieldPosition="0">
        <references count="1">
          <reference field="4294967294" count="1">
            <x v="3"/>
          </reference>
        </references>
      </pivotArea>
    </format>
    <format dxfId="2206">
      <pivotArea dataOnly="0" outline="0" fieldPosition="0">
        <references count="1">
          <reference field="4294967294" count="1">
            <x v="4"/>
          </reference>
        </references>
      </pivotArea>
    </format>
    <format dxfId="2205">
      <pivotArea dataOnly="0" outline="0" fieldPosition="0">
        <references count="1">
          <reference field="4294967294" count="1">
            <x v="5"/>
          </reference>
        </references>
      </pivotArea>
    </format>
    <format dxfId="2204">
      <pivotArea dataOnly="0" outline="0" fieldPosition="0">
        <references count="1">
          <reference field="4294967294" count="1">
            <x v="6"/>
          </reference>
        </references>
      </pivotArea>
    </format>
    <format dxfId="2203">
      <pivotArea dataOnly="0" outline="0" fieldPosition="0">
        <references count="1">
          <reference field="4294967294"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Channel" xr10:uid="{3AF16F5B-753F-47D4-82DD-A6A460CBCFB7}" sourceName="Marketing_Channel">
  <pivotTables>
    <pivotTable tabId="3" name="PivotTable2"/>
    <pivotTable tabId="3" name="Age_group analysis"/>
    <pivotTable tabId="3" name="Best Channel based on groups"/>
    <pivotTable tabId="3" name="campaign performance across channels"/>
    <pivotTable tabId="3" name="Campaign Performance Overview:"/>
    <pivotTable tabId="3" name="Channel Performance Breakdown"/>
    <pivotTable tabId="3" name="conversions and revenue by age"/>
    <pivotTable tabId="3" name="conversions and revenue by gender"/>
    <pivotTable tabId="3" name="conversions and revenue by location"/>
    <pivotTable tabId="3" name="Gender Analysis"/>
    <pivotTable tabId="3" name="Location Analysis"/>
    <pivotTable tabId="3" name="PivotTable1"/>
    <pivotTable tabId="3" name="Average of CTR"/>
    <pivotTable tabId="3" name="Average of ROAS"/>
    <pivotTable tabId="3" name="Clicks"/>
    <pivotTable tabId="3" name="Conversions "/>
    <pivotTable tabId="3" name="Impressions "/>
    <pivotTable tabId="3" name="Revenue_Generated "/>
    <pivotTable tabId="3" name="Total_Spend "/>
  </pivotTables>
  <data>
    <tabular pivotCacheId="18033621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A7DA833-7E22-4A77-ACEF-4D3A6A8F1272}" sourceName="Location">
  <pivotTables>
    <pivotTable tabId="3" name="PivotTable2"/>
    <pivotTable tabId="3" name="Age_group analysis"/>
    <pivotTable tabId="3" name="Best Channel based on groups"/>
    <pivotTable tabId="3" name="campaign performance across channels"/>
    <pivotTable tabId="3" name="Campaign Performance Overview:"/>
    <pivotTable tabId="3" name="Channel Performance Breakdown"/>
    <pivotTable tabId="3" name="conversions and revenue by age"/>
    <pivotTable tabId="3" name="conversions and revenue by gender"/>
    <pivotTable tabId="3" name="conversions and revenue by location"/>
    <pivotTable tabId="3" name="Gender Analysis"/>
    <pivotTable tabId="3" name="Location Analysis"/>
    <pivotTable tabId="3" name="PivotTable1"/>
    <pivotTable tabId="3" name="Average of CTR"/>
    <pivotTable tabId="3" name="Average of ROAS"/>
    <pivotTable tabId="3" name="Clicks"/>
    <pivotTable tabId="3" name="Conversions "/>
    <pivotTable tabId="3" name="Impressions "/>
    <pivotTable tabId="3" name="Revenue_Generated "/>
    <pivotTable tabId="3" name="Total_Spend "/>
  </pivotTables>
  <data>
    <tabular pivotCacheId="180336217">
      <items count="5">
        <i x="2" s="1"/>
        <i x="0"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10007EF-821E-4FD6-BE53-8A7EAAE44027}" sourceName="Age_Group">
  <pivotTables>
    <pivotTable tabId="3" name="PivotTable2"/>
    <pivotTable tabId="3" name="Age_group analysis"/>
    <pivotTable tabId="3" name="Best Channel based on groups"/>
    <pivotTable tabId="3" name="campaign performance across channels"/>
    <pivotTable tabId="3" name="Campaign Performance Overview:"/>
    <pivotTable tabId="3" name="Channel Performance Breakdown"/>
    <pivotTable tabId="3" name="conversions and revenue by age"/>
    <pivotTable tabId="3" name="conversions and revenue by gender"/>
    <pivotTable tabId="3" name="conversions and revenue by location"/>
    <pivotTable tabId="3" name="Gender Analysis"/>
    <pivotTable tabId="3" name="Location Analysis"/>
    <pivotTable tabId="3" name="PivotTable1"/>
    <pivotTable tabId="3" name="Average of CTR"/>
    <pivotTable tabId="3" name="Average of ROAS"/>
    <pivotTable tabId="3" name="Clicks"/>
    <pivotTable tabId="3" name="Conversions "/>
    <pivotTable tabId="3" name="Impressions "/>
    <pivotTable tabId="3" name="Revenue_Generated "/>
    <pivotTable tabId="3" name="Total_Spend "/>
  </pivotTables>
  <data>
    <tabular pivotCacheId="180336217">
      <items count="5">
        <i x="2" s="1"/>
        <i x="0"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41801CB-0BA8-4C24-9A1D-3EC7CA774F06}" sourceName="Gender">
  <pivotTables>
    <pivotTable tabId="3" name="PivotTable2"/>
    <pivotTable tabId="3" name="Age_group analysis"/>
    <pivotTable tabId="3" name="Best Channel based on groups"/>
    <pivotTable tabId="3" name="campaign performance across channels"/>
    <pivotTable tabId="3" name="Campaign Performance Overview:"/>
    <pivotTable tabId="3" name="Channel Performance Breakdown"/>
    <pivotTable tabId="3" name="conversions and revenue by age"/>
    <pivotTable tabId="3" name="conversions and revenue by gender"/>
    <pivotTable tabId="3" name="conversions and revenue by location"/>
    <pivotTable tabId="3" name="Gender Analysis"/>
    <pivotTable tabId="3" name="Location Analysis"/>
    <pivotTable tabId="3" name="PivotTable1"/>
    <pivotTable tabId="3" name="Average of CTR"/>
    <pivotTable tabId="3" name="Average of ROAS"/>
    <pivotTable tabId="3" name="Clicks"/>
    <pivotTable tabId="3" name="Conversions "/>
    <pivotTable tabId="3" name="Impressions "/>
    <pivotTable tabId="3" name="Revenue_Generated "/>
    <pivotTable tabId="3" name="Total_Spend "/>
  </pivotTables>
  <data>
    <tabular pivotCacheId="18033621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ing_Channel" xr10:uid="{AAA0C3B1-5BE8-4F4F-BC2D-0FEC0DF65997}" cache="Slicer_Marketing_Channel" caption="Marketing_Channel" rowHeight="245835"/>
  <slicer name="Location" xr10:uid="{17B8095D-B729-423F-A869-6E2EF549F735}" cache="Slicer_Location" caption="Location" rowHeight="245835"/>
  <slicer name="Age_Group" xr10:uid="{BDD84754-135B-4DD7-B43A-EA04D5D73041}" cache="Slicer_Age_Group" caption="Age_Group" rowHeight="245835"/>
  <slicer name="Gender" xr10:uid="{E287CDCC-1556-4B52-990E-B6EE79172654}" cache="Slicer_Gender" caption="Gender"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2001" totalsRowShown="0">
  <autoFilter ref="A1:S2001" xr:uid="{00000000-0009-0000-0100-000001000000}"/>
  <tableColumns count="19">
    <tableColumn id="1" xr3:uid="{00000000-0010-0000-0000-000001000000}" name="Campaign_ID" dataDxfId="2235"/>
    <tableColumn id="2" xr3:uid="{00000000-0010-0000-0000-000002000000}" name="Campaign_Name" dataDxfId="2234"/>
    <tableColumn id="3" xr3:uid="{00000000-0010-0000-0000-000003000000}" name="Marketing_Channel" dataDxfId="2233"/>
    <tableColumn id="4" xr3:uid="{00000000-0010-0000-0000-000004000000}" name="Start_Date"/>
    <tableColumn id="5" xr3:uid="{00000000-0010-0000-0000-000005000000}" name="End_Date" dataDxfId="2232"/>
    <tableColumn id="6" xr3:uid="{00000000-0010-0000-0000-000006000000}" name="Impressions" dataDxfId="2231"/>
    <tableColumn id="7" xr3:uid="{00000000-0010-0000-0000-000007000000}" name="Clicks" dataDxfId="2230"/>
    <tableColumn id="8" xr3:uid="{00000000-0010-0000-0000-000008000000}" name="Conversions" dataDxfId="2229"/>
    <tableColumn id="9" xr3:uid="{00000000-0010-0000-0000-000009000000}" name="Total_Spend" dataDxfId="2228"/>
    <tableColumn id="10" xr3:uid="{00000000-0010-0000-0000-00000A000000}" name="Revenue_Generated" dataDxfId="2227"/>
    <tableColumn id="11" xr3:uid="{00000000-0010-0000-0000-00000B000000}" name="Location" dataDxfId="2226"/>
    <tableColumn id="12" xr3:uid="{00000000-0010-0000-0000-00000C000000}" name="Age_Group" dataDxfId="2225"/>
    <tableColumn id="13" xr3:uid="{00000000-0010-0000-0000-00000D000000}" name="Gender" dataDxfId="2224"/>
    <tableColumn id="19" xr3:uid="{00000000-0010-0000-0000-000013000000}" name="CTR" dataDxfId="2223">
      <calculatedColumnFormula>G2/F2</calculatedColumnFormula>
    </tableColumn>
    <tableColumn id="14" xr3:uid="{00000000-0010-0000-0000-00000E000000}" name="CVR" dataDxfId="2222">
      <calculatedColumnFormula>I2/H2</calculatedColumnFormula>
    </tableColumn>
    <tableColumn id="15" xr3:uid="{00000000-0010-0000-0000-00000F000000}" name="CPC" dataDxfId="2221">
      <calculatedColumnFormula>J2/H2</calculatedColumnFormula>
    </tableColumn>
    <tableColumn id="16" xr3:uid="{00000000-0010-0000-0000-000010000000}" name="CPA" dataDxfId="2220">
      <calculatedColumnFormula>J2/I2</calculatedColumnFormula>
    </tableColumn>
    <tableColumn id="17" xr3:uid="{00000000-0010-0000-0000-000011000000}" name="ROI" dataDxfId="2219">
      <calculatedColumnFormula>(K2-J2)/J2</calculatedColumnFormula>
    </tableColumn>
    <tableColumn id="18" xr3:uid="{00000000-0010-0000-0000-000012000000}" name="ROAS" dataDxfId="2218">
      <calculatedColumnFormula>K2/J2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001"/>
  <sheetViews>
    <sheetView topLeftCell="A2" workbookViewId="0">
      <selection activeCell="C9" sqref="C9"/>
    </sheetView>
  </sheetViews>
  <sheetFormatPr defaultColWidth="9" defaultRowHeight="14.6"/>
  <cols>
    <col min="1" max="1" width="12.84375" customWidth="1"/>
    <col min="2" max="2" width="16.69140625" customWidth="1"/>
    <col min="3" max="3" width="19.921875" customWidth="1"/>
    <col min="4" max="4" width="10.84375" style="8" customWidth="1"/>
    <col min="5" max="5" width="10.84375" customWidth="1"/>
    <col min="6" max="6" width="11.61328125" style="9" customWidth="1"/>
    <col min="7" max="7" width="9.53515625" style="9" customWidth="1"/>
    <col min="8" max="8" width="11.84375" style="9" customWidth="1"/>
    <col min="9" max="9" width="12" customWidth="1"/>
    <col min="10" max="10" width="19.69140625" customWidth="1"/>
    <col min="11" max="11" width="11.84375" customWidth="1"/>
    <col min="12" max="12" width="11" customWidth="1"/>
    <col min="13" max="13" width="7.69140625" customWidth="1"/>
    <col min="14" max="14" width="12.765625" style="10"/>
    <col min="15" max="15" width="12.765625" style="11"/>
    <col min="16" max="16" width="12.765625" style="1"/>
    <col min="17" max="17" width="12.765625" style="12"/>
    <col min="18" max="18" width="12.765625" style="10"/>
    <col min="20" max="20" width="22.84375"/>
    <col min="21" max="26" width="26.4609375"/>
    <col min="27" max="2018" width="6.765625"/>
    <col min="2019" max="2019" width="11.23046875"/>
    <col min="2020" max="2020" width="6.921875"/>
    <col min="2021" max="2021" width="9.53515625"/>
    <col min="2022" max="2022" width="6.921875"/>
    <col min="2023" max="2023" width="9.53515625"/>
    <col min="2024" max="2024" width="6.921875"/>
    <col min="2025" max="2025" width="9.53515625"/>
    <col min="2026" max="2026" width="6.921875"/>
    <col min="2027" max="2027" width="9.53515625"/>
    <col min="2028" max="2028" width="6.921875"/>
    <col min="2029" max="2029" width="9.53515625"/>
    <col min="2030" max="2030" width="6.921875"/>
    <col min="2031" max="2031" width="9.53515625"/>
    <col min="2032" max="2032" width="6.921875"/>
    <col min="2033" max="2033" width="9.53515625"/>
    <col min="2034" max="2034" width="6.921875"/>
    <col min="2035" max="2035" width="9.53515625"/>
    <col min="2036" max="2036" width="6.921875"/>
    <col min="2037" max="2037" width="9.53515625"/>
    <col min="2038" max="2038" width="6.921875"/>
    <col min="2039" max="2039" width="9.53515625"/>
    <col min="2040" max="2040" width="6.921875"/>
    <col min="2041" max="2041" width="9.53515625"/>
    <col min="2042" max="2042" width="6.921875"/>
    <col min="2043" max="2043" width="9.53515625"/>
    <col min="2044" max="2044" width="6.921875"/>
    <col min="2045" max="2045" width="9.53515625"/>
    <col min="2046" max="2046" width="6.921875"/>
    <col min="2047" max="2047" width="9.53515625"/>
    <col min="2048" max="2048" width="6.921875"/>
    <col min="2049" max="2049" width="9.53515625"/>
    <col min="2050" max="2050" width="6.921875"/>
    <col min="2051" max="2051" width="9.53515625"/>
    <col min="2052" max="2052" width="6.921875"/>
    <col min="2053" max="2053" width="9.53515625"/>
    <col min="2054" max="2054" width="6.921875"/>
    <col min="2055" max="2055" width="9.53515625"/>
    <col min="2056" max="2056" width="6.921875"/>
    <col min="2057" max="2057" width="9.53515625"/>
    <col min="2058" max="2058" width="6.921875"/>
    <col min="2059" max="2059" width="9.53515625"/>
    <col min="2060" max="2060" width="6.921875"/>
    <col min="2061" max="2061" width="9.53515625"/>
    <col min="2062" max="2062" width="6.921875"/>
    <col min="2063" max="2063" width="9.53515625"/>
    <col min="2064" max="2064" width="6.921875"/>
    <col min="2065" max="2065" width="9.53515625"/>
    <col min="2066" max="2066" width="6.921875"/>
    <col min="2067" max="2067" width="9.53515625"/>
    <col min="2068" max="2068" width="6.921875"/>
    <col min="2069" max="2069" width="9.53515625"/>
    <col min="2070" max="2070" width="6.921875"/>
    <col min="2071" max="2071" width="9.53515625"/>
    <col min="2072" max="2072" width="6.921875"/>
    <col min="2073" max="2073" width="9.53515625"/>
    <col min="2074" max="2074" width="6.921875"/>
    <col min="2075" max="2075" width="9.53515625"/>
    <col min="2076" max="2076" width="6.921875"/>
    <col min="2077" max="2077" width="9.53515625"/>
    <col min="2078" max="2078" width="6.921875"/>
    <col min="2079" max="2079" width="9.53515625"/>
    <col min="2080" max="2080" width="6.921875"/>
    <col min="2081" max="2081" width="9.53515625"/>
    <col min="2082" max="2082" width="6.921875"/>
    <col min="2083" max="2083" width="9.53515625"/>
    <col min="2084" max="2084" width="6.921875"/>
    <col min="2085" max="2085" width="9.53515625"/>
    <col min="2086" max="2086" width="6.921875"/>
    <col min="2087" max="2087" width="9.53515625"/>
    <col min="2088" max="2088" width="6.921875"/>
    <col min="2089" max="2089" width="9.53515625"/>
    <col min="2090" max="2090" width="7.921875"/>
    <col min="2091" max="2091" width="9.53515625"/>
    <col min="2092" max="2092" width="6.921875"/>
    <col min="2093" max="2093" width="9.53515625"/>
    <col min="2094" max="2094" width="6.921875"/>
    <col min="2095" max="2095" width="9.53515625"/>
    <col min="2096" max="2096" width="6.921875"/>
    <col min="2097" max="2097" width="9.53515625"/>
    <col min="2098" max="2098" width="6.921875"/>
    <col min="2099" max="2099" width="9.53515625"/>
    <col min="2100" max="2100" width="6.921875"/>
    <col min="2101" max="2101" width="9.53515625"/>
    <col min="2102" max="2102" width="6.921875"/>
    <col min="2103" max="2103" width="9.53515625"/>
    <col min="2104" max="2104" width="6.921875"/>
    <col min="2105" max="2105" width="9.53515625"/>
    <col min="2106" max="2106" width="6.921875"/>
    <col min="2107" max="2107" width="9.53515625"/>
    <col min="2108" max="2108" width="6.921875"/>
    <col min="2109" max="2109" width="9.53515625"/>
    <col min="2110" max="2110" width="6.921875"/>
    <col min="2111" max="2111" width="9.53515625"/>
    <col min="2112" max="2112" width="6.921875"/>
    <col min="2113" max="2113" width="9.53515625"/>
    <col min="2114" max="2114" width="6.921875"/>
    <col min="2115" max="2115" width="9.53515625"/>
    <col min="2116" max="2116" width="6.921875"/>
    <col min="2117" max="2117" width="9.53515625"/>
    <col min="2118" max="2118" width="6.921875"/>
    <col min="2119" max="2119" width="9.53515625"/>
    <col min="2120" max="2120" width="6.921875"/>
    <col min="2121" max="2121" width="9.53515625"/>
    <col min="2122" max="2122" width="6.921875"/>
    <col min="2123" max="2123" width="9.53515625"/>
    <col min="2124" max="2124" width="6.921875"/>
    <col min="2125" max="2125" width="9.53515625"/>
    <col min="2126" max="2126" width="6.921875"/>
    <col min="2127" max="2127" width="9.53515625"/>
    <col min="2128" max="2128" width="6.921875"/>
    <col min="2129" max="2129" width="9.53515625"/>
    <col min="2130" max="2130" width="6.921875"/>
    <col min="2131" max="2131" width="9.53515625"/>
    <col min="2132" max="2132" width="6.921875"/>
    <col min="2133" max="2133" width="9.53515625"/>
    <col min="2134" max="2134" width="6.921875"/>
    <col min="2135" max="2135" width="9.53515625"/>
    <col min="2136" max="2136" width="6.921875"/>
    <col min="2137" max="2137" width="9.53515625"/>
    <col min="2138" max="2138" width="6.921875"/>
    <col min="2139" max="2139" width="9.53515625"/>
    <col min="2140" max="2140" width="6.921875"/>
    <col min="2141" max="2141" width="9.53515625"/>
    <col min="2142" max="2142" width="6.921875"/>
    <col min="2143" max="2143" width="9.53515625"/>
    <col min="2144" max="2144" width="6.921875"/>
    <col min="2145" max="2145" width="9.53515625"/>
    <col min="2146" max="2146" width="6.921875"/>
    <col min="2147" max="2147" width="9.53515625"/>
    <col min="2148" max="2148" width="6.921875"/>
    <col min="2149" max="2149" width="9.53515625"/>
    <col min="2150" max="2150" width="6.921875"/>
    <col min="2151" max="2151" width="9.53515625"/>
    <col min="2152" max="2152" width="6.921875"/>
    <col min="2153" max="2153" width="9.53515625"/>
    <col min="2154" max="2154" width="6.921875"/>
    <col min="2155" max="2155" width="9.53515625"/>
    <col min="2156" max="2156" width="6.921875"/>
    <col min="2157" max="2157" width="9.53515625"/>
    <col min="2158" max="2158" width="6.921875"/>
    <col min="2159" max="2159" width="9.53515625"/>
    <col min="2160" max="2160" width="6.921875"/>
    <col min="2161" max="2161" width="9.53515625"/>
    <col min="2162" max="2162" width="6.921875"/>
    <col min="2163" max="2163" width="9.53515625"/>
    <col min="2164" max="2164" width="6.921875"/>
    <col min="2165" max="2165" width="9.53515625"/>
    <col min="2166" max="2166" width="6.921875"/>
    <col min="2167" max="2167" width="9.53515625"/>
    <col min="2168" max="2168" width="6.921875"/>
    <col min="2169" max="2169" width="9.53515625"/>
    <col min="2170" max="2170" width="6.921875"/>
    <col min="2171" max="2171" width="9.53515625"/>
    <col min="2172" max="2172" width="6.921875"/>
    <col min="2173" max="2173" width="9.53515625"/>
    <col min="2174" max="2174" width="6.921875"/>
    <col min="2175" max="2175" width="9.53515625"/>
    <col min="2176" max="2176" width="6.921875"/>
    <col min="2177" max="2177" width="9.53515625"/>
    <col min="2178" max="2178" width="6.921875"/>
    <col min="2179" max="2179" width="9.53515625"/>
    <col min="2180" max="2180" width="6.921875"/>
    <col min="2181" max="2181" width="9.53515625"/>
    <col min="2182" max="2182" width="6.921875"/>
    <col min="2183" max="2183" width="9.53515625"/>
    <col min="2184" max="2184" width="6.921875"/>
    <col min="2185" max="2185" width="9.53515625"/>
    <col min="2186" max="2186" width="6.921875"/>
    <col min="2187" max="2187" width="9.53515625"/>
    <col min="2188" max="2188" width="6.921875"/>
    <col min="2189" max="2189" width="9.53515625"/>
    <col min="2190" max="2190" width="6.921875"/>
    <col min="2191" max="2191" width="9.53515625"/>
    <col min="2192" max="2192" width="6.921875"/>
    <col min="2193" max="2193" width="9.53515625"/>
    <col min="2194" max="2194" width="6.921875"/>
    <col min="2195" max="2195" width="9.53515625"/>
    <col min="2196" max="2196" width="6.921875"/>
    <col min="2197" max="2197" width="9.53515625"/>
    <col min="2198" max="2198" width="6.921875"/>
    <col min="2199" max="2199" width="9.53515625"/>
    <col min="2200" max="2200" width="6.921875"/>
    <col min="2201" max="2201" width="9.53515625"/>
    <col min="2202" max="2202" width="6.921875"/>
    <col min="2203" max="2203" width="9.53515625"/>
    <col min="2204" max="2204" width="6.921875"/>
    <col min="2205" max="2205" width="9.53515625"/>
    <col min="2206" max="2206" width="6.921875"/>
    <col min="2207" max="2207" width="9.53515625"/>
    <col min="2208" max="2208" width="6.921875"/>
    <col min="2209" max="2209" width="9.53515625"/>
    <col min="2210" max="2210" width="6.921875"/>
    <col min="2211" max="2211" width="9.53515625"/>
    <col min="2212" max="2212" width="6.921875"/>
    <col min="2213" max="2213" width="9.53515625"/>
    <col min="2214" max="2214" width="6.921875"/>
    <col min="2215" max="2215" width="9.53515625"/>
    <col min="2216" max="2216" width="6.921875"/>
    <col min="2217" max="2217" width="9.53515625"/>
    <col min="2218" max="2218" width="6.921875"/>
    <col min="2219" max="2219" width="9.53515625"/>
    <col min="2220" max="2220" width="6.921875"/>
    <col min="2221" max="2221" width="9.53515625"/>
    <col min="2222" max="2222" width="6.921875"/>
    <col min="2223" max="2223" width="9.53515625"/>
    <col min="2224" max="2224" width="6.921875"/>
    <col min="2225" max="2225" width="9.53515625"/>
    <col min="2226" max="2226" width="6.921875"/>
    <col min="2227" max="2227" width="9.53515625"/>
    <col min="2228" max="2228" width="6.921875"/>
    <col min="2229" max="2229" width="9.53515625"/>
    <col min="2230" max="2230" width="6.921875"/>
    <col min="2231" max="2231" width="9.53515625"/>
    <col min="2232" max="2232" width="6.921875"/>
    <col min="2233" max="2233" width="9.53515625"/>
    <col min="2234" max="2234" width="6.921875"/>
    <col min="2235" max="2235" width="9.53515625"/>
    <col min="2236" max="2236" width="6.921875"/>
    <col min="2237" max="2237" width="9.53515625"/>
    <col min="2238" max="2238" width="6.921875"/>
    <col min="2239" max="2239" width="9.53515625"/>
    <col min="2240" max="2240" width="6.921875"/>
    <col min="2241" max="2241" width="9.53515625"/>
    <col min="2242" max="2242" width="6.921875"/>
    <col min="2243" max="2243" width="9.53515625"/>
    <col min="2244" max="2244" width="6.921875"/>
    <col min="2245" max="2245" width="9.53515625"/>
    <col min="2246" max="2246" width="6.921875"/>
    <col min="2247" max="2247" width="9.53515625"/>
    <col min="2248" max="2248" width="6.921875"/>
    <col min="2249" max="2249" width="9.53515625"/>
    <col min="2250" max="2250" width="6.921875"/>
    <col min="2251" max="2251" width="9.53515625"/>
    <col min="2252" max="2252" width="6.921875"/>
    <col min="2253" max="2253" width="9.53515625"/>
    <col min="2254" max="2254" width="6.921875"/>
    <col min="2255" max="2255" width="9.53515625"/>
    <col min="2256" max="2256" width="6.921875"/>
    <col min="2257" max="2257" width="9.53515625"/>
    <col min="2258" max="2258" width="6.921875"/>
    <col min="2259" max="2259" width="9.53515625"/>
    <col min="2260" max="2260" width="6.921875"/>
    <col min="2261" max="2261" width="9.53515625"/>
    <col min="2262" max="2262" width="6.921875"/>
    <col min="2263" max="2263" width="9.53515625"/>
    <col min="2264" max="2264" width="6.921875"/>
    <col min="2265" max="2265" width="9.53515625"/>
    <col min="2266" max="2266" width="6.921875"/>
    <col min="2267" max="2267" width="9.53515625"/>
    <col min="2268" max="2268" width="6.921875"/>
    <col min="2269" max="2269" width="9.53515625"/>
    <col min="2270" max="2270" width="6.921875"/>
    <col min="2271" max="2271" width="9.53515625"/>
    <col min="2272" max="2272" width="6.921875"/>
    <col min="2273" max="2273" width="9.53515625"/>
    <col min="2274" max="2274" width="6.921875"/>
    <col min="2275" max="2275" width="9.53515625"/>
    <col min="2276" max="2276" width="6.921875"/>
    <col min="2277" max="2277" width="9.53515625"/>
    <col min="2278" max="2278" width="6.921875"/>
    <col min="2279" max="2279" width="9.53515625"/>
    <col min="2280" max="2280" width="6.921875"/>
    <col min="2281" max="2281" width="9.53515625"/>
    <col min="2282" max="2282" width="6.921875"/>
    <col min="2283" max="2283" width="9.53515625"/>
    <col min="2284" max="2284" width="6.921875"/>
    <col min="2285" max="2285" width="9.53515625"/>
    <col min="2286" max="2286" width="6.921875"/>
    <col min="2287" max="2287" width="9.53515625"/>
    <col min="2288" max="2288" width="6.921875"/>
    <col min="2289" max="2289" width="9.53515625"/>
    <col min="2290" max="2290" width="6.921875"/>
    <col min="2291" max="2291" width="9.53515625"/>
    <col min="2292" max="2292" width="6.921875"/>
    <col min="2293" max="2293" width="9.53515625"/>
    <col min="2294" max="2294" width="6.921875"/>
    <col min="2295" max="2295" width="9.53515625"/>
    <col min="2296" max="2296" width="6.921875"/>
    <col min="2297" max="2297" width="9.53515625"/>
    <col min="2298" max="2298" width="6.921875"/>
    <col min="2299" max="2299" width="9.53515625"/>
    <col min="2300" max="2300" width="6.921875"/>
    <col min="2301" max="2301" width="9.53515625"/>
    <col min="2302" max="2302" width="6.921875"/>
    <col min="2303" max="2303" width="9.53515625"/>
    <col min="2304" max="2304" width="6.921875"/>
    <col min="2305" max="2305" width="9.53515625"/>
    <col min="2306" max="2306" width="6.921875"/>
    <col min="2307" max="2307" width="9.53515625"/>
    <col min="2308" max="2308" width="6.921875"/>
    <col min="2309" max="2309" width="9.53515625"/>
    <col min="2310" max="2310" width="6.921875"/>
    <col min="2311" max="2311" width="9.53515625"/>
    <col min="2312" max="2312" width="6.921875"/>
    <col min="2313" max="2313" width="9.53515625"/>
    <col min="2314" max="2314" width="6.921875"/>
    <col min="2315" max="2315" width="9.53515625"/>
    <col min="2316" max="2316" width="6.921875"/>
    <col min="2317" max="2317" width="9.53515625"/>
    <col min="2318" max="2318" width="6.921875"/>
    <col min="2319" max="2319" width="9.53515625"/>
    <col min="2320" max="2320" width="6.921875"/>
    <col min="2321" max="2321" width="9.53515625"/>
    <col min="2322" max="2322" width="6.921875"/>
    <col min="2323" max="2323" width="9.53515625"/>
    <col min="2324" max="2324" width="6.921875"/>
    <col min="2325" max="2325" width="9.53515625"/>
    <col min="2326" max="2326" width="6.921875"/>
    <col min="2327" max="2327" width="9.53515625"/>
    <col min="2328" max="2328" width="6.921875"/>
    <col min="2329" max="2329" width="9.53515625"/>
    <col min="2330" max="2330" width="6.921875"/>
    <col min="2331" max="2331" width="9.53515625"/>
    <col min="2332" max="2332" width="6.921875"/>
    <col min="2333" max="2333" width="9.53515625"/>
    <col min="2334" max="2334" width="6.921875"/>
    <col min="2335" max="2335" width="9.53515625"/>
    <col min="2336" max="2336" width="6.921875"/>
    <col min="2337" max="2337" width="9.53515625"/>
    <col min="2338" max="2338" width="6.921875"/>
    <col min="2339" max="2339" width="9.53515625"/>
    <col min="2340" max="2340" width="6.921875"/>
    <col min="2341" max="2341" width="9.53515625"/>
    <col min="2342" max="2342" width="6.921875"/>
    <col min="2343" max="2343" width="9.53515625"/>
    <col min="2344" max="2344" width="6.921875"/>
    <col min="2345" max="2345" width="9.53515625"/>
    <col min="2346" max="2346" width="6.921875"/>
    <col min="2347" max="2347" width="9.53515625"/>
    <col min="2348" max="2348" width="6.921875"/>
    <col min="2349" max="2349" width="9.53515625"/>
    <col min="2350" max="2350" width="6.921875"/>
    <col min="2351" max="2351" width="9.53515625"/>
    <col min="2352" max="2352" width="6.921875"/>
    <col min="2353" max="2353" width="9.53515625"/>
    <col min="2354" max="2354" width="6.921875"/>
    <col min="2355" max="2355" width="9.53515625"/>
    <col min="2356" max="2356" width="6.921875"/>
    <col min="2357" max="2357" width="9.53515625"/>
    <col min="2358" max="2358" width="6.921875"/>
    <col min="2359" max="2359" width="9.53515625"/>
    <col min="2360" max="2360" width="6.921875"/>
    <col min="2361" max="2361" width="9.53515625"/>
    <col min="2362" max="2362" width="6.921875"/>
    <col min="2363" max="2363" width="9.53515625"/>
    <col min="2364" max="2364" width="6.921875"/>
    <col min="2365" max="2365" width="9.53515625"/>
    <col min="2366" max="2366" width="6.921875"/>
    <col min="2367" max="2367" width="9.53515625"/>
    <col min="2368" max="2368" width="6.921875"/>
    <col min="2369" max="2369" width="9.53515625"/>
    <col min="2370" max="2370" width="6.921875"/>
    <col min="2371" max="2371" width="9.53515625"/>
    <col min="2372" max="2372" width="6.921875"/>
    <col min="2373" max="2373" width="9.53515625"/>
    <col min="2374" max="2374" width="6.921875"/>
    <col min="2375" max="2375" width="9.53515625"/>
    <col min="2376" max="2376" width="6.921875"/>
    <col min="2377" max="2377" width="9.53515625"/>
    <col min="2378" max="2378" width="6.921875"/>
    <col min="2379" max="2379" width="9.53515625"/>
    <col min="2380" max="2380" width="6.921875"/>
    <col min="2381" max="2381" width="9.53515625"/>
    <col min="2382" max="2382" width="6.921875"/>
    <col min="2383" max="2383" width="9.53515625"/>
    <col min="2384" max="2384" width="6.921875"/>
    <col min="2385" max="2385" width="9.53515625"/>
    <col min="2386" max="2386" width="6.921875"/>
    <col min="2387" max="2387" width="9.53515625"/>
    <col min="2388" max="2388" width="6.921875"/>
    <col min="2389" max="2389" width="9.53515625"/>
    <col min="2390" max="2390" width="6.921875"/>
    <col min="2391" max="2391" width="9.53515625"/>
    <col min="2392" max="2392" width="6.921875"/>
    <col min="2393" max="2393" width="9.53515625"/>
    <col min="2394" max="2394" width="7.921875"/>
    <col min="2395" max="2395" width="9.53515625"/>
    <col min="2396" max="2396" width="6.921875"/>
    <col min="2397" max="2397" width="9.53515625"/>
    <col min="2398" max="2398" width="6.921875"/>
    <col min="2399" max="2399" width="9.53515625"/>
    <col min="2400" max="2400" width="6.921875"/>
    <col min="2401" max="2401" width="9.53515625"/>
    <col min="2402" max="2402" width="6.921875"/>
    <col min="2403" max="2403" width="9.53515625"/>
    <col min="2404" max="2404" width="6.921875"/>
    <col min="2405" max="2405" width="9.53515625"/>
    <col min="2406" max="2406" width="6.921875"/>
    <col min="2407" max="2407" width="9.53515625"/>
    <col min="2408" max="2408" width="6.921875"/>
    <col min="2409" max="2409" width="9.53515625"/>
    <col min="2410" max="2410" width="6.921875"/>
    <col min="2411" max="2411" width="9.53515625"/>
    <col min="2412" max="2412" width="6.921875"/>
    <col min="2413" max="2413" width="9.53515625"/>
    <col min="2414" max="2414" width="6.921875"/>
    <col min="2415" max="2415" width="9.53515625"/>
    <col min="2416" max="2416" width="6.921875"/>
    <col min="2417" max="2417" width="9.53515625"/>
    <col min="2418" max="2418" width="6.921875"/>
    <col min="2419" max="2419" width="9.53515625"/>
    <col min="2420" max="2420" width="7.921875"/>
    <col min="2421" max="2421" width="9.53515625"/>
    <col min="2422" max="2422" width="6.921875"/>
    <col min="2423" max="2423" width="9.53515625"/>
    <col min="2424" max="2424" width="6.921875"/>
    <col min="2425" max="2425" width="9.53515625"/>
    <col min="2426" max="2426" width="6.921875"/>
    <col min="2427" max="2427" width="9.53515625"/>
    <col min="2428" max="2428" width="6.921875"/>
    <col min="2429" max="2429" width="9.53515625"/>
    <col min="2430" max="2430" width="6.921875"/>
    <col min="2431" max="2431" width="9.53515625"/>
    <col min="2432" max="2432" width="6.921875"/>
    <col min="2433" max="2433" width="9.53515625"/>
    <col min="2434" max="2434" width="6.921875"/>
    <col min="2435" max="2435" width="9.53515625"/>
    <col min="2436" max="2436" width="6.921875"/>
    <col min="2437" max="2437" width="9.53515625"/>
    <col min="2438" max="2438" width="6.921875"/>
    <col min="2439" max="2439" width="9.53515625"/>
    <col min="2440" max="2440" width="6.921875"/>
    <col min="2441" max="2441" width="9.53515625"/>
    <col min="2442" max="2442" width="6.921875"/>
    <col min="2443" max="2443" width="9.53515625"/>
    <col min="2444" max="2444" width="6.921875"/>
    <col min="2445" max="2445" width="9.53515625"/>
    <col min="2446" max="2446" width="6.921875"/>
    <col min="2447" max="2447" width="9.53515625"/>
    <col min="2448" max="2448" width="6.921875"/>
    <col min="2449" max="2449" width="9.53515625"/>
    <col min="2450" max="2450" width="6.921875"/>
    <col min="2451" max="2451" width="9.53515625"/>
    <col min="2452" max="2452" width="6.921875"/>
    <col min="2453" max="2453" width="9.53515625"/>
    <col min="2454" max="2454" width="6.921875"/>
    <col min="2455" max="2455" width="9.53515625"/>
    <col min="2456" max="2456" width="6.921875"/>
    <col min="2457" max="2457" width="9.53515625"/>
    <col min="2458" max="2458" width="6.921875"/>
    <col min="2459" max="2459" width="9.53515625"/>
    <col min="2460" max="2460" width="6.921875"/>
    <col min="2461" max="2461" width="9.53515625"/>
    <col min="2462" max="2462" width="6.921875"/>
    <col min="2463" max="2463" width="9.53515625"/>
    <col min="2464" max="2464" width="6.921875"/>
    <col min="2465" max="2465" width="9.53515625"/>
    <col min="2466" max="2466" width="6.921875"/>
    <col min="2467" max="2467" width="9.53515625"/>
    <col min="2468" max="2468" width="6.921875"/>
    <col min="2469" max="2469" width="9.53515625"/>
    <col min="2470" max="2470" width="6.921875"/>
    <col min="2471" max="2471" width="9.53515625"/>
    <col min="2472" max="2472" width="6.921875"/>
    <col min="2473" max="2473" width="9.53515625"/>
    <col min="2474" max="2474" width="6.921875"/>
    <col min="2475" max="2475" width="9.53515625"/>
    <col min="2476" max="2476" width="6.921875"/>
    <col min="2477" max="2477" width="9.53515625"/>
    <col min="2478" max="2478" width="6.921875"/>
    <col min="2479" max="2479" width="9.53515625"/>
    <col min="2480" max="2480" width="6.921875"/>
    <col min="2481" max="2481" width="9.53515625"/>
    <col min="2482" max="2482" width="6.921875"/>
    <col min="2483" max="2483" width="9.53515625"/>
    <col min="2484" max="2484" width="6.921875"/>
    <col min="2485" max="2485" width="9.53515625"/>
    <col min="2486" max="2486" width="6.921875"/>
    <col min="2487" max="2487" width="9.53515625"/>
    <col min="2488" max="2488" width="6.921875"/>
    <col min="2489" max="2489" width="9.53515625"/>
    <col min="2490" max="2490" width="6.921875"/>
    <col min="2491" max="2491" width="9.53515625"/>
    <col min="2492" max="2492" width="6.921875"/>
    <col min="2493" max="2493" width="9.53515625"/>
    <col min="2494" max="2494" width="6.921875"/>
    <col min="2495" max="2495" width="9.53515625"/>
    <col min="2496" max="2496" width="6.921875"/>
    <col min="2497" max="2497" width="9.53515625"/>
    <col min="2498" max="2498" width="6.921875"/>
    <col min="2499" max="2499" width="9.53515625"/>
    <col min="2500" max="2500" width="6.921875"/>
    <col min="2501" max="2501" width="9.53515625"/>
    <col min="2502" max="2502" width="6.921875"/>
    <col min="2503" max="2503" width="9.53515625"/>
    <col min="2504" max="2504" width="6.921875"/>
    <col min="2505" max="2505" width="9.53515625"/>
    <col min="2506" max="2506" width="6.921875"/>
    <col min="2507" max="2507" width="9.53515625"/>
    <col min="2508" max="2508" width="6.921875"/>
    <col min="2509" max="2509" width="9.53515625"/>
    <col min="2510" max="2510" width="6.921875"/>
    <col min="2511" max="2511" width="9.53515625"/>
    <col min="2512" max="2512" width="6.921875"/>
    <col min="2513" max="2513" width="9.53515625"/>
    <col min="2514" max="2514" width="6.921875"/>
    <col min="2515" max="2515" width="9.53515625"/>
    <col min="2516" max="2516" width="6.921875"/>
    <col min="2517" max="2517" width="9.53515625"/>
    <col min="2518" max="2518" width="6.921875"/>
    <col min="2519" max="2519" width="9.53515625"/>
    <col min="2520" max="2520" width="6.921875"/>
    <col min="2521" max="2521" width="9.53515625"/>
    <col min="2522" max="2522" width="6.921875"/>
    <col min="2523" max="2523" width="9.53515625"/>
    <col min="2524" max="2524" width="6.921875"/>
    <col min="2525" max="2525" width="9.53515625"/>
    <col min="2526" max="2526" width="6.921875"/>
    <col min="2527" max="2527" width="9.53515625"/>
    <col min="2528" max="2528" width="6.921875"/>
    <col min="2529" max="2529" width="9.53515625"/>
    <col min="2530" max="2530" width="6.921875"/>
    <col min="2531" max="2531" width="9.53515625"/>
    <col min="2532" max="2532" width="6.921875"/>
    <col min="2533" max="2533" width="9.53515625"/>
    <col min="2534" max="2534" width="6.921875"/>
    <col min="2535" max="2535" width="9.53515625"/>
    <col min="2536" max="2536" width="6.921875"/>
    <col min="2537" max="2537" width="9.53515625"/>
    <col min="2538" max="2538" width="6.921875"/>
    <col min="2539" max="2539" width="9.53515625"/>
    <col min="2540" max="2540" width="6.921875"/>
    <col min="2541" max="2541" width="9.53515625"/>
    <col min="2542" max="2542" width="6.921875"/>
    <col min="2543" max="2543" width="9.53515625"/>
    <col min="2544" max="2544" width="6.921875"/>
    <col min="2545" max="2545" width="9.53515625"/>
    <col min="2546" max="2546" width="6.921875"/>
    <col min="2547" max="2547" width="9.53515625"/>
    <col min="2548" max="2548" width="6.921875"/>
    <col min="2549" max="2549" width="9.53515625"/>
    <col min="2550" max="2550" width="6.921875"/>
    <col min="2551" max="2551" width="9.53515625"/>
    <col min="2552" max="2552" width="6.921875"/>
    <col min="2553" max="2553" width="9.53515625"/>
    <col min="2554" max="2554" width="6.921875"/>
    <col min="2555" max="2555" width="9.53515625"/>
    <col min="2556" max="2556" width="6.921875"/>
    <col min="2557" max="2557" width="9.53515625"/>
    <col min="2558" max="2558" width="6.921875"/>
    <col min="2559" max="2559" width="9.53515625"/>
    <col min="2560" max="2560" width="6.921875"/>
    <col min="2561" max="2561" width="9.53515625"/>
    <col min="2562" max="2562" width="6.921875"/>
    <col min="2563" max="2563" width="9.53515625"/>
    <col min="2564" max="2564" width="6.921875"/>
    <col min="2565" max="2565" width="9.53515625"/>
    <col min="2566" max="2566" width="6.921875"/>
    <col min="2567" max="2567" width="9.53515625"/>
    <col min="2568" max="2568" width="6.921875"/>
    <col min="2569" max="2569" width="9.53515625"/>
    <col min="2570" max="2570" width="6.921875"/>
    <col min="2571" max="2571" width="9.53515625"/>
    <col min="2572" max="2572" width="6.921875"/>
    <col min="2573" max="2573" width="9.53515625"/>
    <col min="2574" max="2574" width="6.921875"/>
    <col min="2575" max="2575" width="9.53515625"/>
    <col min="2576" max="2576" width="6.921875"/>
    <col min="2577" max="2577" width="9.53515625"/>
    <col min="2578" max="2578" width="6.921875"/>
    <col min="2579" max="2579" width="9.53515625"/>
    <col min="2580" max="2580" width="6.921875"/>
    <col min="2581" max="2581" width="9.53515625"/>
    <col min="2582" max="2582" width="6.921875"/>
    <col min="2583" max="2583" width="9.53515625"/>
    <col min="2584" max="2584" width="6.921875"/>
    <col min="2585" max="2585" width="9.53515625"/>
    <col min="2586" max="2586" width="6.921875"/>
    <col min="2587" max="2587" width="9.53515625"/>
    <col min="2588" max="2588" width="6.921875"/>
    <col min="2589" max="2589" width="9.53515625"/>
    <col min="2590" max="2590" width="6.921875"/>
    <col min="2591" max="2591" width="9.53515625"/>
    <col min="2592" max="2592" width="6.921875"/>
    <col min="2593" max="2593" width="9.53515625"/>
    <col min="2594" max="2594" width="6.921875"/>
    <col min="2595" max="2595" width="9.53515625"/>
    <col min="2596" max="2596" width="7.921875"/>
    <col min="2597" max="2597" width="9.53515625"/>
    <col min="2598" max="2598" width="6.921875"/>
    <col min="2599" max="2599" width="9.53515625"/>
    <col min="2600" max="2600" width="6.921875"/>
    <col min="2601" max="2601" width="9.53515625"/>
    <col min="2602" max="2602" width="6.921875"/>
    <col min="2603" max="2603" width="9.53515625"/>
    <col min="2604" max="2604" width="6.921875"/>
    <col min="2605" max="2605" width="9.53515625"/>
    <col min="2606" max="2606" width="6.921875"/>
    <col min="2607" max="2607" width="9.53515625"/>
    <col min="2608" max="2608" width="6.921875"/>
    <col min="2609" max="2609" width="9.53515625"/>
    <col min="2610" max="2610" width="6.921875"/>
    <col min="2611" max="2611" width="9.53515625"/>
    <col min="2612" max="2612" width="6.921875"/>
    <col min="2613" max="2613" width="9.53515625"/>
    <col min="2614" max="2614" width="6.921875"/>
    <col min="2615" max="2615" width="9.53515625"/>
    <col min="2616" max="2616" width="6.921875"/>
    <col min="2617" max="2617" width="9.53515625"/>
    <col min="2618" max="2618" width="6.921875"/>
    <col min="2619" max="2619" width="9.53515625"/>
    <col min="2620" max="2620" width="6.921875"/>
    <col min="2621" max="2621" width="9.53515625"/>
    <col min="2622" max="2622" width="6.921875"/>
    <col min="2623" max="2623" width="9.53515625"/>
    <col min="2624" max="2624" width="6.921875"/>
    <col min="2625" max="2625" width="9.53515625"/>
    <col min="2626" max="2626" width="6.921875"/>
    <col min="2627" max="2627" width="9.53515625"/>
    <col min="2628" max="2628" width="6.921875"/>
    <col min="2629" max="2629" width="9.53515625"/>
    <col min="2630" max="2630" width="6.921875"/>
    <col min="2631" max="2631" width="9.53515625"/>
    <col min="2632" max="2632" width="6.921875"/>
    <col min="2633" max="2633" width="9.53515625"/>
    <col min="2634" max="2634" width="6.921875"/>
    <col min="2635" max="2635" width="9.53515625"/>
    <col min="2636" max="2636" width="6.921875"/>
    <col min="2637" max="2637" width="9.53515625"/>
    <col min="2638" max="2638" width="6.921875"/>
    <col min="2639" max="2639" width="9.53515625"/>
    <col min="2640" max="2640" width="6.921875"/>
    <col min="2641" max="2641" width="9.53515625"/>
    <col min="2642" max="2642" width="6.921875"/>
    <col min="2643" max="2643" width="9.53515625"/>
    <col min="2644" max="2644" width="6.921875"/>
    <col min="2645" max="2645" width="9.53515625"/>
    <col min="2646" max="2646" width="6.921875"/>
    <col min="2647" max="2647" width="9.53515625"/>
    <col min="2648" max="2648" width="6.921875"/>
    <col min="2649" max="2649" width="9.53515625"/>
    <col min="2650" max="2650" width="6.921875"/>
    <col min="2651" max="2651" width="9.53515625"/>
    <col min="2652" max="2652" width="6.921875"/>
    <col min="2653" max="2653" width="9.53515625"/>
    <col min="2654" max="2654" width="6.921875"/>
    <col min="2655" max="2655" width="9.53515625"/>
    <col min="2656" max="2656" width="6.921875"/>
    <col min="2657" max="2657" width="9.53515625"/>
    <col min="2658" max="2658" width="6.921875"/>
    <col min="2659" max="2659" width="9.53515625"/>
    <col min="2660" max="2660" width="6.921875"/>
    <col min="2661" max="2661" width="9.53515625"/>
    <col min="2662" max="2662" width="6.921875"/>
    <col min="2663" max="2663" width="9.53515625"/>
    <col min="2664" max="2664" width="6.921875"/>
    <col min="2665" max="2665" width="9.53515625"/>
    <col min="2666" max="2666" width="6.921875"/>
    <col min="2667" max="2667" width="9.53515625"/>
    <col min="2668" max="2668" width="6.921875"/>
    <col min="2669" max="2669" width="9.53515625"/>
    <col min="2670" max="2670" width="6.921875"/>
    <col min="2671" max="2671" width="9.53515625"/>
    <col min="2672" max="2672" width="6.921875"/>
    <col min="2673" max="2673" width="9.53515625"/>
    <col min="2674" max="2674" width="6.921875"/>
    <col min="2675" max="2675" width="9.53515625"/>
    <col min="2676" max="2676" width="6.921875"/>
    <col min="2677" max="2677" width="9.53515625"/>
    <col min="2678" max="2678" width="6.921875"/>
    <col min="2679" max="2679" width="9.53515625"/>
    <col min="2680" max="2680" width="6.921875"/>
    <col min="2681" max="2681" width="9.53515625"/>
    <col min="2682" max="2682" width="6.921875"/>
    <col min="2683" max="2683" width="9.53515625"/>
    <col min="2684" max="2684" width="6.921875"/>
    <col min="2685" max="2685" width="9.53515625"/>
    <col min="2686" max="2686" width="6.921875"/>
    <col min="2687" max="2687" width="9.53515625"/>
    <col min="2688" max="2688" width="6.921875"/>
    <col min="2689" max="2689" width="9.53515625"/>
    <col min="2690" max="2690" width="6.921875"/>
    <col min="2691" max="2691" width="9.53515625"/>
    <col min="2692" max="2692" width="6.921875"/>
    <col min="2693" max="2693" width="9.53515625"/>
    <col min="2694" max="2694" width="6.921875"/>
    <col min="2695" max="2695" width="9.53515625"/>
    <col min="2696" max="2696" width="6.921875"/>
    <col min="2697" max="2697" width="9.53515625"/>
    <col min="2698" max="2698" width="6.921875"/>
    <col min="2699" max="2699" width="9.53515625"/>
    <col min="2700" max="2700" width="6.921875"/>
    <col min="2701" max="2701" width="9.53515625"/>
    <col min="2702" max="2702" width="6.921875"/>
    <col min="2703" max="2703" width="9.53515625"/>
    <col min="2704" max="2704" width="6.921875"/>
    <col min="2705" max="2705" width="9.53515625"/>
    <col min="2706" max="2706" width="6.921875"/>
    <col min="2707" max="2707" width="9.53515625"/>
    <col min="2708" max="2708" width="6.921875"/>
    <col min="2709" max="2709" width="9.53515625"/>
    <col min="2710" max="2710" width="6.921875"/>
    <col min="2711" max="2711" width="9.53515625"/>
    <col min="2712" max="2712" width="6.921875"/>
    <col min="2713" max="2713" width="9.53515625"/>
    <col min="2714" max="2714" width="6.921875"/>
    <col min="2715" max="2715" width="9.53515625"/>
    <col min="2716" max="2716" width="6.921875"/>
    <col min="2717" max="2717" width="9.53515625"/>
    <col min="2718" max="2718" width="6.921875"/>
    <col min="2719" max="2719" width="9.53515625"/>
    <col min="2720" max="2720" width="6.921875"/>
    <col min="2721" max="2721" width="9.53515625"/>
    <col min="2722" max="2722" width="6.921875"/>
    <col min="2723" max="2723" width="9.53515625"/>
    <col min="2724" max="2724" width="6.921875"/>
    <col min="2725" max="2725" width="9.53515625"/>
    <col min="2726" max="2726" width="6.921875"/>
    <col min="2727" max="2727" width="9.53515625"/>
    <col min="2728" max="2728" width="6.921875"/>
    <col min="2729" max="2729" width="9.53515625"/>
    <col min="2730" max="2730" width="6.921875"/>
    <col min="2731" max="2731" width="9.53515625"/>
    <col min="2732" max="2732" width="6.921875"/>
    <col min="2733" max="2733" width="9.53515625"/>
    <col min="2734" max="2734" width="6.921875"/>
    <col min="2735" max="2735" width="9.53515625"/>
    <col min="2736" max="2736" width="6.921875"/>
    <col min="2737" max="2737" width="9.53515625"/>
    <col min="2738" max="2738" width="6.921875"/>
    <col min="2739" max="2739" width="9.53515625"/>
    <col min="2740" max="2740" width="6.921875"/>
    <col min="2741" max="2741" width="9.53515625"/>
    <col min="2742" max="2742" width="6.921875"/>
    <col min="2743" max="2743" width="9.53515625"/>
    <col min="2744" max="2744" width="6.921875"/>
    <col min="2745" max="2745" width="9.53515625"/>
    <col min="2746" max="2746" width="6.921875"/>
    <col min="2747" max="2747" width="9.53515625"/>
    <col min="2748" max="2748" width="6.921875"/>
    <col min="2749" max="2749" width="9.53515625"/>
    <col min="2750" max="2750" width="6.921875"/>
    <col min="2751" max="2751" width="9.53515625"/>
    <col min="2752" max="2752" width="6.921875"/>
    <col min="2753" max="2753" width="9.53515625"/>
    <col min="2754" max="2754" width="6.921875"/>
    <col min="2755" max="2755" width="9.53515625"/>
    <col min="2756" max="2756" width="6.921875"/>
    <col min="2757" max="2757" width="9.53515625"/>
    <col min="2758" max="2758" width="6.921875"/>
    <col min="2759" max="2759" width="9.53515625"/>
    <col min="2760" max="2760" width="6.921875"/>
    <col min="2761" max="2761" width="9.53515625"/>
    <col min="2762" max="2762" width="6.921875"/>
    <col min="2763" max="2763" width="9.53515625"/>
    <col min="2764" max="2764" width="6.921875"/>
    <col min="2765" max="2765" width="9.53515625"/>
    <col min="2766" max="2766" width="6.921875"/>
    <col min="2767" max="2767" width="9.53515625"/>
    <col min="2768" max="2768" width="6.921875"/>
    <col min="2769" max="2769" width="9.53515625"/>
    <col min="2770" max="2770" width="6.921875"/>
    <col min="2771" max="2771" width="9.53515625"/>
    <col min="2772" max="2772" width="6.921875"/>
    <col min="2773" max="2773" width="9.53515625"/>
    <col min="2774" max="2774" width="6.921875"/>
    <col min="2775" max="2775" width="9.53515625"/>
    <col min="2776" max="2776" width="6.921875"/>
    <col min="2777" max="2777" width="9.53515625"/>
    <col min="2778" max="2778" width="6.921875"/>
    <col min="2779" max="2779" width="9.53515625"/>
    <col min="2780" max="2780" width="6.921875"/>
    <col min="2781" max="2781" width="9.53515625"/>
    <col min="2782" max="2782" width="6.921875"/>
    <col min="2783" max="2783" width="9.53515625"/>
    <col min="2784" max="2784" width="6.921875"/>
    <col min="2785" max="2785" width="9.53515625"/>
    <col min="2786" max="2786" width="6.921875"/>
    <col min="2787" max="2787" width="9.53515625"/>
    <col min="2788" max="2788" width="6.921875"/>
    <col min="2789" max="2789" width="9.53515625"/>
    <col min="2790" max="2790" width="6.921875"/>
    <col min="2791" max="2791" width="9.53515625"/>
    <col min="2792" max="2792" width="6.921875"/>
    <col min="2793" max="2793" width="9.53515625"/>
    <col min="2794" max="2794" width="6.921875"/>
    <col min="2795" max="2795" width="9.53515625"/>
    <col min="2796" max="2796" width="6.921875"/>
    <col min="2797" max="2797" width="9.53515625"/>
    <col min="2798" max="2798" width="6.921875"/>
    <col min="2799" max="2799" width="9.53515625"/>
    <col min="2800" max="2800" width="6.921875"/>
    <col min="2801" max="2801" width="9.53515625"/>
    <col min="2802" max="2802" width="6.921875"/>
    <col min="2803" max="2803" width="9.53515625"/>
    <col min="2804" max="2804" width="6.921875"/>
    <col min="2805" max="2805" width="9.53515625"/>
    <col min="2806" max="2806" width="7.921875"/>
    <col min="2807" max="2807" width="9.53515625"/>
    <col min="2808" max="2808" width="6.921875"/>
    <col min="2809" max="2809" width="9.53515625"/>
    <col min="2810" max="2810" width="6.921875"/>
    <col min="2811" max="2811" width="9.53515625"/>
    <col min="2812" max="2812" width="6.921875"/>
    <col min="2813" max="2813" width="9.53515625"/>
    <col min="2814" max="2814" width="6.921875"/>
    <col min="2815" max="2815" width="9.53515625"/>
    <col min="2816" max="2816" width="6.921875"/>
    <col min="2817" max="2817" width="9.53515625"/>
    <col min="2818" max="2818" width="6.921875"/>
    <col min="2819" max="2819" width="9.53515625"/>
    <col min="2820" max="2820" width="6.921875"/>
    <col min="2821" max="2821" width="9.53515625"/>
    <col min="2822" max="2822" width="6.921875"/>
    <col min="2823" max="2823" width="9.53515625"/>
    <col min="2824" max="2824" width="6.921875"/>
    <col min="2825" max="2825" width="9.53515625"/>
    <col min="2826" max="2826" width="6.921875"/>
    <col min="2827" max="2827" width="9.53515625"/>
    <col min="2828" max="2828" width="6.921875"/>
    <col min="2829" max="2829" width="9.53515625"/>
    <col min="2830" max="2830" width="6.921875"/>
    <col min="2831" max="2831" width="9.53515625"/>
    <col min="2832" max="2832" width="6.921875"/>
    <col min="2833" max="2833" width="9.53515625"/>
    <col min="2834" max="2834" width="6.921875"/>
    <col min="2835" max="2835" width="9.53515625"/>
    <col min="2836" max="2836" width="6.921875"/>
    <col min="2837" max="2837" width="9.53515625"/>
    <col min="2838" max="2838" width="7.921875"/>
    <col min="2839" max="2839" width="9.53515625"/>
    <col min="2840" max="2840" width="6.921875"/>
    <col min="2841" max="2841" width="9.53515625"/>
    <col min="2842" max="2842" width="6.921875"/>
    <col min="2843" max="2843" width="9.53515625"/>
    <col min="2844" max="2844" width="6.921875"/>
    <col min="2845" max="2845" width="9.53515625"/>
    <col min="2846" max="2846" width="6.921875"/>
    <col min="2847" max="2847" width="9.53515625"/>
    <col min="2848" max="2848" width="6.921875"/>
    <col min="2849" max="2849" width="9.53515625"/>
    <col min="2850" max="2850" width="6.921875"/>
    <col min="2851" max="2851" width="9.53515625"/>
    <col min="2852" max="2852" width="6.921875"/>
    <col min="2853" max="2853" width="9.53515625"/>
    <col min="2854" max="2854" width="6.921875"/>
    <col min="2855" max="2855" width="9.53515625"/>
    <col min="2856" max="2856" width="6.921875"/>
    <col min="2857" max="2857" width="9.53515625"/>
    <col min="2858" max="2858" width="6.921875"/>
    <col min="2859" max="2859" width="9.53515625"/>
    <col min="2860" max="2860" width="6.921875"/>
    <col min="2861" max="2861" width="9.53515625"/>
    <col min="2862" max="2862" width="6.921875"/>
    <col min="2863" max="2863" width="9.53515625"/>
    <col min="2864" max="2864" width="6.921875"/>
    <col min="2865" max="2865" width="9.53515625"/>
    <col min="2866" max="2866" width="6.921875"/>
    <col min="2867" max="2867" width="9.53515625"/>
    <col min="2868" max="2868" width="6.921875"/>
    <col min="2869" max="2869" width="9.53515625"/>
    <col min="2870" max="2870" width="6.921875"/>
    <col min="2871" max="2871" width="9.53515625"/>
    <col min="2872" max="2872" width="6.921875"/>
    <col min="2873" max="2873" width="9.53515625"/>
    <col min="2874" max="2874" width="6.921875"/>
    <col min="2875" max="2875" width="9.53515625"/>
    <col min="2876" max="2876" width="6.921875"/>
    <col min="2877" max="2877" width="9.53515625"/>
    <col min="2878" max="2878" width="6.921875"/>
    <col min="2879" max="2879" width="9.53515625"/>
    <col min="2880" max="2880" width="6.921875"/>
    <col min="2881" max="2881" width="9.53515625"/>
    <col min="2882" max="2882" width="6.921875"/>
    <col min="2883" max="2883" width="9.53515625"/>
    <col min="2884" max="2884" width="6.921875"/>
    <col min="2885" max="2885" width="9.53515625"/>
    <col min="2886" max="2887" width="6.921875"/>
    <col min="2888" max="2888" width="9.53515625"/>
    <col min="2889" max="2889" width="6.921875"/>
    <col min="2890" max="2890" width="9.53515625"/>
    <col min="2891" max="2891" width="6.921875"/>
    <col min="2892" max="2892" width="9.53515625"/>
    <col min="2893" max="2893" width="6.921875"/>
    <col min="2894" max="2894" width="9.53515625"/>
    <col min="2895" max="2895" width="6.921875"/>
    <col min="2896" max="2896" width="9.53515625"/>
    <col min="2897" max="2897" width="6.921875"/>
    <col min="2898" max="2898" width="9.53515625"/>
    <col min="2899" max="2899" width="6.921875"/>
    <col min="2900" max="2900" width="9.53515625"/>
    <col min="2901" max="2901" width="6.921875"/>
    <col min="2902" max="2902" width="9.53515625"/>
    <col min="2903" max="2903" width="6.921875"/>
    <col min="2904" max="2904" width="9.53515625"/>
    <col min="2905" max="2905" width="6.921875"/>
    <col min="2906" max="2906" width="9.53515625"/>
    <col min="2907" max="2907" width="6.921875"/>
    <col min="2908" max="2908" width="9.53515625"/>
    <col min="2909" max="2909" width="6.921875"/>
    <col min="2910" max="2910" width="9.53515625"/>
    <col min="2911" max="2911" width="6.921875"/>
    <col min="2912" max="2912" width="9.53515625"/>
    <col min="2913" max="2913" width="6.921875"/>
    <col min="2914" max="2914" width="9.53515625"/>
    <col min="2915" max="2915" width="6.921875"/>
    <col min="2916" max="2916" width="9.53515625"/>
    <col min="2917" max="2917" width="6.921875"/>
    <col min="2918" max="2918" width="9.53515625"/>
    <col min="2919" max="2919" width="6.921875"/>
    <col min="2920" max="2920" width="9.53515625"/>
    <col min="2921" max="2921" width="6.921875"/>
    <col min="2922" max="2922" width="9.53515625"/>
    <col min="2923" max="2923" width="6.921875"/>
    <col min="2924" max="2924" width="9.53515625"/>
    <col min="2925" max="2925" width="6.921875"/>
    <col min="2926" max="2926" width="9.53515625"/>
    <col min="2927" max="2927" width="6.921875"/>
    <col min="2928" max="2928" width="9.53515625"/>
    <col min="2929" max="2929" width="6.921875"/>
    <col min="2930" max="2930" width="9.53515625"/>
    <col min="2931" max="2931" width="6.921875"/>
    <col min="2932" max="2932" width="9.53515625"/>
    <col min="2933" max="2933" width="6.921875"/>
    <col min="2934" max="2934" width="9.53515625"/>
    <col min="2935" max="2935" width="6.921875"/>
    <col min="2936" max="2936" width="9.53515625"/>
    <col min="2937" max="2937" width="6.921875"/>
    <col min="2938" max="2938" width="9.53515625"/>
    <col min="2939" max="2939" width="6.921875"/>
    <col min="2940" max="2940" width="9.53515625"/>
    <col min="2941" max="2941" width="6.921875"/>
    <col min="2942" max="2942" width="9.53515625"/>
    <col min="2943" max="2943" width="6.921875"/>
    <col min="2944" max="2944" width="9.53515625"/>
    <col min="2945" max="2945" width="7.921875"/>
    <col min="2946" max="2946" width="9.53515625"/>
    <col min="2947" max="2947" width="6.921875"/>
    <col min="2948" max="2948" width="9.53515625"/>
    <col min="2949" max="2949" width="6.921875"/>
    <col min="2950" max="2950" width="9.53515625"/>
    <col min="2951" max="2951" width="6.921875"/>
    <col min="2952" max="2952" width="9.53515625"/>
    <col min="2953" max="2953" width="6.921875"/>
    <col min="2954" max="2954" width="9.53515625"/>
    <col min="2955" max="2955" width="6.921875"/>
    <col min="2956" max="2956" width="9.53515625"/>
    <col min="2957" max="2957" width="6.921875"/>
    <col min="2958" max="2958" width="9.53515625"/>
    <col min="2959" max="2959" width="6.921875"/>
    <col min="2960" max="2960" width="9.53515625"/>
    <col min="2961" max="2961" width="7.921875"/>
    <col min="2962" max="2962" width="9.53515625"/>
    <col min="2963" max="2963" width="6.921875"/>
    <col min="2964" max="2964" width="9.53515625"/>
    <col min="2965" max="2965" width="6.921875"/>
    <col min="2966" max="2966" width="9.53515625"/>
    <col min="2967" max="2967" width="6.921875"/>
    <col min="2968" max="2968" width="9.53515625"/>
    <col min="2969" max="2969" width="6.921875"/>
    <col min="2970" max="2970" width="9.53515625"/>
    <col min="2971" max="2971" width="6.921875"/>
    <col min="2972" max="2972" width="9.53515625"/>
    <col min="2973" max="2973" width="7.921875"/>
    <col min="2974" max="2974" width="9.53515625"/>
    <col min="2975" max="2975" width="6.921875"/>
    <col min="2976" max="2976" width="9.53515625"/>
    <col min="2977" max="2977" width="6.921875"/>
    <col min="2978" max="2978" width="9.53515625"/>
    <col min="2979" max="2979" width="6.921875"/>
    <col min="2980" max="2980" width="9.53515625"/>
    <col min="2981" max="2981" width="6.921875"/>
    <col min="2982" max="2982" width="9.53515625"/>
    <col min="2983" max="2983" width="6.921875"/>
    <col min="2984" max="2984" width="9.53515625"/>
    <col min="2985" max="2985" width="6.921875"/>
    <col min="2986" max="2986" width="9.53515625"/>
    <col min="2987" max="2987" width="6.921875"/>
    <col min="2988" max="2988" width="9.53515625"/>
    <col min="2989" max="2989" width="6.921875"/>
    <col min="2990" max="2990" width="9.53515625"/>
    <col min="2991" max="2991" width="6.921875"/>
    <col min="2992" max="2992" width="9.53515625"/>
    <col min="2993" max="2993" width="6.921875"/>
    <col min="2994" max="2994" width="9.53515625"/>
    <col min="2995" max="2995" width="6.921875"/>
    <col min="2996" max="2996" width="9.53515625"/>
    <col min="2997" max="2997" width="6.921875"/>
    <col min="2998" max="2998" width="9.53515625"/>
    <col min="2999" max="2999" width="7.921875"/>
    <col min="3000" max="3000" width="9.53515625"/>
    <col min="3001" max="3001" width="6.921875"/>
    <col min="3002" max="3002" width="9.53515625"/>
    <col min="3003" max="3003" width="6.921875"/>
    <col min="3004" max="3004" width="9.53515625"/>
    <col min="3005" max="3005" width="6.921875"/>
    <col min="3006" max="3006" width="9.53515625"/>
    <col min="3007" max="3007" width="6.921875"/>
    <col min="3008" max="3008" width="9.53515625"/>
    <col min="3009" max="3009" width="6.921875"/>
    <col min="3010" max="3010" width="9.53515625"/>
    <col min="3011" max="3011" width="6.921875"/>
    <col min="3012" max="3012" width="9.53515625"/>
    <col min="3013" max="3013" width="6.921875"/>
    <col min="3014" max="3014" width="9.53515625"/>
    <col min="3015" max="3015" width="6.921875"/>
    <col min="3016" max="3016" width="9.53515625"/>
    <col min="3017" max="3017" width="6.921875"/>
    <col min="3018" max="3018" width="9.53515625"/>
    <col min="3019" max="3019" width="6.921875"/>
    <col min="3020" max="3020" width="9.53515625"/>
    <col min="3021" max="3021" width="6.921875"/>
    <col min="3022" max="3022" width="9.53515625"/>
    <col min="3023" max="3023" width="6.921875"/>
    <col min="3024" max="3024" width="9.53515625"/>
    <col min="3025" max="3025" width="6.921875"/>
    <col min="3026" max="3026" width="9.53515625"/>
    <col min="3027" max="3027" width="6.921875"/>
    <col min="3028" max="3028" width="9.53515625"/>
    <col min="3029" max="3029" width="6.921875"/>
    <col min="3030" max="3030" width="9.53515625"/>
    <col min="3031" max="3031" width="6.921875"/>
    <col min="3032" max="3032" width="9.53515625"/>
    <col min="3033" max="3033" width="6.921875"/>
    <col min="3034" max="3034" width="9.53515625"/>
    <col min="3035" max="3035" width="6.921875"/>
    <col min="3036" max="3036" width="9.53515625"/>
    <col min="3037" max="3037" width="6.921875"/>
    <col min="3038" max="3038" width="9.53515625"/>
    <col min="3039" max="3039" width="6.921875"/>
    <col min="3040" max="3040" width="9.53515625"/>
    <col min="3041" max="3041" width="6.921875"/>
    <col min="3042" max="3042" width="9.53515625"/>
    <col min="3043" max="3043" width="6.921875"/>
    <col min="3044" max="3044" width="9.53515625"/>
    <col min="3045" max="3045" width="6.921875"/>
    <col min="3046" max="3046" width="9.53515625"/>
    <col min="3047" max="3047" width="6.921875"/>
    <col min="3048" max="3048" width="9.53515625"/>
    <col min="3049" max="3049" width="6.921875"/>
    <col min="3050" max="3050" width="9.53515625"/>
    <col min="3051" max="3051" width="6.921875"/>
    <col min="3052" max="3052" width="9.53515625"/>
    <col min="3053" max="3053" width="6.921875"/>
    <col min="3054" max="3054" width="9.53515625"/>
    <col min="3055" max="3055" width="6.921875"/>
    <col min="3056" max="3056" width="9.53515625"/>
    <col min="3057" max="3057" width="6.921875"/>
    <col min="3058" max="3058" width="9.53515625"/>
    <col min="3059" max="3059" width="6.921875"/>
    <col min="3060" max="3060" width="9.53515625"/>
    <col min="3061" max="3061" width="6.921875"/>
    <col min="3062" max="3062" width="9.53515625"/>
    <col min="3063" max="3063" width="6.921875"/>
    <col min="3064" max="3064" width="9.53515625"/>
    <col min="3065" max="3065" width="6.921875"/>
    <col min="3066" max="3066" width="9.53515625"/>
    <col min="3067" max="3067" width="6.921875"/>
    <col min="3068" max="3068" width="9.53515625"/>
    <col min="3069" max="3069" width="6.921875"/>
    <col min="3070" max="3070" width="9.53515625"/>
    <col min="3071" max="3071" width="6.921875"/>
    <col min="3072" max="3072" width="9.53515625"/>
    <col min="3073" max="3073" width="6.921875"/>
    <col min="3074" max="3074" width="9.53515625"/>
    <col min="3075" max="3075" width="6.921875"/>
    <col min="3076" max="3076" width="9.53515625"/>
    <col min="3077" max="3077" width="6.921875"/>
    <col min="3078" max="3078" width="9.53515625"/>
    <col min="3079" max="3079" width="6.921875"/>
    <col min="3080" max="3080" width="9.53515625"/>
    <col min="3081" max="3081" width="6.921875"/>
    <col min="3082" max="3082" width="9.53515625"/>
    <col min="3083" max="3083" width="6.921875"/>
    <col min="3084" max="3084" width="9.53515625"/>
    <col min="3085" max="3085" width="6.921875"/>
    <col min="3086" max="3086" width="9.53515625"/>
    <col min="3087" max="3087" width="6.921875"/>
    <col min="3088" max="3088" width="9.53515625"/>
    <col min="3089" max="3089" width="6.921875"/>
    <col min="3090" max="3090" width="9.53515625"/>
    <col min="3091" max="3091" width="6.921875"/>
    <col min="3092" max="3092" width="9.53515625"/>
    <col min="3093" max="3093" width="6.921875"/>
    <col min="3094" max="3094" width="9.53515625"/>
    <col min="3095" max="3095" width="6.921875"/>
    <col min="3096" max="3096" width="9.53515625"/>
    <col min="3097" max="3097" width="6.921875"/>
    <col min="3098" max="3098" width="9.53515625"/>
    <col min="3099" max="3099" width="6.921875"/>
    <col min="3100" max="3100" width="9.53515625"/>
    <col min="3101" max="3101" width="6.921875"/>
    <col min="3102" max="3102" width="9.53515625"/>
    <col min="3103" max="3103" width="6.921875"/>
    <col min="3104" max="3104" width="9.53515625"/>
    <col min="3105" max="3105" width="6.921875"/>
    <col min="3106" max="3106" width="9.53515625"/>
    <col min="3107" max="3107" width="6.921875"/>
    <col min="3108" max="3108" width="9.53515625"/>
    <col min="3109" max="3109" width="6.921875"/>
    <col min="3110" max="3110" width="9.53515625"/>
    <col min="3111" max="3111" width="6.921875"/>
    <col min="3112" max="3112" width="9.53515625"/>
    <col min="3113" max="3113" width="6.921875"/>
    <col min="3114" max="3114" width="9.53515625"/>
    <col min="3115" max="3115" width="6.921875"/>
    <col min="3116" max="3116" width="9.53515625"/>
    <col min="3117" max="3117" width="6.921875"/>
    <col min="3118" max="3118" width="9.53515625"/>
    <col min="3119" max="3119" width="6.921875"/>
    <col min="3120" max="3120" width="9.53515625"/>
    <col min="3121" max="3121" width="6.921875"/>
    <col min="3122" max="3122" width="9.53515625"/>
    <col min="3123" max="3123" width="6.921875"/>
    <col min="3124" max="3124" width="9.53515625"/>
    <col min="3125" max="3125" width="6.921875"/>
    <col min="3126" max="3126" width="9.53515625"/>
    <col min="3127" max="3127" width="6.921875"/>
    <col min="3128" max="3128" width="9.53515625"/>
    <col min="3129" max="3129" width="6.921875"/>
    <col min="3130" max="3130" width="9.53515625"/>
    <col min="3131" max="3131" width="6.921875"/>
    <col min="3132" max="3132" width="9.53515625"/>
    <col min="3133" max="3133" width="6.921875"/>
    <col min="3134" max="3134" width="9.53515625"/>
    <col min="3135" max="3135" width="6.921875"/>
    <col min="3136" max="3136" width="9.53515625"/>
    <col min="3137" max="3137" width="6.921875"/>
    <col min="3138" max="3138" width="9.53515625"/>
    <col min="3139" max="3139" width="6.921875"/>
    <col min="3140" max="3140" width="9.53515625"/>
    <col min="3141" max="3141" width="6.921875"/>
    <col min="3142" max="3142" width="9.53515625"/>
    <col min="3143" max="3143" width="6.921875"/>
    <col min="3144" max="3144" width="9.53515625"/>
    <col min="3145" max="3145" width="6.921875"/>
    <col min="3146" max="3146" width="9.53515625"/>
    <col min="3147" max="3147" width="6.921875"/>
    <col min="3148" max="3148" width="9.53515625"/>
    <col min="3149" max="3149" width="6.921875"/>
    <col min="3150" max="3150" width="9.53515625"/>
    <col min="3151" max="3151" width="6.921875"/>
    <col min="3152" max="3152" width="9.53515625"/>
    <col min="3153" max="3153" width="6.921875"/>
    <col min="3154" max="3154" width="9.53515625"/>
    <col min="3155" max="3155" width="6.921875"/>
    <col min="3156" max="3156" width="9.53515625"/>
    <col min="3157" max="3157" width="6.921875"/>
    <col min="3158" max="3158" width="9.53515625"/>
    <col min="3159" max="3159" width="6.921875"/>
    <col min="3160" max="3160" width="9.53515625"/>
    <col min="3161" max="3161" width="6.921875"/>
    <col min="3162" max="3162" width="9.53515625"/>
    <col min="3163" max="3163" width="6.921875"/>
    <col min="3164" max="3164" width="9.53515625"/>
    <col min="3165" max="3165" width="6.921875"/>
    <col min="3166" max="3166" width="9.53515625"/>
    <col min="3167" max="3167" width="6.921875"/>
    <col min="3168" max="3168" width="9.53515625"/>
    <col min="3169" max="3169" width="6.921875"/>
    <col min="3170" max="3170" width="9.53515625"/>
    <col min="3171" max="3171" width="6.921875"/>
    <col min="3172" max="3172" width="9.53515625"/>
    <col min="3173" max="3173" width="6.921875"/>
    <col min="3174" max="3174" width="9.53515625"/>
    <col min="3175" max="3175" width="6.921875"/>
    <col min="3176" max="3176" width="9.53515625"/>
    <col min="3177" max="3177" width="6.921875"/>
    <col min="3178" max="3178" width="9.53515625"/>
    <col min="3179" max="3179" width="6.921875"/>
    <col min="3180" max="3180" width="9.53515625"/>
    <col min="3181" max="3181" width="6.921875"/>
    <col min="3182" max="3182" width="9.53515625"/>
    <col min="3183" max="3183" width="6.921875"/>
    <col min="3184" max="3184" width="9.53515625"/>
    <col min="3185" max="3185" width="6.921875"/>
    <col min="3186" max="3186" width="9.53515625"/>
    <col min="3187" max="3187" width="6.921875"/>
    <col min="3188" max="3188" width="9.53515625"/>
    <col min="3189" max="3189" width="6.921875"/>
    <col min="3190" max="3190" width="9.53515625"/>
    <col min="3191" max="3191" width="6.921875"/>
    <col min="3192" max="3192" width="9.53515625"/>
    <col min="3193" max="3193" width="6.921875"/>
    <col min="3194" max="3194" width="9.53515625"/>
    <col min="3195" max="3195" width="6.921875"/>
    <col min="3196" max="3196" width="9.53515625"/>
    <col min="3197" max="3197" width="6.921875"/>
    <col min="3198" max="3198" width="9.53515625"/>
    <col min="3199" max="3199" width="6.921875"/>
    <col min="3200" max="3200" width="9.53515625"/>
    <col min="3201" max="3201" width="6.921875"/>
    <col min="3202" max="3202" width="9.53515625"/>
    <col min="3203" max="3203" width="6.921875"/>
    <col min="3204" max="3204" width="9.53515625"/>
    <col min="3205" max="3205" width="6.921875"/>
    <col min="3206" max="3206" width="9.53515625"/>
    <col min="3207" max="3207" width="6.921875"/>
    <col min="3208" max="3208" width="9.53515625"/>
    <col min="3209" max="3209" width="6.921875"/>
    <col min="3210" max="3210" width="9.53515625"/>
    <col min="3211" max="3211" width="6.921875"/>
    <col min="3212" max="3212" width="9.53515625"/>
    <col min="3213" max="3213" width="6.921875"/>
    <col min="3214" max="3214" width="9.53515625"/>
    <col min="3215" max="3215" width="6.921875"/>
    <col min="3216" max="3216" width="9.53515625"/>
    <col min="3217" max="3217" width="6.921875"/>
    <col min="3218" max="3218" width="9.53515625"/>
    <col min="3219" max="3219" width="6.921875"/>
    <col min="3220" max="3220" width="9.53515625"/>
    <col min="3221" max="3221" width="6.921875"/>
    <col min="3222" max="3222" width="9.53515625"/>
    <col min="3223" max="3223" width="6.921875"/>
    <col min="3224" max="3224" width="9.53515625"/>
    <col min="3225" max="3225" width="6.921875"/>
    <col min="3226" max="3226" width="9.53515625"/>
    <col min="3227" max="3227" width="6.921875"/>
    <col min="3228" max="3228" width="9.53515625"/>
    <col min="3229" max="3229" width="6.921875"/>
    <col min="3230" max="3230" width="9.53515625"/>
    <col min="3231" max="3231" width="6.921875"/>
    <col min="3232" max="3232" width="9.53515625"/>
    <col min="3233" max="3233" width="6.921875"/>
    <col min="3234" max="3234" width="9.53515625"/>
    <col min="3235" max="3235" width="6.921875"/>
    <col min="3236" max="3236" width="9.53515625"/>
    <col min="3237" max="3237" width="6.921875"/>
    <col min="3238" max="3238" width="9.53515625"/>
    <col min="3239" max="3239" width="6.921875"/>
    <col min="3240" max="3240" width="9.53515625"/>
    <col min="3241" max="3241" width="6.921875"/>
    <col min="3242" max="3242" width="9.53515625"/>
    <col min="3243" max="3243" width="6.921875"/>
    <col min="3244" max="3244" width="9.53515625"/>
    <col min="3245" max="3245" width="6.921875"/>
    <col min="3246" max="3246" width="9.53515625"/>
    <col min="3247" max="3247" width="6.921875"/>
    <col min="3248" max="3248" width="9.53515625"/>
    <col min="3249" max="3249" width="6.921875"/>
    <col min="3250" max="3250" width="9.53515625"/>
    <col min="3251" max="3251" width="6.921875"/>
    <col min="3252" max="3252" width="9.53515625"/>
    <col min="3253" max="3253" width="6.921875"/>
    <col min="3254" max="3254" width="9.53515625"/>
    <col min="3255" max="3255" width="6.921875"/>
    <col min="3256" max="3256" width="9.53515625"/>
    <col min="3257" max="3257" width="6.921875"/>
    <col min="3258" max="3258" width="9.53515625"/>
    <col min="3259" max="3259" width="6.921875"/>
    <col min="3260" max="3260" width="9.53515625"/>
    <col min="3261" max="3261" width="6.921875"/>
    <col min="3262" max="3262" width="9.53515625"/>
    <col min="3263" max="3263" width="6.921875"/>
    <col min="3264" max="3264" width="9.53515625"/>
    <col min="3265" max="3265" width="6.921875"/>
    <col min="3266" max="3266" width="9.53515625"/>
    <col min="3267" max="3267" width="6.921875"/>
    <col min="3268" max="3268" width="9.53515625"/>
    <col min="3269" max="3269" width="6.921875"/>
    <col min="3270" max="3270" width="9.53515625"/>
    <col min="3271" max="3271" width="6.921875"/>
    <col min="3272" max="3272" width="9.53515625"/>
    <col min="3273" max="3273" width="6.921875"/>
    <col min="3274" max="3274" width="9.53515625"/>
    <col min="3275" max="3275" width="6.921875"/>
    <col min="3276" max="3276" width="9.53515625"/>
    <col min="3277" max="3277" width="6.921875"/>
    <col min="3278" max="3278" width="9.53515625"/>
    <col min="3279" max="3279" width="6.921875"/>
    <col min="3280" max="3280" width="9.53515625"/>
    <col min="3281" max="3281" width="6.921875"/>
    <col min="3282" max="3282" width="9.53515625"/>
    <col min="3283" max="3283" width="6.921875"/>
    <col min="3284" max="3284" width="9.53515625"/>
    <col min="3285" max="3285" width="6.921875"/>
    <col min="3286" max="3286" width="9.53515625"/>
    <col min="3287" max="3287" width="6.921875"/>
    <col min="3288" max="3288" width="9.53515625"/>
    <col min="3289" max="3289" width="6.921875"/>
    <col min="3290" max="3290" width="9.53515625"/>
    <col min="3291" max="3291" width="6.921875"/>
    <col min="3292" max="3292" width="9.53515625"/>
    <col min="3293" max="3293" width="6.921875"/>
    <col min="3294" max="3294" width="9.53515625"/>
    <col min="3295" max="3295" width="6.921875"/>
    <col min="3296" max="3296" width="9.53515625"/>
    <col min="3297" max="3297" width="6.921875"/>
    <col min="3298" max="3298" width="9.53515625"/>
    <col min="3299" max="3299" width="6.921875"/>
    <col min="3300" max="3300" width="9.53515625"/>
    <col min="3301" max="3301" width="6.921875"/>
    <col min="3302" max="3302" width="9.53515625"/>
    <col min="3303" max="3303" width="6.921875"/>
    <col min="3304" max="3304" width="9.53515625"/>
    <col min="3305" max="3305" width="6.921875"/>
    <col min="3306" max="3306" width="9.53515625"/>
    <col min="3307" max="3307" width="6.921875"/>
    <col min="3308" max="3308" width="9.53515625"/>
    <col min="3309" max="3309" width="6.921875"/>
    <col min="3310" max="3310" width="9.53515625"/>
    <col min="3311" max="3311" width="6.921875"/>
    <col min="3312" max="3312" width="9.53515625"/>
    <col min="3313" max="3313" width="6.921875"/>
    <col min="3314" max="3314" width="9.53515625"/>
    <col min="3315" max="3315" width="6.921875"/>
    <col min="3316" max="3316" width="9.53515625"/>
    <col min="3317" max="3317" width="6.921875"/>
    <col min="3318" max="3318" width="9.53515625"/>
    <col min="3319" max="3319" width="6.921875"/>
    <col min="3320" max="3320" width="9.53515625"/>
    <col min="3321" max="3321" width="6.921875"/>
    <col min="3322" max="3322" width="9.53515625"/>
    <col min="3323" max="3323" width="6.921875"/>
    <col min="3324" max="3324" width="9.53515625"/>
    <col min="3325" max="3325" width="6.921875"/>
    <col min="3326" max="3326" width="9.53515625"/>
    <col min="3327" max="3327" width="6.921875"/>
    <col min="3328" max="3328" width="9.53515625"/>
    <col min="3329" max="3329" width="6.921875"/>
    <col min="3330" max="3330" width="9.53515625"/>
    <col min="3331" max="3331" width="6.921875"/>
    <col min="3332" max="3332" width="9.53515625"/>
    <col min="3333" max="3333" width="6.921875"/>
    <col min="3334" max="3334" width="9.53515625"/>
    <col min="3335" max="3335" width="6.921875"/>
    <col min="3336" max="3336" width="9.53515625"/>
    <col min="3337" max="3337" width="6.921875"/>
    <col min="3338" max="3338" width="9.53515625"/>
    <col min="3339" max="3339" width="6.921875"/>
    <col min="3340" max="3340" width="9.53515625"/>
    <col min="3341" max="3341" width="6.921875"/>
    <col min="3342" max="3342" width="9.53515625"/>
    <col min="3343" max="3343" width="6.921875"/>
    <col min="3344" max="3344" width="9.53515625"/>
    <col min="3345" max="3345" width="6.921875"/>
    <col min="3346" max="3346" width="9.53515625"/>
    <col min="3347" max="3347" width="6.921875"/>
    <col min="3348" max="3348" width="9.53515625"/>
    <col min="3349" max="3349" width="6.921875"/>
    <col min="3350" max="3350" width="9.53515625"/>
    <col min="3351" max="3351" width="6.921875"/>
    <col min="3352" max="3352" width="9.53515625"/>
    <col min="3353" max="3353" width="6.921875"/>
    <col min="3354" max="3354" width="9.53515625"/>
    <col min="3355" max="3355" width="6.921875"/>
    <col min="3356" max="3356" width="9.53515625"/>
    <col min="3357" max="3357" width="6.921875"/>
    <col min="3358" max="3358" width="9.53515625"/>
    <col min="3359" max="3359" width="6.921875"/>
    <col min="3360" max="3360" width="9.53515625"/>
    <col min="3361" max="3361" width="6.921875"/>
    <col min="3362" max="3362" width="9.53515625"/>
    <col min="3363" max="3363" width="6.921875"/>
    <col min="3364" max="3364" width="9.53515625"/>
    <col min="3365" max="3365" width="6.921875"/>
    <col min="3366" max="3366" width="9.53515625"/>
    <col min="3367" max="3367" width="6.921875"/>
    <col min="3368" max="3368" width="9.53515625"/>
    <col min="3369" max="3369" width="6.921875"/>
    <col min="3370" max="3370" width="9.53515625"/>
    <col min="3371" max="3371" width="6.921875"/>
    <col min="3372" max="3372" width="9.53515625"/>
    <col min="3373" max="3373" width="6.921875"/>
    <col min="3374" max="3374" width="9.53515625"/>
    <col min="3375" max="3375" width="6.921875"/>
    <col min="3376" max="3376" width="9.53515625"/>
    <col min="3377" max="3377" width="6.921875"/>
    <col min="3378" max="3378" width="9.53515625"/>
    <col min="3379" max="3379" width="6.921875"/>
    <col min="3380" max="3380" width="9.53515625"/>
    <col min="3381" max="3381" width="6.921875"/>
    <col min="3382" max="3382" width="9.53515625"/>
    <col min="3383" max="3383" width="6.921875"/>
    <col min="3384" max="3384" width="9.53515625"/>
    <col min="3385" max="3385" width="6.921875"/>
    <col min="3386" max="3386" width="9.53515625"/>
    <col min="3387" max="3387" width="6.921875"/>
    <col min="3388" max="3388" width="9.53515625"/>
    <col min="3389" max="3389" width="6.921875"/>
    <col min="3390" max="3390" width="9.53515625"/>
    <col min="3391" max="3391" width="6.921875"/>
    <col min="3392" max="3392" width="9.53515625"/>
    <col min="3393" max="3393" width="6.921875"/>
    <col min="3394" max="3394" width="9.53515625"/>
    <col min="3395" max="3395" width="6.921875"/>
    <col min="3396" max="3396" width="9.53515625"/>
    <col min="3397" max="3397" width="6.921875"/>
    <col min="3398" max="3398" width="9.53515625"/>
    <col min="3399" max="3399" width="6.921875"/>
    <col min="3400" max="3400" width="9.53515625"/>
    <col min="3401" max="3401" width="6.921875"/>
    <col min="3402" max="3402" width="9.53515625"/>
    <col min="3403" max="3403" width="6.921875"/>
    <col min="3404" max="3404" width="9.53515625"/>
    <col min="3405" max="3405" width="6.921875"/>
    <col min="3406" max="3406" width="9.53515625"/>
    <col min="3407" max="3407" width="6.921875"/>
    <col min="3408" max="3408" width="9.53515625"/>
    <col min="3409" max="3409" width="6.921875"/>
    <col min="3410" max="3410" width="9.53515625"/>
    <col min="3411" max="3411" width="6.921875"/>
    <col min="3412" max="3412" width="9.53515625"/>
    <col min="3413" max="3413" width="6.921875"/>
    <col min="3414" max="3414" width="9.53515625"/>
    <col min="3415" max="3415" width="6.921875"/>
    <col min="3416" max="3416" width="9.53515625"/>
    <col min="3417" max="3417" width="6.921875"/>
    <col min="3418" max="3418" width="9.53515625"/>
    <col min="3419" max="3419" width="6.921875"/>
    <col min="3420" max="3420" width="9.53515625"/>
    <col min="3421" max="3421" width="6.921875"/>
    <col min="3422" max="3422" width="9.53515625"/>
    <col min="3423" max="3423" width="6.921875"/>
    <col min="3424" max="3424" width="9.53515625"/>
    <col min="3425" max="3425" width="6.921875"/>
    <col min="3426" max="3426" width="9.53515625"/>
    <col min="3427" max="3427" width="6.921875"/>
    <col min="3428" max="3428" width="9.53515625"/>
    <col min="3429" max="3429" width="6.921875"/>
    <col min="3430" max="3430" width="9.53515625"/>
    <col min="3431" max="3431" width="6.921875"/>
    <col min="3432" max="3432" width="9.53515625"/>
    <col min="3433" max="3433" width="6.921875"/>
    <col min="3434" max="3434" width="9.53515625"/>
    <col min="3435" max="3435" width="6.921875"/>
    <col min="3436" max="3436" width="9.53515625"/>
    <col min="3437" max="3437" width="6.921875"/>
    <col min="3438" max="3438" width="9.53515625"/>
    <col min="3439" max="3439" width="6.921875"/>
    <col min="3440" max="3440" width="9.53515625"/>
    <col min="3441" max="3441" width="6.921875"/>
    <col min="3442" max="3442" width="9.53515625"/>
    <col min="3443" max="3443" width="6.921875"/>
    <col min="3444" max="3444" width="9.53515625"/>
    <col min="3445" max="3445" width="6.921875"/>
    <col min="3446" max="3446" width="9.53515625"/>
    <col min="3447" max="3447" width="6.921875"/>
    <col min="3448" max="3448" width="9.53515625"/>
    <col min="3449" max="3449" width="6.921875"/>
    <col min="3450" max="3450" width="9.53515625"/>
    <col min="3451" max="3451" width="6.921875"/>
    <col min="3452" max="3452" width="9.53515625"/>
    <col min="3453" max="3453" width="6.921875"/>
    <col min="3454" max="3454" width="9.53515625"/>
    <col min="3455" max="3455" width="6.921875"/>
    <col min="3456" max="3456" width="9.53515625"/>
    <col min="3457" max="3457" width="6.921875"/>
    <col min="3458" max="3458" width="9.53515625"/>
    <col min="3459" max="3459" width="6.921875"/>
    <col min="3460" max="3460" width="9.53515625"/>
    <col min="3461" max="3461" width="6.921875"/>
    <col min="3462" max="3462" width="9.53515625"/>
    <col min="3463" max="3463" width="6.921875"/>
    <col min="3464" max="3464" width="9.53515625"/>
    <col min="3465" max="3465" width="6.921875"/>
    <col min="3466" max="3466" width="9.53515625"/>
    <col min="3467" max="3467" width="6.921875"/>
    <col min="3468" max="3468" width="9.53515625"/>
    <col min="3469" max="3469" width="6.921875"/>
    <col min="3470" max="3470" width="9.53515625"/>
    <col min="3471" max="3471" width="6.921875"/>
    <col min="3472" max="3472" width="9.53515625"/>
    <col min="3473" max="3473" width="6.921875"/>
    <col min="3474" max="3474" width="9.53515625"/>
    <col min="3475" max="3475" width="6.921875"/>
    <col min="3476" max="3476" width="9.53515625"/>
    <col min="3477" max="3477" width="6.921875"/>
    <col min="3478" max="3478" width="9.53515625"/>
    <col min="3479" max="3479" width="6.921875"/>
    <col min="3480" max="3480" width="9.53515625"/>
    <col min="3481" max="3481" width="6.921875"/>
    <col min="3482" max="3482" width="9.53515625"/>
    <col min="3483" max="3483" width="6.921875"/>
    <col min="3484" max="3484" width="9.53515625"/>
    <col min="3485" max="3485" width="6.921875"/>
    <col min="3486" max="3486" width="9.53515625"/>
    <col min="3487" max="3487" width="6.921875"/>
    <col min="3488" max="3488" width="9.53515625"/>
    <col min="3489" max="3489" width="6.921875"/>
    <col min="3490" max="3490" width="9.53515625"/>
    <col min="3491" max="3491" width="6.921875"/>
    <col min="3492" max="3492" width="9.53515625"/>
    <col min="3493" max="3493" width="6.921875"/>
    <col min="3494" max="3494" width="9.53515625"/>
    <col min="3495" max="3495" width="6.921875"/>
    <col min="3496" max="3496" width="9.53515625"/>
    <col min="3497" max="3497" width="6.921875"/>
    <col min="3498" max="3498" width="9.53515625"/>
    <col min="3499" max="3499" width="6.921875"/>
    <col min="3500" max="3500" width="9.53515625"/>
    <col min="3501" max="3501" width="6.921875"/>
    <col min="3502" max="3502" width="9.53515625"/>
    <col min="3503" max="3503" width="6.921875"/>
    <col min="3504" max="3504" width="9.53515625"/>
    <col min="3505" max="3505" width="6.921875"/>
    <col min="3506" max="3506" width="9.53515625"/>
    <col min="3507" max="3507" width="6.921875"/>
    <col min="3508" max="3508" width="9.53515625"/>
    <col min="3509" max="3509" width="6.921875"/>
    <col min="3510" max="3510" width="9.53515625"/>
    <col min="3511" max="3511" width="6.921875"/>
    <col min="3512" max="3512" width="9.53515625"/>
    <col min="3513" max="3513" width="6.921875"/>
    <col min="3514" max="3514" width="9.53515625"/>
    <col min="3515" max="3515" width="6.921875"/>
    <col min="3516" max="3516" width="9.53515625"/>
    <col min="3517" max="3517" width="6.921875"/>
    <col min="3518" max="3518" width="9.53515625"/>
    <col min="3519" max="3519" width="6.921875"/>
    <col min="3520" max="3520" width="9.53515625"/>
    <col min="3521" max="3521" width="6.921875"/>
    <col min="3522" max="3522" width="9.53515625"/>
    <col min="3523" max="3523" width="6.921875"/>
    <col min="3524" max="3524" width="9.53515625"/>
    <col min="3525" max="3525" width="6.921875"/>
    <col min="3526" max="3526" width="9.53515625"/>
    <col min="3527" max="3527" width="6.921875"/>
    <col min="3528" max="3528" width="9.53515625"/>
    <col min="3529" max="3529" width="6.921875"/>
    <col min="3530" max="3530" width="9.53515625"/>
    <col min="3531" max="3531" width="6.921875"/>
    <col min="3532" max="3532" width="9.53515625"/>
    <col min="3533" max="3533" width="6.921875"/>
    <col min="3534" max="3534" width="9.53515625"/>
    <col min="3535" max="3535" width="6.921875"/>
    <col min="3536" max="3536" width="9.53515625"/>
    <col min="3537" max="3537" width="6.921875"/>
    <col min="3538" max="3538" width="9.53515625"/>
    <col min="3539" max="3539" width="6.921875"/>
    <col min="3540" max="3540" width="9.53515625"/>
    <col min="3541" max="3541" width="7.921875"/>
    <col min="3542" max="3542" width="9.53515625"/>
    <col min="3543" max="3543" width="6.921875"/>
    <col min="3544" max="3544" width="9.53515625"/>
    <col min="3545" max="3545" width="6.921875"/>
    <col min="3546" max="3546" width="9.53515625"/>
    <col min="3547" max="3547" width="6.921875"/>
    <col min="3548" max="3548" width="9.53515625"/>
    <col min="3549" max="3549" width="6.921875"/>
    <col min="3550" max="3550" width="9.53515625"/>
    <col min="3551" max="3551" width="6.921875"/>
    <col min="3552" max="3552" width="9.53515625"/>
    <col min="3553" max="3553" width="6.921875"/>
    <col min="3554" max="3554" width="9.53515625"/>
    <col min="3555" max="3555" width="6.921875"/>
    <col min="3556" max="3556" width="9.53515625"/>
    <col min="3557" max="3557" width="6.921875"/>
    <col min="3558" max="3558" width="9.53515625"/>
    <col min="3559" max="3559" width="6.921875"/>
    <col min="3560" max="3560" width="9.53515625"/>
    <col min="3561" max="3561" width="6.921875"/>
    <col min="3562" max="3562" width="9.53515625"/>
    <col min="3563" max="3563" width="6.921875"/>
    <col min="3564" max="3564" width="9.53515625"/>
    <col min="3565" max="3565" width="6.921875"/>
    <col min="3566" max="3566" width="9.53515625"/>
    <col min="3567" max="3567" width="6.921875"/>
    <col min="3568" max="3568" width="9.53515625"/>
    <col min="3569" max="3569" width="6.921875"/>
    <col min="3570" max="3570" width="9.53515625"/>
    <col min="3571" max="3571" width="6.921875"/>
    <col min="3572" max="3572" width="9.53515625"/>
    <col min="3573" max="3573" width="6.921875"/>
    <col min="3574" max="3574" width="9.53515625"/>
    <col min="3575" max="3575" width="6.921875"/>
    <col min="3576" max="3576" width="9.53515625"/>
    <col min="3577" max="3577" width="7.921875"/>
    <col min="3578" max="3578" width="9.53515625"/>
    <col min="3579" max="3579" width="6.921875"/>
    <col min="3580" max="3580" width="9.53515625"/>
    <col min="3581" max="3581" width="6.921875"/>
    <col min="3582" max="3582" width="9.53515625"/>
    <col min="3583" max="3583" width="6.921875"/>
    <col min="3584" max="3584" width="9.53515625"/>
    <col min="3585" max="3585" width="6.921875"/>
    <col min="3586" max="3586" width="9.53515625"/>
    <col min="3587" max="3587" width="6.921875"/>
    <col min="3588" max="3588" width="9.53515625"/>
    <col min="3589" max="3589" width="6.921875"/>
    <col min="3590" max="3590" width="9.53515625"/>
    <col min="3591" max="3591" width="6.921875"/>
    <col min="3592" max="3592" width="9.53515625"/>
    <col min="3593" max="3593" width="6.921875"/>
    <col min="3594" max="3594" width="9.53515625"/>
    <col min="3595" max="3595" width="6.921875"/>
    <col min="3596" max="3596" width="9.53515625"/>
    <col min="3597" max="3597" width="6.921875"/>
    <col min="3598" max="3598" width="9.53515625"/>
    <col min="3599" max="3599" width="6.921875"/>
    <col min="3600" max="3600" width="9.53515625"/>
    <col min="3601" max="3601" width="6.921875"/>
    <col min="3602" max="3602" width="9.53515625"/>
    <col min="3603" max="3603" width="6.921875"/>
    <col min="3604" max="3604" width="9.53515625"/>
    <col min="3605" max="3605" width="6.921875"/>
    <col min="3606" max="3606" width="9.53515625"/>
    <col min="3607" max="3607" width="6.921875"/>
    <col min="3608" max="3608" width="9.53515625"/>
    <col min="3609" max="3609" width="6.921875"/>
    <col min="3610" max="3610" width="9.53515625"/>
    <col min="3611" max="3611" width="6.921875"/>
    <col min="3612" max="3612" width="9.53515625"/>
    <col min="3613" max="3613" width="6.921875"/>
    <col min="3614" max="3614" width="9.53515625"/>
    <col min="3615" max="3615" width="6.921875"/>
    <col min="3616" max="3616" width="9.53515625"/>
    <col min="3617" max="3617" width="6.921875"/>
    <col min="3618" max="3618" width="9.53515625"/>
    <col min="3619" max="3619" width="6.921875"/>
    <col min="3620" max="3620" width="9.53515625"/>
    <col min="3621" max="3621" width="6.921875"/>
    <col min="3622" max="3622" width="9.53515625"/>
    <col min="3623" max="3623" width="6.921875"/>
    <col min="3624" max="3624" width="9.53515625"/>
    <col min="3625" max="3625" width="6.921875"/>
    <col min="3626" max="3626" width="9.53515625"/>
    <col min="3627" max="3627" width="6.921875"/>
    <col min="3628" max="3628" width="9.53515625"/>
    <col min="3629" max="3629" width="6.921875"/>
    <col min="3630" max="3630" width="9.53515625"/>
    <col min="3631" max="3631" width="6.921875"/>
    <col min="3632" max="3632" width="9.53515625"/>
    <col min="3633" max="3633" width="6.921875"/>
    <col min="3634" max="3634" width="9.53515625"/>
    <col min="3635" max="3635" width="6.921875"/>
    <col min="3636" max="3636" width="9.53515625"/>
    <col min="3637" max="3637" width="6.921875"/>
    <col min="3638" max="3638" width="9.53515625"/>
    <col min="3639" max="3639" width="6.921875"/>
    <col min="3640" max="3640" width="9.53515625"/>
    <col min="3641" max="3641" width="6.921875"/>
    <col min="3642" max="3642" width="9.53515625"/>
    <col min="3643" max="3643" width="6.921875"/>
    <col min="3644" max="3644" width="9.53515625"/>
    <col min="3645" max="3645" width="6.921875"/>
    <col min="3646" max="3646" width="9.53515625"/>
    <col min="3647" max="3647" width="6.921875"/>
    <col min="3648" max="3648" width="9.53515625"/>
    <col min="3649" max="3649" width="6.921875"/>
    <col min="3650" max="3650" width="9.53515625"/>
    <col min="3651" max="3651" width="6.921875"/>
    <col min="3652" max="3652" width="9.53515625"/>
    <col min="3653" max="3653" width="6.921875"/>
    <col min="3654" max="3654" width="9.53515625"/>
    <col min="3655" max="3655" width="6.921875"/>
    <col min="3656" max="3656" width="9.53515625"/>
    <col min="3657" max="3657" width="6.921875"/>
    <col min="3658" max="3658" width="9.53515625"/>
    <col min="3659" max="3659" width="6.921875"/>
    <col min="3660" max="3660" width="9.53515625"/>
    <col min="3661" max="3661" width="6.921875"/>
    <col min="3662" max="3662" width="9.53515625"/>
    <col min="3663" max="3663" width="6.921875"/>
    <col min="3664" max="3664" width="9.53515625"/>
    <col min="3665" max="3665" width="6.921875"/>
    <col min="3666" max="3666" width="9.53515625"/>
    <col min="3667" max="3667" width="6.921875"/>
    <col min="3668" max="3668" width="9.53515625"/>
    <col min="3669" max="3669" width="6.921875"/>
    <col min="3670" max="3670" width="9.53515625"/>
    <col min="3671" max="3671" width="6.921875"/>
    <col min="3672" max="3672" width="9.53515625"/>
    <col min="3673" max="3673" width="6.921875"/>
    <col min="3674" max="3674" width="9.53515625"/>
    <col min="3675" max="3675" width="6.921875"/>
    <col min="3676" max="3676" width="9.53515625"/>
    <col min="3677" max="3677" width="6.921875"/>
    <col min="3678" max="3678" width="9.53515625"/>
    <col min="3679" max="3679" width="6.921875"/>
    <col min="3680" max="3680" width="9.53515625"/>
    <col min="3681" max="3681" width="6.921875"/>
    <col min="3682" max="3682" width="9.53515625"/>
    <col min="3683" max="3683" width="6.921875"/>
    <col min="3684" max="3684" width="9.53515625"/>
    <col min="3685" max="3685" width="6.921875"/>
    <col min="3686" max="3686" width="9.53515625"/>
    <col min="3687" max="3687" width="6.921875"/>
    <col min="3688" max="3688" width="9.53515625"/>
    <col min="3689" max="3689" width="6.921875"/>
    <col min="3690" max="3690" width="9.53515625"/>
    <col min="3691" max="3691" width="6.921875"/>
    <col min="3692" max="3692" width="9.53515625"/>
    <col min="3693" max="3693" width="6.921875"/>
    <col min="3694" max="3694" width="9.53515625"/>
    <col min="3695" max="3695" width="6.921875"/>
    <col min="3696" max="3696" width="9.53515625"/>
    <col min="3697" max="3697" width="6.921875"/>
    <col min="3698" max="3698" width="9.53515625"/>
    <col min="3699" max="3699" width="6.921875"/>
    <col min="3700" max="3700" width="9.53515625"/>
    <col min="3701" max="3701" width="6.921875"/>
    <col min="3702" max="3702" width="9.53515625"/>
    <col min="3703" max="3703" width="6.921875"/>
    <col min="3704" max="3704" width="9.53515625"/>
    <col min="3705" max="3705" width="6.921875"/>
    <col min="3706" max="3706" width="9.53515625"/>
    <col min="3707" max="3707" width="6.921875"/>
    <col min="3708" max="3708" width="9.53515625"/>
    <col min="3709" max="3709" width="6.921875"/>
    <col min="3710" max="3710" width="9.53515625"/>
    <col min="3711" max="3711" width="6.921875"/>
    <col min="3712" max="3712" width="9.53515625"/>
    <col min="3713" max="3713" width="6.921875"/>
    <col min="3714" max="3714" width="9.53515625"/>
    <col min="3715" max="3715" width="6.921875"/>
    <col min="3716" max="3716" width="9.53515625"/>
    <col min="3717" max="3717" width="6.921875"/>
    <col min="3718" max="3718" width="9.53515625"/>
    <col min="3719" max="3719" width="6.921875"/>
    <col min="3720" max="3720" width="9.53515625"/>
    <col min="3721" max="3721" width="6.921875"/>
    <col min="3722" max="3722" width="9.53515625"/>
    <col min="3723" max="3723" width="6.921875"/>
    <col min="3724" max="3724" width="9.53515625"/>
    <col min="3725" max="3725" width="6.921875"/>
    <col min="3726" max="3726" width="9.53515625"/>
    <col min="3727" max="3727" width="6.921875"/>
    <col min="3728" max="3728" width="9.53515625"/>
    <col min="3729" max="3729" width="6.921875"/>
    <col min="3730" max="3730" width="9.53515625"/>
    <col min="3731" max="3731" width="6.921875"/>
    <col min="3732" max="3732" width="9.53515625"/>
    <col min="3733" max="3733" width="6.921875"/>
    <col min="3734" max="3734" width="9.53515625"/>
    <col min="3735" max="3735" width="6.921875"/>
    <col min="3736" max="3736" width="9.53515625"/>
    <col min="3737" max="3737" width="7.921875"/>
    <col min="3738" max="3738" width="9.53515625"/>
    <col min="3739" max="3739" width="6.921875"/>
    <col min="3740" max="3740" width="9.53515625"/>
    <col min="3741" max="3741" width="6.921875"/>
    <col min="3742" max="3742" width="9.53515625"/>
    <col min="3743" max="3743" width="6.921875"/>
    <col min="3744" max="3744" width="9.53515625"/>
    <col min="3745" max="3745" width="6.921875"/>
    <col min="3746" max="3746" width="9.53515625"/>
    <col min="3747" max="3747" width="6.921875"/>
    <col min="3748" max="3748" width="9.53515625"/>
    <col min="3749" max="3749" width="6.921875"/>
    <col min="3750" max="3750" width="9.53515625"/>
    <col min="3751" max="3751" width="6.921875"/>
    <col min="3752" max="3752" width="9.53515625"/>
    <col min="3753" max="3753" width="6.921875"/>
    <col min="3754" max="3754" width="9.53515625"/>
    <col min="3755" max="3755" width="6.921875"/>
    <col min="3756" max="3756" width="9.53515625"/>
    <col min="3757" max="3757" width="6.921875"/>
    <col min="3758" max="3758" width="9.53515625"/>
    <col min="3759" max="3759" width="6.921875"/>
    <col min="3760" max="3760" width="9.53515625"/>
    <col min="3761" max="3761" width="6.921875"/>
    <col min="3762" max="3762" width="9.53515625"/>
    <col min="3763" max="3763" width="7.921875"/>
    <col min="3764" max="3764" width="9.53515625"/>
    <col min="3765" max="3765" width="6.921875"/>
    <col min="3766" max="3766" width="9.53515625"/>
    <col min="3767" max="3767" width="6.921875"/>
    <col min="3768" max="3768" width="9.53515625"/>
    <col min="3769" max="3769" width="6.921875"/>
    <col min="3770" max="3770" width="9.53515625"/>
    <col min="3771" max="3771" width="6.921875"/>
    <col min="3772" max="3772" width="9.53515625"/>
    <col min="3773" max="3773" width="6.921875"/>
    <col min="3774" max="3774" width="9.53515625"/>
    <col min="3775" max="3775" width="6.921875"/>
    <col min="3776" max="3776" width="9.53515625"/>
    <col min="3777" max="3777" width="6.921875"/>
    <col min="3778" max="3778" width="9.53515625"/>
    <col min="3779" max="3779" width="6.921875"/>
    <col min="3780" max="3780" width="9.53515625"/>
    <col min="3781" max="3781" width="6.921875"/>
    <col min="3782" max="3782" width="9.53515625"/>
    <col min="3783" max="3783" width="6.921875"/>
    <col min="3784" max="3784" width="9.53515625"/>
    <col min="3785" max="3785" width="6.921875"/>
    <col min="3786" max="3786" width="9.53515625"/>
    <col min="3787" max="3787" width="6.921875"/>
    <col min="3788" max="3788" width="9.53515625"/>
    <col min="3789" max="3789" width="6.921875"/>
    <col min="3790" max="3790" width="9.53515625"/>
    <col min="3791" max="3791" width="6.921875"/>
    <col min="3792" max="3792" width="9.53515625"/>
    <col min="3793" max="3793" width="6.921875"/>
    <col min="3794" max="3794" width="9.53515625"/>
    <col min="3795" max="3795" width="6.921875"/>
    <col min="3796" max="3796" width="9.53515625"/>
    <col min="3797" max="3797" width="6.921875"/>
    <col min="3798" max="3798" width="9.53515625"/>
    <col min="3799" max="3799" width="6.921875"/>
    <col min="3800" max="3800" width="9.53515625"/>
    <col min="3801" max="3801" width="6.921875"/>
    <col min="3802" max="3802" width="9.53515625"/>
    <col min="3803" max="3803" width="6.921875"/>
    <col min="3804" max="3804" width="9.53515625"/>
    <col min="3805" max="3805" width="6.921875"/>
    <col min="3806" max="3806" width="9.53515625"/>
    <col min="3807" max="3807" width="6.921875"/>
    <col min="3808" max="3808" width="9.53515625"/>
    <col min="3809" max="3809" width="6.921875"/>
    <col min="3810" max="3810" width="9.53515625"/>
    <col min="3811" max="3811" width="6.921875"/>
    <col min="3812" max="3812" width="9.53515625"/>
    <col min="3813" max="3813" width="6.921875"/>
    <col min="3814" max="3814" width="9.53515625"/>
    <col min="3815" max="3815" width="6.921875"/>
    <col min="3816" max="3816" width="9.53515625"/>
    <col min="3817" max="3817" width="6.921875"/>
    <col min="3818" max="3818" width="9.53515625"/>
    <col min="3819" max="3819" width="6.921875"/>
    <col min="3820" max="3820" width="9.53515625"/>
    <col min="3821" max="3821" width="6.921875"/>
    <col min="3822" max="3822" width="9.53515625"/>
    <col min="3823" max="3823" width="6.921875"/>
    <col min="3824" max="3824" width="9.53515625"/>
    <col min="3825" max="3825" width="6.921875"/>
    <col min="3826" max="3826" width="9.53515625"/>
    <col min="3827" max="3827" width="6.921875"/>
    <col min="3828" max="3828" width="9.53515625"/>
    <col min="3829" max="3829" width="6.921875"/>
    <col min="3830" max="3830" width="9.53515625"/>
    <col min="3831" max="3831" width="6.921875"/>
    <col min="3832" max="3832" width="9.53515625"/>
    <col min="3833" max="3833" width="6.921875"/>
    <col min="3834" max="3834" width="9.53515625"/>
    <col min="3835" max="3835" width="6.921875"/>
    <col min="3836" max="3836" width="9.53515625"/>
    <col min="3837" max="3837" width="6.921875"/>
    <col min="3838" max="3838" width="9.53515625"/>
    <col min="3839" max="3839" width="6.921875"/>
    <col min="3840" max="3840" width="9.53515625"/>
    <col min="3841" max="3841" width="6.921875"/>
    <col min="3842" max="3842" width="9.53515625"/>
    <col min="3843" max="3843" width="6.921875"/>
    <col min="3844" max="3844" width="9.53515625"/>
    <col min="3845" max="3845" width="6.921875"/>
    <col min="3846" max="3846" width="9.53515625"/>
    <col min="3847" max="3847" width="6.921875"/>
    <col min="3848" max="3848" width="9.53515625"/>
    <col min="3849" max="3849" width="6.921875"/>
    <col min="3850" max="3850" width="9.53515625"/>
    <col min="3851" max="3851" width="6.921875"/>
    <col min="3852" max="3852" width="9.53515625"/>
    <col min="3853" max="3853" width="6.921875"/>
    <col min="3854" max="3854" width="9.53515625"/>
    <col min="3855" max="3855" width="6.921875"/>
    <col min="3856" max="3856" width="9.53515625"/>
    <col min="3857" max="3857" width="6.921875"/>
    <col min="3858" max="3858" width="9.53515625"/>
    <col min="3859" max="3859" width="6.921875"/>
    <col min="3860" max="3860" width="9.53515625"/>
    <col min="3861" max="3861" width="6.921875"/>
    <col min="3862" max="3862" width="9.53515625"/>
    <col min="3863" max="3863" width="6.921875"/>
    <col min="3864" max="3864" width="9.53515625"/>
    <col min="3865" max="3865" width="6.921875"/>
    <col min="3866" max="3866" width="9.53515625"/>
    <col min="3867" max="3867" width="6.921875"/>
    <col min="3868" max="3868" width="9.53515625"/>
    <col min="3869" max="3869" width="6.921875"/>
    <col min="3870" max="3870" width="9.53515625"/>
    <col min="3871" max="3871" width="7.921875"/>
    <col min="3872" max="3872" width="9.53515625"/>
    <col min="3873" max="3873" width="6.921875"/>
    <col min="3874" max="3874" width="9.53515625"/>
    <col min="3875" max="3875" width="6.921875"/>
    <col min="3876" max="3876" width="9.53515625"/>
    <col min="3877" max="3877" width="6.921875"/>
    <col min="3878" max="3878" width="9.53515625"/>
    <col min="3879" max="3879" width="6.921875"/>
    <col min="3880" max="3880" width="9.53515625"/>
    <col min="3881" max="3881" width="7.921875"/>
    <col min="3882" max="3882" width="9.53515625"/>
    <col min="3883" max="3883" width="6.921875"/>
    <col min="3884" max="3884" width="9.53515625"/>
    <col min="3885" max="3885" width="6.921875"/>
    <col min="3886" max="3886" width="9.53515625"/>
    <col min="3887" max="3887" width="6.921875"/>
    <col min="3888" max="3888" width="9.53515625"/>
    <col min="3889" max="3889" width="6.921875"/>
    <col min="3890" max="3890" width="9.53515625"/>
    <col min="3891" max="3891" width="6.921875"/>
    <col min="3892" max="3892" width="9.53515625"/>
    <col min="3893" max="3893" width="6.921875"/>
    <col min="3894" max="3894" width="9.53515625"/>
    <col min="3895" max="3895" width="6.921875"/>
    <col min="3896" max="3896" width="9.53515625"/>
    <col min="3897" max="3897" width="6.921875"/>
    <col min="3898" max="3898" width="9.53515625"/>
    <col min="3899" max="3899" width="6.921875"/>
    <col min="3900" max="3900" width="9.53515625"/>
    <col min="3901" max="3901" width="6.921875"/>
    <col min="3902" max="3902" width="9.53515625"/>
    <col min="3903" max="3903" width="6.921875"/>
    <col min="3904" max="3904" width="9.53515625"/>
    <col min="3905" max="3905" width="6.921875"/>
    <col min="3906" max="3906" width="9.53515625"/>
    <col min="3907" max="3907" width="6.921875"/>
    <col min="3908" max="3908" width="9.53515625"/>
    <col min="3909" max="3909" width="6.921875"/>
    <col min="3910" max="3910" width="9.53515625"/>
    <col min="3911" max="3911" width="6.921875"/>
    <col min="3912" max="3912" width="9.53515625"/>
    <col min="3913" max="3913" width="6.921875"/>
    <col min="3914" max="3914" width="9.53515625"/>
    <col min="3915" max="3915" width="6.921875"/>
    <col min="3916" max="3916" width="9.53515625"/>
    <col min="3917" max="3917" width="6.921875"/>
    <col min="3918" max="3918" width="9.53515625"/>
    <col min="3919" max="3919" width="6.921875"/>
    <col min="3920" max="3920" width="9.53515625"/>
    <col min="3921" max="3921" width="6.921875"/>
    <col min="3922" max="3922" width="9.53515625"/>
    <col min="3923" max="3923" width="6.921875"/>
    <col min="3924" max="3924" width="9.53515625"/>
    <col min="3925" max="3925" width="6.921875"/>
    <col min="3926" max="3926" width="9.53515625"/>
    <col min="3927" max="3927" width="6.921875"/>
    <col min="3928" max="3928" width="9.53515625"/>
    <col min="3929" max="3929" width="6.921875"/>
    <col min="3930" max="3930" width="9.53515625"/>
    <col min="3931" max="3931" width="6.921875"/>
    <col min="3932" max="3932" width="9.53515625"/>
    <col min="3933" max="3933" width="6.921875"/>
    <col min="3934" max="3934" width="9.53515625"/>
    <col min="3935" max="3935" width="6.921875"/>
    <col min="3936" max="3936" width="9.53515625"/>
    <col min="3937" max="3937" width="6.921875"/>
    <col min="3938" max="3938" width="9.53515625"/>
    <col min="3939" max="3939" width="6.921875"/>
    <col min="3940" max="3940" width="9.53515625"/>
    <col min="3941" max="3941" width="6.921875"/>
    <col min="3942" max="3942" width="9.53515625"/>
    <col min="3943" max="3943" width="6.921875"/>
    <col min="3944" max="3944" width="9.53515625"/>
    <col min="3945" max="3945" width="6.921875"/>
    <col min="3946" max="3946" width="9.53515625"/>
    <col min="3947" max="3947" width="6.921875"/>
    <col min="3948" max="3948" width="9.53515625"/>
    <col min="3949" max="3949" width="6.921875"/>
    <col min="3950" max="3950" width="9.53515625"/>
    <col min="3951" max="3951" width="6.921875"/>
    <col min="3952" max="3952" width="9.53515625"/>
    <col min="3953" max="3953" width="6.921875"/>
    <col min="3954" max="3954" width="9.53515625"/>
    <col min="3955" max="3955" width="6.921875"/>
    <col min="3956" max="3956" width="9.53515625"/>
    <col min="3957" max="3957" width="6.921875"/>
    <col min="3958" max="3958" width="9.53515625"/>
    <col min="3959" max="3959" width="6.921875"/>
    <col min="3960" max="3960" width="9.53515625"/>
    <col min="3961" max="3961" width="6.921875"/>
    <col min="3962" max="3962" width="9.53515625"/>
    <col min="3963" max="3963" width="6.921875"/>
    <col min="3964" max="3964" width="9.53515625"/>
    <col min="3965" max="3965" width="6.921875"/>
    <col min="3966" max="3966" width="9.53515625"/>
    <col min="3967" max="3967" width="6.921875"/>
    <col min="3968" max="3968" width="9.53515625"/>
    <col min="3969" max="3969" width="6.921875"/>
    <col min="3970" max="3970" width="9.53515625"/>
    <col min="3971" max="3971" width="6.921875"/>
    <col min="3972" max="3972" width="9.53515625"/>
    <col min="3973" max="3973" width="6.921875"/>
    <col min="3974" max="3974" width="9.53515625"/>
    <col min="3975" max="3975" width="6.921875"/>
    <col min="3976" max="3976" width="9.53515625"/>
    <col min="3977" max="3977" width="6.921875"/>
    <col min="3978" max="3978" width="9.53515625"/>
    <col min="3979" max="3979" width="6.921875"/>
    <col min="3980" max="3980" width="9.53515625"/>
    <col min="3981" max="3981" width="6.921875"/>
    <col min="3982" max="3982" width="9.53515625"/>
    <col min="3983" max="3983" width="6.921875"/>
    <col min="3984" max="3984" width="9.53515625"/>
    <col min="3985" max="3985" width="6.921875"/>
    <col min="3986" max="3986" width="9.53515625"/>
    <col min="3987" max="3987" width="6.921875"/>
    <col min="3988" max="3988" width="9.53515625"/>
    <col min="3989" max="3989" width="6.921875"/>
    <col min="3990" max="3990" width="9.53515625"/>
    <col min="3991" max="3991" width="7.765625"/>
    <col min="3992" max="3992" width="10.69140625"/>
    <col min="3993" max="3993" width="7.765625"/>
    <col min="3994" max="3994" width="10.69140625"/>
    <col min="3995" max="3995" width="7.765625"/>
    <col min="3996" max="3996" width="10.69140625"/>
    <col min="3997" max="3997" width="7.765625"/>
    <col min="3998" max="3998" width="10.69140625"/>
    <col min="3999" max="3999" width="7.765625"/>
    <col min="4000" max="4000" width="10.69140625"/>
    <col min="4001" max="4001" width="7.765625"/>
    <col min="4002" max="4002" width="10.69140625"/>
    <col min="4003" max="4003" width="7.765625"/>
    <col min="4004" max="4004" width="10.69140625"/>
    <col min="4005" max="4005" width="7.765625"/>
    <col min="4006" max="4006" width="10.69140625"/>
    <col min="4007" max="4007" width="7.765625"/>
    <col min="4008" max="4008" width="10.69140625"/>
    <col min="4009" max="4009" width="7.765625"/>
    <col min="4010" max="4010" width="10.69140625"/>
    <col min="4011" max="4011" width="7.765625"/>
    <col min="4012" max="4012" width="10.69140625"/>
    <col min="4013" max="4013" width="7.765625"/>
    <col min="4014" max="4014" width="10.69140625"/>
    <col min="4015" max="4015" width="7.765625"/>
    <col min="4016" max="4016" width="10.69140625"/>
    <col min="4017" max="4017" width="7.765625"/>
    <col min="4018" max="4018" width="10.69140625"/>
    <col min="4019" max="4019" width="11.23046875"/>
    <col min="4020" max="4020" width="11.765625"/>
    <col min="4021" max="4021" width="9.53515625"/>
    <col min="4022" max="4022" width="8.765625"/>
    <col min="4023" max="4023" width="11.765625"/>
    <col min="4024" max="4024" width="9.53515625"/>
    <col min="4025" max="4025" width="8.765625"/>
    <col min="4026" max="4026" width="11.765625"/>
    <col min="4027" max="4027" width="9.53515625"/>
    <col min="4028" max="4028" width="8.765625"/>
    <col min="4029" max="4029" width="11.765625"/>
    <col min="4030" max="4030" width="9.53515625"/>
    <col min="4031" max="4031" width="8.765625"/>
    <col min="4032" max="4032" width="11.765625"/>
    <col min="4033" max="4033" width="9.53515625"/>
    <col min="4034" max="4034" width="8.765625"/>
    <col min="4035" max="4035" width="11.765625"/>
    <col min="4036" max="4036" width="9.53515625"/>
    <col min="4037" max="4037" width="8.765625"/>
    <col min="4038" max="4038" width="11.765625"/>
    <col min="4039" max="4039" width="9.53515625"/>
    <col min="4040" max="4040" width="8.765625"/>
    <col min="4041" max="4041" width="11.765625"/>
    <col min="4042" max="4042" width="9.53515625"/>
    <col min="4043" max="4043" width="8.765625"/>
    <col min="4044" max="4044" width="11.765625"/>
    <col min="4045" max="4045" width="9.53515625"/>
    <col min="4046" max="4046" width="8.765625"/>
    <col min="4047" max="4047" width="11.765625"/>
    <col min="4048" max="4048" width="9.53515625"/>
    <col min="4049" max="4049" width="8.765625"/>
    <col min="4050" max="4050" width="11.765625"/>
    <col min="4051" max="4051" width="9.53515625"/>
    <col min="4052" max="4052" width="8.765625"/>
    <col min="4053" max="4053" width="11.765625"/>
    <col min="4054" max="4054" width="9.53515625"/>
    <col min="4055" max="4055" width="8.765625"/>
    <col min="4056" max="4056" width="11.765625"/>
    <col min="4057" max="4057" width="9.53515625"/>
    <col min="4058" max="4058" width="8.765625"/>
    <col min="4059" max="4059" width="11.765625"/>
    <col min="4060" max="4060" width="9.53515625"/>
    <col min="4061" max="4061" width="8.765625"/>
    <col min="4062" max="4062" width="11.765625"/>
    <col min="4063" max="4063" width="9.53515625"/>
    <col min="4064" max="4064" width="8.765625"/>
    <col min="4065" max="4065" width="11.765625"/>
    <col min="4066" max="4066" width="9.53515625"/>
    <col min="4067" max="4067" width="8.765625"/>
    <col min="4068" max="4068" width="11.765625"/>
    <col min="4069" max="4069" width="9.53515625"/>
    <col min="4070" max="4070" width="8.765625"/>
    <col min="4071" max="4071" width="11.765625"/>
    <col min="4072" max="4072" width="9.53515625"/>
    <col min="4073" max="4073" width="8.765625"/>
    <col min="4074" max="4074" width="11.765625"/>
    <col min="4075" max="4075" width="9.53515625"/>
    <col min="4076" max="4076" width="8.765625"/>
    <col min="4077" max="4077" width="11.765625"/>
    <col min="4078" max="4078" width="9.53515625"/>
    <col min="4079" max="4079" width="8.765625"/>
    <col min="4080" max="4080" width="11.765625"/>
    <col min="4081" max="4081" width="9.53515625"/>
    <col min="4082" max="4082" width="8.765625"/>
    <col min="4083" max="4083" width="11.765625"/>
    <col min="4084" max="4084" width="9.53515625"/>
    <col min="4085" max="4085" width="8.765625"/>
    <col min="4086" max="4086" width="11.765625"/>
    <col min="4087" max="4087" width="9.53515625"/>
    <col min="4088" max="4088" width="8.765625"/>
    <col min="4089" max="4089" width="11.765625"/>
    <col min="4090" max="4090" width="9.53515625"/>
    <col min="4091" max="4091" width="8.765625"/>
    <col min="4092" max="4092" width="11.765625"/>
    <col min="4093" max="4093" width="9.53515625"/>
    <col min="4094" max="4094" width="8.765625"/>
    <col min="4095" max="4095" width="11.765625"/>
    <col min="4096" max="4096" width="9.53515625"/>
    <col min="4097" max="4097" width="8.765625"/>
    <col min="4098" max="4098" width="11.765625"/>
    <col min="4099" max="4099" width="9.53515625"/>
    <col min="4100" max="4100" width="8.765625"/>
    <col min="4101" max="4101" width="11.765625"/>
    <col min="4102" max="4102" width="9.53515625"/>
    <col min="4103" max="4103" width="8.765625"/>
    <col min="4104" max="4104" width="11.765625"/>
    <col min="4105" max="4105" width="9.53515625"/>
    <col min="4106" max="4106" width="8.765625"/>
    <col min="4107" max="4107" width="11.765625"/>
    <col min="4108" max="4108" width="9.53515625"/>
    <col min="4109" max="4109" width="8.765625"/>
    <col min="4110" max="4110" width="11.765625"/>
    <col min="4111" max="4111" width="9.53515625"/>
    <col min="4112" max="4112" width="8.765625"/>
    <col min="4113" max="4113" width="11.765625"/>
    <col min="4114" max="4114" width="9.53515625"/>
    <col min="4115" max="4115" width="8.765625"/>
    <col min="4116" max="4116" width="11.765625"/>
    <col min="4117" max="4117" width="9.53515625"/>
    <col min="4118" max="4118" width="8.765625"/>
    <col min="4119" max="4119" width="11.765625"/>
    <col min="4120" max="4120" width="9.53515625"/>
    <col min="4121" max="4121" width="8.765625"/>
    <col min="4122" max="4122" width="11.765625"/>
    <col min="4123" max="4123" width="9.53515625"/>
    <col min="4124" max="4124" width="8.765625"/>
    <col min="4125" max="4125" width="11.765625"/>
    <col min="4126" max="4126" width="9.53515625"/>
    <col min="4127" max="4127" width="8.765625"/>
    <col min="4128" max="4128" width="11.765625"/>
    <col min="4129" max="4129" width="9.53515625"/>
    <col min="4130" max="4130" width="8.765625"/>
    <col min="4131" max="4131" width="11.765625"/>
    <col min="4132" max="4132" width="9.53515625"/>
    <col min="4133" max="4133" width="8.765625"/>
    <col min="4134" max="4134" width="11.765625"/>
    <col min="4135" max="4135" width="9.53515625"/>
    <col min="4136" max="4136" width="8.765625"/>
    <col min="4137" max="4137" width="11.765625"/>
    <col min="4138" max="4138" width="9.53515625"/>
    <col min="4139" max="4139" width="8.765625"/>
    <col min="4140" max="4140" width="11.765625"/>
    <col min="4141" max="4141" width="9.53515625"/>
    <col min="4142" max="4142" width="8.765625"/>
    <col min="4143" max="4143" width="11.765625"/>
    <col min="4144" max="4144" width="9.53515625"/>
    <col min="4145" max="4145" width="8.765625"/>
    <col min="4146" max="4146" width="11.765625"/>
    <col min="4147" max="4147" width="9.53515625"/>
    <col min="4148" max="4148" width="8.765625"/>
    <col min="4149" max="4149" width="11.765625"/>
    <col min="4150" max="4150" width="9.53515625"/>
    <col min="4151" max="4151" width="8.765625"/>
    <col min="4152" max="4152" width="11.765625"/>
    <col min="4153" max="4153" width="9.53515625"/>
    <col min="4154" max="4154" width="8.765625"/>
    <col min="4155" max="4155" width="11.765625"/>
    <col min="4156" max="4156" width="9.53515625"/>
    <col min="4157" max="4157" width="8.765625"/>
    <col min="4158" max="4158" width="11.765625"/>
    <col min="4159" max="4159" width="9.53515625"/>
    <col min="4160" max="4160" width="8.765625"/>
    <col min="4161" max="4161" width="11.765625"/>
    <col min="4162" max="4162" width="9.53515625"/>
    <col min="4163" max="4163" width="8.765625"/>
    <col min="4164" max="4164" width="11.765625"/>
    <col min="4165" max="4165" width="9.53515625"/>
    <col min="4166" max="4166" width="8.765625"/>
    <col min="4167" max="4167" width="11.765625"/>
    <col min="4168" max="4168" width="9.53515625"/>
    <col min="4169" max="4169" width="8.765625"/>
    <col min="4170" max="4170" width="11.765625"/>
    <col min="4171" max="4171" width="9.53515625"/>
    <col min="4172" max="4172" width="8.765625"/>
    <col min="4173" max="4173" width="11.765625"/>
    <col min="4174" max="4174" width="9.53515625"/>
    <col min="4175" max="4175" width="8.765625"/>
    <col min="4176" max="4176" width="11.765625"/>
    <col min="4177" max="4177" width="9.53515625"/>
    <col min="4178" max="4178" width="8.765625"/>
    <col min="4179" max="4179" width="11.765625"/>
    <col min="4180" max="4180" width="9.53515625"/>
    <col min="4181" max="4181" width="8.765625"/>
    <col min="4182" max="4182" width="11.765625"/>
    <col min="4183" max="4183" width="9.53515625"/>
    <col min="4184" max="4184" width="8.765625"/>
    <col min="4185" max="4185" width="11.765625"/>
    <col min="4186" max="4186" width="9.53515625"/>
    <col min="4187" max="4187" width="8.765625"/>
    <col min="4188" max="4188" width="11.765625"/>
    <col min="4189" max="4189" width="9.53515625"/>
    <col min="4190" max="4190" width="8.765625"/>
    <col min="4191" max="4191" width="11.765625"/>
    <col min="4192" max="4192" width="9.53515625"/>
    <col min="4193" max="4193" width="8.765625"/>
    <col min="4194" max="4194" width="11.765625"/>
    <col min="4195" max="4195" width="9.53515625"/>
    <col min="4196" max="4196" width="8.765625"/>
    <col min="4197" max="4197" width="11.765625"/>
    <col min="4198" max="4198" width="9.53515625"/>
    <col min="4199" max="4199" width="9.765625"/>
    <col min="4200" max="4200" width="12.921875"/>
    <col min="4201" max="4201" width="9.53515625"/>
    <col min="4202" max="4202" width="8.765625"/>
    <col min="4203" max="4203" width="11.765625"/>
    <col min="4204" max="4204" width="9.53515625"/>
    <col min="4205" max="4205" width="8.765625"/>
    <col min="4206" max="4206" width="11.765625"/>
    <col min="4207" max="4207" width="9.53515625"/>
    <col min="4208" max="4208" width="8.765625"/>
    <col min="4209" max="4209" width="11.765625"/>
    <col min="4210" max="4210" width="9.53515625"/>
    <col min="4211" max="4211" width="8.765625"/>
    <col min="4212" max="4212" width="11.765625"/>
    <col min="4213" max="4213" width="9.53515625"/>
    <col min="4214" max="4214" width="8.765625"/>
    <col min="4215" max="4215" width="11.765625"/>
    <col min="4216" max="4216" width="9.53515625"/>
    <col min="4217" max="4217" width="8.765625"/>
    <col min="4218" max="4218" width="11.765625"/>
    <col min="4219" max="4219" width="9.53515625"/>
    <col min="4220" max="4220" width="8.765625"/>
    <col min="4221" max="4221" width="11.765625"/>
    <col min="4222" max="4222" width="9.53515625"/>
    <col min="4223" max="4223" width="8.765625"/>
    <col min="4224" max="4224" width="11.765625"/>
    <col min="4225" max="4225" width="9.53515625"/>
    <col min="4226" max="4226" width="8.765625"/>
    <col min="4227" max="4227" width="11.765625"/>
    <col min="4228" max="4228" width="9.53515625"/>
    <col min="4229" max="4229" width="8.765625"/>
    <col min="4230" max="4230" width="11.765625"/>
    <col min="4231" max="4231" width="9.53515625"/>
    <col min="4232" max="4232" width="8.765625"/>
    <col min="4233" max="4233" width="11.765625"/>
    <col min="4234" max="4234" width="9.53515625"/>
    <col min="4235" max="4235" width="8.765625"/>
    <col min="4236" max="4236" width="11.765625"/>
    <col min="4237" max="4237" width="9.53515625"/>
    <col min="4238" max="4238" width="8.765625"/>
    <col min="4239" max="4239" width="11.765625"/>
    <col min="4240" max="4240" width="9.53515625"/>
    <col min="4241" max="4241" width="8.765625"/>
    <col min="4242" max="4242" width="11.765625"/>
    <col min="4243" max="4243" width="9.53515625"/>
    <col min="4244" max="4244" width="8.765625"/>
    <col min="4245" max="4245" width="11.765625"/>
    <col min="4246" max="4246" width="9.53515625"/>
    <col min="4247" max="4247" width="9.765625"/>
    <col min="4248" max="4248" width="12.921875"/>
    <col min="4249" max="4249" width="9.53515625"/>
    <col min="4250" max="4250" width="8.765625"/>
    <col min="4251" max="4251" width="11.765625"/>
    <col min="4252" max="4252" width="9.53515625"/>
    <col min="4253" max="4253" width="8.765625"/>
    <col min="4254" max="4254" width="11.765625"/>
    <col min="4255" max="4255" width="9.53515625"/>
    <col min="4256" max="4256" width="8.765625"/>
    <col min="4257" max="4257" width="11.765625"/>
    <col min="4258" max="4258" width="9.53515625"/>
    <col min="4259" max="4259" width="8.765625"/>
    <col min="4260" max="4260" width="11.765625"/>
    <col min="4261" max="4261" width="9.53515625"/>
    <col min="4262" max="4262" width="8.765625"/>
    <col min="4263" max="4263" width="11.765625"/>
    <col min="4264" max="4264" width="9.53515625"/>
    <col min="4265" max="4265" width="8.765625"/>
    <col min="4266" max="4266" width="11.765625"/>
    <col min="4267" max="4267" width="9.53515625"/>
    <col min="4268" max="4268" width="8.765625"/>
    <col min="4269" max="4269" width="11.765625"/>
    <col min="4270" max="4270" width="9.53515625"/>
    <col min="4271" max="4271" width="8.765625"/>
    <col min="4272" max="4272" width="11.765625"/>
    <col min="4273" max="4273" width="9.53515625"/>
    <col min="4274" max="4274" width="8.765625"/>
    <col min="4275" max="4275" width="11.765625"/>
    <col min="4276" max="4276" width="9.53515625"/>
    <col min="4277" max="4277" width="8.765625"/>
    <col min="4278" max="4278" width="11.765625"/>
    <col min="4279" max="4279" width="9.53515625"/>
    <col min="4280" max="4280" width="8.765625"/>
    <col min="4281" max="4281" width="11.765625"/>
    <col min="4282" max="4282" width="9.53515625"/>
    <col min="4283" max="4283" width="8.765625"/>
    <col min="4284" max="4284" width="11.765625"/>
    <col min="4285" max="4285" width="9.53515625"/>
    <col min="4286" max="4286" width="8.765625"/>
    <col min="4287" max="4287" width="11.765625"/>
    <col min="4288" max="4288" width="9.53515625"/>
    <col min="4289" max="4289" width="8.765625"/>
    <col min="4290" max="4290" width="11.765625"/>
    <col min="4291" max="4291" width="9.53515625"/>
    <col min="4292" max="4292" width="8.765625"/>
    <col min="4293" max="4293" width="11.765625"/>
    <col min="4294" max="4294" width="9.53515625"/>
    <col min="4295" max="4295" width="8.765625"/>
    <col min="4296" max="4296" width="11.765625"/>
    <col min="4297" max="4297" width="9.53515625"/>
    <col min="4298" max="4298" width="8.765625"/>
    <col min="4299" max="4299" width="11.765625"/>
    <col min="4300" max="4300" width="9.53515625"/>
    <col min="4301" max="4301" width="8.765625"/>
    <col min="4302" max="4302" width="11.765625"/>
    <col min="4303" max="4303" width="9.53515625"/>
    <col min="4304" max="4304" width="8.765625"/>
    <col min="4305" max="4305" width="11.765625"/>
    <col min="4306" max="4306" width="9.53515625"/>
    <col min="4307" max="4307" width="8.765625"/>
    <col min="4308" max="4308" width="11.765625"/>
    <col min="4309" max="4309" width="9.53515625"/>
    <col min="4310" max="4310" width="8.765625"/>
    <col min="4311" max="4311" width="11.765625"/>
    <col min="4312" max="4312" width="9.53515625"/>
    <col min="4313" max="4313" width="8.765625"/>
    <col min="4314" max="4314" width="11.765625"/>
    <col min="4315" max="4315" width="9.53515625"/>
    <col min="4316" max="4316" width="8.765625"/>
    <col min="4317" max="4317" width="11.765625"/>
    <col min="4318" max="4318" width="9.53515625"/>
    <col min="4319" max="4319" width="8.765625"/>
    <col min="4320" max="4320" width="11.765625"/>
    <col min="4321" max="4321" width="8.765625"/>
    <col min="4322" max="4322" width="11.765625"/>
    <col min="4323" max="4323" width="9.53515625"/>
    <col min="4324" max="4324" width="8.765625"/>
    <col min="4325" max="4325" width="11.765625"/>
    <col min="4326" max="4326" width="9.53515625"/>
    <col min="4327" max="4327" width="8.765625"/>
    <col min="4328" max="4328" width="11.765625"/>
    <col min="4329" max="4329" width="9.53515625"/>
    <col min="4330" max="4330" width="8.765625"/>
    <col min="4331" max="4331" width="11.765625"/>
    <col min="4332" max="4332" width="9.53515625"/>
    <col min="4333" max="4333" width="8.765625"/>
    <col min="4334" max="4334" width="11.765625"/>
    <col min="4335" max="4335" width="9.53515625"/>
    <col min="4336" max="4336" width="8.765625"/>
    <col min="4337" max="4337" width="11.765625"/>
    <col min="4338" max="4338" width="9.53515625"/>
    <col min="4339" max="4339" width="8.765625"/>
    <col min="4340" max="4340" width="11.765625"/>
    <col min="4341" max="4341" width="9.53515625"/>
    <col min="4342" max="4342" width="8.765625"/>
    <col min="4343" max="4343" width="11.765625"/>
    <col min="4344" max="4344" width="9.53515625"/>
    <col min="4345" max="4345" width="8.765625"/>
    <col min="4346" max="4346" width="11.765625"/>
    <col min="4347" max="4347" width="9.53515625"/>
    <col min="4348" max="4348" width="8.765625"/>
    <col min="4349" max="4349" width="11.765625"/>
    <col min="4350" max="4350" width="9.53515625"/>
    <col min="4351" max="4351" width="8.765625"/>
    <col min="4352" max="4352" width="11.765625"/>
    <col min="4353" max="4353" width="9.53515625"/>
    <col min="4354" max="4354" width="8.765625"/>
    <col min="4355" max="4355" width="11.765625"/>
    <col min="4356" max="4356" width="9.53515625"/>
    <col min="4357" max="4357" width="8.765625"/>
    <col min="4358" max="4358" width="11.765625"/>
    <col min="4359" max="4359" width="9.53515625"/>
    <col min="4360" max="4360" width="8.765625"/>
    <col min="4361" max="4361" width="11.765625"/>
    <col min="4362" max="4362" width="9.53515625"/>
    <col min="4363" max="4363" width="8.765625"/>
    <col min="4364" max="4364" width="11.765625"/>
    <col min="4365" max="4365" width="9.53515625"/>
    <col min="4366" max="4366" width="8.765625"/>
    <col min="4367" max="4367" width="11.765625"/>
    <col min="4368" max="4368" width="9.53515625"/>
    <col min="4369" max="4369" width="8.765625"/>
    <col min="4370" max="4370" width="11.765625"/>
    <col min="4371" max="4371" width="9.53515625"/>
    <col min="4372" max="4372" width="8.765625"/>
    <col min="4373" max="4373" width="11.765625"/>
    <col min="4374" max="4374" width="9.53515625"/>
    <col min="4375" max="4375" width="8.765625"/>
    <col min="4376" max="4376" width="11.765625"/>
    <col min="4377" max="4377" width="9.53515625"/>
    <col min="4378" max="4378" width="8.765625"/>
    <col min="4379" max="4379" width="11.765625"/>
    <col min="4380" max="4380" width="9.53515625"/>
    <col min="4381" max="4381" width="8.765625"/>
    <col min="4382" max="4382" width="11.765625"/>
    <col min="4383" max="4383" width="9.53515625"/>
    <col min="4384" max="4384" width="8.765625"/>
    <col min="4385" max="4385" width="11.765625"/>
    <col min="4386" max="4386" width="9.53515625"/>
    <col min="4387" max="4387" width="8.765625"/>
    <col min="4388" max="4388" width="11.765625"/>
    <col min="4389" max="4389" width="9.53515625"/>
    <col min="4390" max="4390" width="8.765625"/>
    <col min="4391" max="4391" width="11.765625"/>
    <col min="4392" max="4392" width="9.53515625"/>
    <col min="4393" max="4393" width="8.765625"/>
    <col min="4394" max="4394" width="11.765625"/>
    <col min="4395" max="4395" width="9.53515625"/>
    <col min="4396" max="4396" width="8.765625"/>
    <col min="4397" max="4397" width="11.765625"/>
    <col min="4398" max="4398" width="9.53515625"/>
    <col min="4399" max="4399" width="8.765625"/>
    <col min="4400" max="4400" width="11.765625"/>
    <col min="4401" max="4401" width="9.53515625"/>
    <col min="4402" max="4402" width="8.765625"/>
    <col min="4403" max="4403" width="11.765625"/>
    <col min="4404" max="4404" width="9.53515625"/>
    <col min="4405" max="4405" width="8.765625"/>
    <col min="4406" max="4406" width="11.765625"/>
    <col min="4407" max="4407" width="9.53515625"/>
    <col min="4408" max="4408" width="9.765625"/>
    <col min="4409" max="4409" width="12.921875"/>
    <col min="4410" max="4410" width="9.53515625"/>
    <col min="4411" max="4411" width="8.765625"/>
    <col min="4412" max="4412" width="11.765625"/>
    <col min="4413" max="4413" width="9.53515625"/>
    <col min="4414" max="4414" width="8.765625"/>
    <col min="4415" max="4415" width="11.765625"/>
    <col min="4416" max="4416" width="9.53515625"/>
    <col min="4417" max="4417" width="8.765625"/>
    <col min="4418" max="4418" width="11.765625"/>
    <col min="4419" max="4419" width="9.53515625"/>
    <col min="4420" max="4420" width="8.765625"/>
    <col min="4421" max="4421" width="11.765625"/>
    <col min="4422" max="4422" width="9.53515625"/>
    <col min="4423" max="4423" width="8.765625"/>
    <col min="4424" max="4424" width="11.765625"/>
    <col min="4425" max="4425" width="9.53515625"/>
    <col min="4426" max="4426" width="8.765625"/>
    <col min="4427" max="4427" width="11.765625"/>
    <col min="4428" max="4428" width="9.53515625"/>
    <col min="4429" max="4429" width="8.765625"/>
    <col min="4430" max="4430" width="11.765625"/>
    <col min="4431" max="4431" width="9.53515625"/>
    <col min="4432" max="4432" width="9.765625"/>
    <col min="4433" max="4433" width="12.921875"/>
    <col min="4434" max="4434" width="9.53515625"/>
    <col min="4435" max="4435" width="8.765625"/>
    <col min="4436" max="4436" width="11.765625"/>
    <col min="4437" max="4437" width="9.53515625"/>
    <col min="4438" max="4438" width="8.765625"/>
    <col min="4439" max="4439" width="11.765625"/>
    <col min="4440" max="4440" width="9.53515625"/>
    <col min="4441" max="4441" width="8.765625"/>
    <col min="4442" max="4442" width="11.765625"/>
    <col min="4443" max="4443" width="9.53515625"/>
    <col min="4444" max="4444" width="8.765625"/>
    <col min="4445" max="4445" width="11.765625"/>
    <col min="4446" max="4446" width="9.53515625"/>
    <col min="4447" max="4447" width="8.765625"/>
    <col min="4448" max="4448" width="11.765625"/>
    <col min="4449" max="4449" width="9.53515625"/>
    <col min="4450" max="4450" width="9.765625"/>
    <col min="4451" max="4451" width="12.921875"/>
    <col min="4452" max="4452" width="9.53515625"/>
    <col min="4453" max="4453" width="8.765625"/>
    <col min="4454" max="4454" width="11.765625"/>
    <col min="4455" max="4455" width="9.53515625"/>
    <col min="4456" max="4456" width="8.765625"/>
    <col min="4457" max="4457" width="11.765625"/>
    <col min="4458" max="4458" width="9.53515625"/>
    <col min="4459" max="4459" width="8.765625"/>
    <col min="4460" max="4460" width="11.765625"/>
    <col min="4461" max="4461" width="9.53515625"/>
    <col min="4462" max="4462" width="8.765625"/>
    <col min="4463" max="4463" width="11.765625"/>
    <col min="4464" max="4464" width="9.53515625"/>
    <col min="4465" max="4465" width="8.765625"/>
    <col min="4466" max="4466" width="11.765625"/>
    <col min="4467" max="4467" width="9.53515625"/>
    <col min="4468" max="4468" width="8.765625"/>
    <col min="4469" max="4469" width="11.765625"/>
    <col min="4470" max="4470" width="9.53515625"/>
    <col min="4471" max="4471" width="8.765625"/>
    <col min="4472" max="4472" width="11.765625"/>
    <col min="4473" max="4473" width="9.53515625"/>
    <col min="4474" max="4474" width="8.765625"/>
    <col min="4475" max="4475" width="11.765625"/>
    <col min="4476" max="4476" width="9.53515625"/>
    <col min="4477" max="4477" width="8.765625"/>
    <col min="4478" max="4478" width="11.765625"/>
    <col min="4479" max="4479" width="9.53515625"/>
    <col min="4480" max="4480" width="8.765625"/>
    <col min="4481" max="4481" width="11.765625"/>
    <col min="4482" max="4482" width="9.53515625"/>
    <col min="4483" max="4483" width="8.765625"/>
    <col min="4484" max="4484" width="11.765625"/>
    <col min="4485" max="4485" width="9.53515625"/>
    <col min="4486" max="4486" width="8.765625"/>
    <col min="4487" max="4487" width="11.765625"/>
    <col min="4488" max="4488" width="9.53515625"/>
    <col min="4489" max="4489" width="9.765625"/>
    <col min="4490" max="4490" width="12.921875"/>
    <col min="4491" max="4491" width="9.53515625"/>
    <col min="4492" max="4492" width="8.765625"/>
    <col min="4493" max="4493" width="11.765625"/>
    <col min="4494" max="4494" width="9.53515625"/>
    <col min="4495" max="4495" width="8.765625"/>
    <col min="4496" max="4496" width="11.765625"/>
    <col min="4497" max="4497" width="9.53515625"/>
    <col min="4498" max="4498" width="8.765625"/>
    <col min="4499" max="4499" width="11.765625"/>
    <col min="4500" max="4500" width="9.53515625"/>
    <col min="4501" max="4501" width="8.765625"/>
    <col min="4502" max="4502" width="11.765625"/>
    <col min="4503" max="4503" width="9.53515625"/>
    <col min="4504" max="4504" width="8.765625"/>
    <col min="4505" max="4505" width="11.765625"/>
    <col min="4506" max="4506" width="9.53515625"/>
    <col min="4507" max="4507" width="8.765625"/>
    <col min="4508" max="4508" width="11.765625"/>
    <col min="4509" max="4509" width="9.53515625"/>
    <col min="4510" max="4510" width="8.765625"/>
    <col min="4511" max="4511" width="11.765625"/>
    <col min="4512" max="4512" width="9.53515625"/>
    <col min="4513" max="4513" width="8.765625"/>
    <col min="4514" max="4514" width="11.765625"/>
    <col min="4515" max="4515" width="9.53515625"/>
    <col min="4516" max="4516" width="8.765625"/>
    <col min="4517" max="4517" width="11.765625"/>
    <col min="4518" max="4518" width="9.53515625"/>
    <col min="4519" max="4519" width="8.765625"/>
    <col min="4520" max="4520" width="11.765625"/>
    <col min="4521" max="4521" width="9.53515625"/>
    <col min="4522" max="4522" width="8.765625"/>
    <col min="4523" max="4523" width="11.765625"/>
    <col min="4524" max="4524" width="9.53515625"/>
    <col min="4525" max="4525" width="8.765625"/>
    <col min="4526" max="4526" width="11.765625"/>
    <col min="4527" max="4527" width="9.53515625"/>
    <col min="4528" max="4528" width="8.765625"/>
    <col min="4529" max="4529" width="11.765625"/>
    <col min="4530" max="4530" width="9.53515625"/>
    <col min="4531" max="4531" width="8.765625"/>
    <col min="4532" max="4532" width="11.765625"/>
    <col min="4533" max="4533" width="9.53515625"/>
    <col min="4534" max="4534" width="8.765625"/>
    <col min="4535" max="4535" width="11.765625"/>
    <col min="4536" max="4536" width="9.53515625"/>
    <col min="4537" max="4537" width="8.765625"/>
    <col min="4538" max="4538" width="11.765625"/>
    <col min="4539" max="4539" width="9.53515625"/>
    <col min="4540" max="4540" width="8.765625"/>
    <col min="4541" max="4541" width="11.765625"/>
    <col min="4542" max="4542" width="9.53515625"/>
    <col min="4543" max="4543" width="8.765625"/>
    <col min="4544" max="4544" width="11.765625"/>
    <col min="4545" max="4545" width="9.53515625"/>
    <col min="4546" max="4546" width="8.765625"/>
    <col min="4547" max="4547" width="11.765625"/>
    <col min="4548" max="4548" width="9.53515625"/>
    <col min="4549" max="4549" width="8.765625"/>
    <col min="4550" max="4550" width="11.765625"/>
    <col min="4551" max="4551" width="9.53515625"/>
    <col min="4552" max="4552" width="8.765625"/>
    <col min="4553" max="4553" width="11.765625"/>
    <col min="4554" max="4554" width="9.53515625"/>
    <col min="4555" max="4555" width="8.765625"/>
    <col min="4556" max="4556" width="11.765625"/>
    <col min="4557" max="4557" width="9.53515625"/>
    <col min="4558" max="4558" width="8.765625"/>
    <col min="4559" max="4559" width="11.765625"/>
    <col min="4560" max="4560" width="9.53515625"/>
    <col min="4561" max="4561" width="8.765625"/>
    <col min="4562" max="4562" width="11.765625"/>
    <col min="4563" max="4563" width="9.53515625"/>
    <col min="4564" max="4564" width="8.765625"/>
    <col min="4565" max="4565" width="11.765625"/>
    <col min="4566" max="4566" width="9.53515625"/>
    <col min="4567" max="4567" width="8.765625"/>
    <col min="4568" max="4568" width="11.765625"/>
    <col min="4569" max="4569" width="9.53515625"/>
    <col min="4570" max="4570" width="8.765625"/>
    <col min="4571" max="4571" width="11.765625"/>
    <col min="4572" max="4572" width="9.53515625"/>
    <col min="4573" max="4573" width="8.765625"/>
    <col min="4574" max="4574" width="11.765625"/>
    <col min="4575" max="4575" width="9.53515625"/>
    <col min="4576" max="4576" width="8.765625"/>
    <col min="4577" max="4577" width="11.765625"/>
    <col min="4578" max="4578" width="9.53515625"/>
    <col min="4579" max="4579" width="8.765625"/>
    <col min="4580" max="4580" width="11.765625"/>
    <col min="4581" max="4581" width="9.53515625"/>
    <col min="4582" max="4582" width="8.765625"/>
    <col min="4583" max="4583" width="11.765625"/>
    <col min="4584" max="4584" width="9.53515625"/>
    <col min="4585" max="4585" width="8.765625"/>
    <col min="4586" max="4586" width="11.765625"/>
    <col min="4587" max="4587" width="9.53515625"/>
    <col min="4588" max="4588" width="8.765625"/>
    <col min="4589" max="4589" width="11.765625"/>
    <col min="4590" max="4590" width="9.53515625"/>
    <col min="4591" max="4591" width="8.765625"/>
    <col min="4592" max="4592" width="11.765625"/>
    <col min="4593" max="4593" width="9.53515625"/>
    <col min="4594" max="4594" width="8.765625"/>
    <col min="4595" max="4595" width="11.765625"/>
    <col min="4596" max="4596" width="9.53515625"/>
    <col min="4597" max="4597" width="8.765625"/>
    <col min="4598" max="4598" width="11.765625"/>
    <col min="4599" max="4599" width="9.53515625"/>
    <col min="4600" max="4600" width="8.765625"/>
    <col min="4601" max="4601" width="11.765625"/>
    <col min="4602" max="4602" width="9.53515625"/>
    <col min="4603" max="4603" width="8.765625"/>
    <col min="4604" max="4604" width="11.765625"/>
    <col min="4605" max="4605" width="9.53515625"/>
    <col min="4606" max="4606" width="8.765625"/>
    <col min="4607" max="4607" width="11.765625"/>
    <col min="4608" max="4608" width="9.53515625"/>
    <col min="4609" max="4609" width="8.765625"/>
    <col min="4610" max="4610" width="11.765625"/>
    <col min="4611" max="4611" width="9.53515625"/>
    <col min="4612" max="4612" width="8.765625"/>
    <col min="4613" max="4613" width="11.765625"/>
    <col min="4614" max="4614" width="9.53515625"/>
    <col min="4615" max="4615" width="8.765625"/>
    <col min="4616" max="4616" width="11.765625"/>
    <col min="4617" max="4617" width="9.53515625"/>
    <col min="4618" max="4618" width="8.765625"/>
    <col min="4619" max="4619" width="11.765625"/>
    <col min="4620" max="4620" width="9.53515625"/>
    <col min="4621" max="4621" width="8.765625"/>
    <col min="4622" max="4622" width="11.765625"/>
    <col min="4623" max="4623" width="9.53515625"/>
    <col min="4624" max="4624" width="8.765625"/>
    <col min="4625" max="4625" width="11.765625"/>
    <col min="4626" max="4626" width="9.53515625"/>
    <col min="4627" max="4627" width="8.765625"/>
    <col min="4628" max="4628" width="11.765625"/>
    <col min="4629" max="4629" width="9.53515625"/>
    <col min="4630" max="4630" width="8.765625"/>
    <col min="4631" max="4631" width="11.765625"/>
    <col min="4632" max="4632" width="9.53515625"/>
    <col min="4633" max="4633" width="8.765625"/>
    <col min="4634" max="4634" width="11.765625"/>
    <col min="4635" max="4635" width="9.53515625"/>
    <col min="4636" max="4636" width="8.765625"/>
    <col min="4637" max="4637" width="11.765625"/>
    <col min="4638" max="4638" width="9.53515625"/>
    <col min="4639" max="4639" width="8.765625"/>
    <col min="4640" max="4640" width="11.765625"/>
    <col min="4641" max="4641" width="9.53515625"/>
    <col min="4642" max="4642" width="8.765625"/>
    <col min="4643" max="4643" width="11.765625"/>
    <col min="4644" max="4644" width="9.53515625"/>
    <col min="4645" max="4645" width="8.765625"/>
    <col min="4646" max="4646" width="11.765625"/>
    <col min="4647" max="4647" width="9.53515625"/>
    <col min="4648" max="4648" width="8.765625"/>
    <col min="4649" max="4649" width="11.765625"/>
    <col min="4650" max="4650" width="9.53515625"/>
    <col min="4651" max="4651" width="8.765625"/>
    <col min="4652" max="4652" width="11.765625"/>
    <col min="4653" max="4653" width="9.53515625"/>
    <col min="4654" max="4654" width="8.765625"/>
    <col min="4655" max="4655" width="11.765625"/>
    <col min="4656" max="4656" width="9.53515625"/>
    <col min="4657" max="4657" width="8.765625"/>
    <col min="4658" max="4658" width="11.765625"/>
    <col min="4659" max="4659" width="9.53515625"/>
    <col min="4660" max="4660" width="8.765625"/>
    <col min="4661" max="4661" width="11.765625"/>
    <col min="4662" max="4662" width="9.53515625"/>
    <col min="4663" max="4663" width="8.765625"/>
    <col min="4664" max="4664" width="11.765625"/>
    <col min="4665" max="4665" width="9.53515625"/>
    <col min="4666" max="4666" width="8.765625"/>
    <col min="4667" max="4667" width="11.765625"/>
    <col min="4668" max="4668" width="9.53515625"/>
    <col min="4669" max="4669" width="8.765625"/>
    <col min="4670" max="4670" width="11.765625"/>
    <col min="4671" max="4671" width="9.53515625"/>
    <col min="4672" max="4672" width="8.765625"/>
    <col min="4673" max="4673" width="11.765625"/>
    <col min="4674" max="4674" width="9.53515625"/>
    <col min="4675" max="4675" width="8.765625"/>
    <col min="4676" max="4676" width="11.765625"/>
    <col min="4677" max="4677" width="9.53515625"/>
    <col min="4678" max="4678" width="8.765625"/>
    <col min="4679" max="4679" width="11.765625"/>
    <col min="4680" max="4680" width="9.53515625"/>
    <col min="4681" max="4681" width="8.765625"/>
    <col min="4682" max="4682" width="11.765625"/>
    <col min="4683" max="4683" width="9.53515625"/>
    <col min="4684" max="4684" width="8.765625"/>
    <col min="4685" max="4685" width="11.765625"/>
    <col min="4686" max="4686" width="9.53515625"/>
    <col min="4687" max="4687" width="8.765625"/>
    <col min="4688" max="4688" width="11.765625"/>
    <col min="4689" max="4689" width="9.53515625"/>
    <col min="4690" max="4690" width="8.765625"/>
    <col min="4691" max="4691" width="11.765625"/>
    <col min="4692" max="4692" width="9.53515625"/>
    <col min="4693" max="4693" width="8.765625"/>
    <col min="4694" max="4694" width="11.765625"/>
    <col min="4695" max="4695" width="9.53515625"/>
    <col min="4696" max="4696" width="8.765625"/>
    <col min="4697" max="4697" width="11.765625"/>
    <col min="4698" max="4698" width="9.53515625"/>
    <col min="4699" max="4699" width="8.765625"/>
    <col min="4700" max="4700" width="11.765625"/>
    <col min="4701" max="4701" width="9.53515625"/>
    <col min="4702" max="4702" width="8.765625"/>
    <col min="4703" max="4703" width="11.765625"/>
    <col min="4704" max="4704" width="9.53515625"/>
    <col min="4705" max="4705" width="8.765625"/>
    <col min="4706" max="4706" width="11.765625"/>
    <col min="4707" max="4707" width="9.53515625"/>
    <col min="4708" max="4708" width="8.765625"/>
    <col min="4709" max="4709" width="11.765625"/>
    <col min="4710" max="4710" width="9.53515625"/>
    <col min="4711" max="4711" width="8.765625"/>
    <col min="4712" max="4712" width="11.765625"/>
    <col min="4713" max="4713" width="9.53515625"/>
    <col min="4714" max="4714" width="8.765625"/>
    <col min="4715" max="4715" width="11.765625"/>
    <col min="4716" max="4716" width="9.53515625"/>
    <col min="4717" max="4717" width="8.765625"/>
    <col min="4718" max="4718" width="11.765625"/>
    <col min="4719" max="4719" width="9.53515625"/>
    <col min="4720" max="4720" width="8.765625"/>
    <col min="4721" max="4721" width="11.765625"/>
    <col min="4722" max="4722" width="9.53515625"/>
    <col min="4723" max="4723" width="8.765625"/>
    <col min="4724" max="4724" width="11.765625"/>
    <col min="4725" max="4725" width="9.53515625"/>
    <col min="4726" max="4726" width="8.765625"/>
    <col min="4727" max="4727" width="11.765625"/>
    <col min="4728" max="4728" width="9.53515625"/>
    <col min="4729" max="4729" width="8.765625"/>
    <col min="4730" max="4730" width="11.765625"/>
    <col min="4731" max="4731" width="9.53515625"/>
    <col min="4732" max="4732" width="8.765625"/>
    <col min="4733" max="4733" width="11.765625"/>
    <col min="4734" max="4734" width="9.53515625"/>
    <col min="4735" max="4735" width="8.765625"/>
    <col min="4736" max="4736" width="11.765625"/>
    <col min="4737" max="4737" width="9.53515625"/>
    <col min="4738" max="4738" width="8.765625"/>
    <col min="4739" max="4739" width="11.765625"/>
    <col min="4740" max="4740" width="9.53515625"/>
    <col min="4741" max="4741" width="8.765625"/>
    <col min="4742" max="4742" width="11.765625"/>
    <col min="4743" max="4743" width="9.53515625"/>
    <col min="4744" max="4744" width="8.765625"/>
    <col min="4745" max="4745" width="11.765625"/>
    <col min="4746" max="4746" width="9.53515625"/>
    <col min="4747" max="4747" width="8.765625"/>
    <col min="4748" max="4748" width="11.765625"/>
    <col min="4749" max="4749" width="9.53515625"/>
    <col min="4750" max="4750" width="8.765625"/>
    <col min="4751" max="4751" width="11.765625"/>
    <col min="4752" max="4752" width="9.53515625"/>
    <col min="4753" max="4753" width="8.765625"/>
    <col min="4754" max="4754" width="11.765625"/>
    <col min="4755" max="4755" width="9.53515625"/>
    <col min="4756" max="4756" width="8.765625"/>
    <col min="4757" max="4757" width="11.765625"/>
    <col min="4758" max="4758" width="9.53515625"/>
    <col min="4759" max="4759" width="8.765625"/>
    <col min="4760" max="4760" width="11.765625"/>
    <col min="4761" max="4761" width="9.53515625"/>
    <col min="4762" max="4762" width="8.765625"/>
    <col min="4763" max="4763" width="11.765625"/>
    <col min="4764" max="4764" width="9.53515625"/>
    <col min="4765" max="4765" width="8.765625"/>
    <col min="4766" max="4766" width="11.765625"/>
    <col min="4767" max="4767" width="9.53515625"/>
    <col min="4768" max="4768" width="8.765625"/>
    <col min="4769" max="4769" width="11.765625"/>
    <col min="4770" max="4770" width="9.53515625"/>
    <col min="4771" max="4771" width="8.765625"/>
    <col min="4772" max="4772" width="11.765625"/>
    <col min="4773" max="4773" width="9.53515625"/>
    <col min="4774" max="4774" width="8.765625"/>
    <col min="4775" max="4775" width="11.765625"/>
    <col min="4776" max="4776" width="9.53515625"/>
    <col min="4777" max="4777" width="8.765625"/>
    <col min="4778" max="4778" width="11.765625"/>
    <col min="4779" max="4779" width="9.53515625"/>
    <col min="4780" max="4780" width="8.765625"/>
    <col min="4781" max="4781" width="11.765625"/>
    <col min="4782" max="4782" width="9.53515625"/>
    <col min="4783" max="4783" width="8.765625"/>
    <col min="4784" max="4784" width="11.765625"/>
    <col min="4785" max="4785" width="9.53515625"/>
    <col min="4786" max="4786" width="8.765625"/>
    <col min="4787" max="4787" width="11.765625"/>
    <col min="4788" max="4788" width="9.53515625"/>
    <col min="4789" max="4789" width="8.765625"/>
    <col min="4790" max="4790" width="11.765625"/>
    <col min="4791" max="4791" width="9.53515625"/>
    <col min="4792" max="4792" width="8.765625"/>
    <col min="4793" max="4793" width="11.765625"/>
    <col min="4794" max="4794" width="9.53515625"/>
    <col min="4795" max="4795" width="8.765625"/>
    <col min="4796" max="4796" width="11.765625"/>
    <col min="4797" max="4797" width="9.53515625"/>
    <col min="4798" max="4798" width="8.765625"/>
    <col min="4799" max="4799" width="11.765625"/>
    <col min="4800" max="4800" width="9.53515625"/>
    <col min="4801" max="4801" width="8.765625"/>
    <col min="4802" max="4802" width="11.765625"/>
    <col min="4803" max="4803" width="9.53515625"/>
    <col min="4804" max="4804" width="8.765625"/>
    <col min="4805" max="4805" width="11.765625"/>
    <col min="4806" max="4806" width="9.53515625"/>
    <col min="4807" max="4807" width="8.765625"/>
    <col min="4808" max="4808" width="11.765625"/>
    <col min="4809" max="4809" width="9.53515625"/>
    <col min="4810" max="4810" width="8.765625"/>
    <col min="4811" max="4811" width="11.765625"/>
    <col min="4812" max="4812" width="9.53515625"/>
    <col min="4813" max="4813" width="8.765625"/>
    <col min="4814" max="4814" width="11.765625"/>
    <col min="4815" max="4815" width="9.53515625"/>
    <col min="4816" max="4816" width="8.765625"/>
    <col min="4817" max="4817" width="11.765625"/>
    <col min="4818" max="4818" width="9.53515625"/>
    <col min="4819" max="4819" width="8.765625"/>
    <col min="4820" max="4820" width="11.765625"/>
    <col min="4821" max="4821" width="9.53515625"/>
    <col min="4822" max="4822" width="8.765625"/>
    <col min="4823" max="4823" width="11.765625"/>
    <col min="4824" max="4824" width="9.53515625"/>
    <col min="4825" max="4825" width="8.765625"/>
    <col min="4826" max="4826" width="11.765625"/>
    <col min="4827" max="4827" width="9.53515625"/>
    <col min="4828" max="4828" width="8.765625"/>
    <col min="4829" max="4829" width="11.765625"/>
    <col min="4830" max="4830" width="9.53515625"/>
    <col min="4831" max="4831" width="8.765625"/>
    <col min="4832" max="4832" width="11.765625"/>
    <col min="4833" max="4833" width="9.53515625"/>
    <col min="4834" max="4834" width="8.765625"/>
    <col min="4835" max="4835" width="11.765625"/>
    <col min="4836" max="4836" width="9.53515625"/>
    <col min="4837" max="4837" width="8.765625"/>
    <col min="4838" max="4838" width="11.765625"/>
    <col min="4839" max="4839" width="9.53515625"/>
    <col min="4840" max="4840" width="8.765625"/>
    <col min="4841" max="4841" width="11.765625"/>
    <col min="4842" max="4842" width="9.53515625"/>
    <col min="4843" max="4843" width="8.765625"/>
    <col min="4844" max="4844" width="11.765625"/>
    <col min="4845" max="4845" width="9.53515625"/>
    <col min="4846" max="4846" width="8.765625"/>
    <col min="4847" max="4847" width="11.765625"/>
    <col min="4848" max="4848" width="9.53515625"/>
    <col min="4849" max="4849" width="8.765625"/>
    <col min="4850" max="4850" width="11.765625"/>
    <col min="4851" max="4851" width="9.53515625"/>
    <col min="4852" max="4852" width="8.765625"/>
    <col min="4853" max="4853" width="11.765625"/>
    <col min="4854" max="4854" width="9.53515625"/>
    <col min="4855" max="4855" width="8.765625"/>
    <col min="4856" max="4856" width="11.765625"/>
    <col min="4857" max="4857" width="9.53515625"/>
    <col min="4858" max="4858" width="8.765625"/>
    <col min="4859" max="4859" width="11.765625"/>
    <col min="4860" max="4860" width="9.53515625"/>
    <col min="4861" max="4861" width="8.765625"/>
    <col min="4862" max="4862" width="11.765625"/>
    <col min="4863" max="4863" width="9.53515625"/>
    <col min="4864" max="4864" width="8.765625"/>
    <col min="4865" max="4865" width="11.765625"/>
    <col min="4866" max="4866" width="9.53515625"/>
    <col min="4867" max="4867" width="8.765625"/>
    <col min="4868" max="4868" width="11.765625"/>
    <col min="4869" max="4869" width="9.53515625"/>
    <col min="4870" max="4870" width="8.765625"/>
    <col min="4871" max="4871" width="11.765625"/>
    <col min="4872" max="4872" width="9.53515625"/>
    <col min="4873" max="4873" width="8.765625"/>
    <col min="4874" max="4874" width="11.765625"/>
    <col min="4875" max="4875" width="9.53515625"/>
    <col min="4876" max="4876" width="8.765625"/>
    <col min="4877" max="4877" width="11.765625"/>
    <col min="4878" max="4878" width="9.53515625"/>
    <col min="4879" max="4879" width="8.765625"/>
    <col min="4880" max="4880" width="11.765625"/>
    <col min="4881" max="4881" width="9.53515625"/>
    <col min="4882" max="4882" width="8.765625"/>
    <col min="4883" max="4883" width="11.765625"/>
    <col min="4884" max="4884" width="9.53515625"/>
    <col min="4885" max="4885" width="8.765625"/>
    <col min="4886" max="4886" width="11.765625"/>
    <col min="4887" max="4887" width="9.53515625"/>
    <col min="4888" max="4888" width="8.765625"/>
    <col min="4889" max="4889" width="11.765625"/>
    <col min="4890" max="4890" width="9.53515625"/>
    <col min="4891" max="4891" width="8.765625"/>
    <col min="4892" max="4892" width="11.765625"/>
    <col min="4893" max="4893" width="9.53515625"/>
    <col min="4894" max="4894" width="8.765625"/>
    <col min="4895" max="4895" width="11.765625"/>
    <col min="4896" max="4896" width="9.53515625"/>
    <col min="4897" max="4897" width="8.765625"/>
    <col min="4898" max="4898" width="11.765625"/>
    <col min="4899" max="4899" width="9.53515625"/>
    <col min="4900" max="4900" width="8.765625"/>
    <col min="4901" max="4901" width="11.765625"/>
    <col min="4902" max="4902" width="9.53515625"/>
    <col min="4903" max="4903" width="8.765625"/>
    <col min="4904" max="4904" width="11.765625"/>
    <col min="4905" max="4905" width="9.53515625"/>
    <col min="4906" max="4906" width="8.765625"/>
    <col min="4907" max="4907" width="11.765625"/>
    <col min="4908" max="4908" width="9.53515625"/>
    <col min="4909" max="4909" width="8.765625"/>
    <col min="4910" max="4910" width="11.765625"/>
    <col min="4911" max="4911" width="9.53515625"/>
    <col min="4912" max="4912" width="8.765625"/>
    <col min="4913" max="4913" width="11.765625"/>
    <col min="4914" max="4914" width="9.53515625"/>
    <col min="4915" max="4915" width="8.765625"/>
    <col min="4916" max="4916" width="11.765625"/>
    <col min="4917" max="4917" width="9.53515625"/>
    <col min="4918" max="4918" width="8.765625"/>
    <col min="4919" max="4919" width="11.765625"/>
    <col min="4920" max="4920" width="9.53515625"/>
    <col min="4921" max="4921" width="8.765625"/>
    <col min="4922" max="4922" width="11.765625"/>
    <col min="4923" max="4923" width="9.53515625"/>
    <col min="4924" max="4924" width="8.765625"/>
    <col min="4925" max="4925" width="11.765625"/>
    <col min="4926" max="4926" width="9.53515625"/>
    <col min="4927" max="4927" width="8.765625"/>
    <col min="4928" max="4928" width="11.765625"/>
    <col min="4929" max="4929" width="9.53515625"/>
    <col min="4930" max="4930" width="8.765625"/>
    <col min="4931" max="4931" width="11.765625"/>
    <col min="4932" max="4932" width="9.53515625"/>
    <col min="4933" max="4933" width="8.765625"/>
    <col min="4934" max="4934" width="11.765625"/>
    <col min="4935" max="4935" width="9.53515625"/>
    <col min="4936" max="4936" width="8.765625"/>
    <col min="4937" max="4937" width="11.765625"/>
    <col min="4938" max="4938" width="9.53515625"/>
    <col min="4939" max="4939" width="8.765625"/>
    <col min="4940" max="4940" width="11.765625"/>
    <col min="4941" max="4941" width="9.53515625"/>
    <col min="4942" max="4942" width="8.765625"/>
    <col min="4943" max="4943" width="11.765625"/>
    <col min="4944" max="4944" width="9.53515625"/>
    <col min="4945" max="4945" width="8.765625"/>
    <col min="4946" max="4946" width="11.765625"/>
    <col min="4947" max="4947" width="9.53515625"/>
    <col min="4948" max="4948" width="8.765625"/>
    <col min="4949" max="4949" width="11.765625"/>
    <col min="4950" max="4950" width="9.53515625"/>
    <col min="4951" max="4951" width="8.765625"/>
    <col min="4952" max="4952" width="11.765625"/>
    <col min="4953" max="4953" width="9.53515625"/>
    <col min="4954" max="4954" width="8.765625"/>
    <col min="4955" max="4955" width="11.765625"/>
    <col min="4956" max="4956" width="9.53515625"/>
    <col min="4957" max="4957" width="8.765625"/>
    <col min="4958" max="4958" width="11.765625"/>
    <col min="4959" max="4959" width="9.53515625"/>
    <col min="4960" max="4960" width="8.765625"/>
    <col min="4961" max="4961" width="11.765625"/>
    <col min="4962" max="4962" width="9.53515625"/>
    <col min="4963" max="4963" width="8.765625"/>
    <col min="4964" max="4964" width="11.765625"/>
    <col min="4965" max="4965" width="9.53515625"/>
    <col min="4966" max="4966" width="8.765625"/>
    <col min="4967" max="4967" width="11.765625"/>
    <col min="4968" max="4968" width="9.53515625"/>
    <col min="4969" max="4969" width="8.765625"/>
    <col min="4970" max="4970" width="11.765625"/>
    <col min="4971" max="4971" width="9.53515625"/>
    <col min="4972" max="4972" width="8.765625"/>
    <col min="4973" max="4973" width="11.765625"/>
    <col min="4974" max="4974" width="9.53515625"/>
    <col min="4975" max="4975" width="8.765625"/>
    <col min="4976" max="4976" width="11.765625"/>
    <col min="4977" max="4977" width="9.53515625"/>
    <col min="4978" max="4978" width="8.765625"/>
    <col min="4979" max="4979" width="11.765625"/>
    <col min="4980" max="4980" width="9.53515625"/>
    <col min="4981" max="4981" width="8.765625"/>
    <col min="4982" max="4982" width="11.765625"/>
    <col min="4983" max="4983" width="9.53515625"/>
    <col min="4984" max="4984" width="8.765625"/>
    <col min="4985" max="4985" width="11.765625"/>
    <col min="4986" max="4986" width="9.53515625"/>
    <col min="4987" max="4987" width="8.765625"/>
    <col min="4988" max="4988" width="11.765625"/>
    <col min="4989" max="4989" width="9.53515625"/>
    <col min="4990" max="4990" width="8.765625"/>
    <col min="4991" max="4991" width="11.765625"/>
    <col min="4992" max="4992" width="9.53515625"/>
    <col min="4993" max="4993" width="8.765625"/>
    <col min="4994" max="4994" width="11.765625"/>
    <col min="4995" max="4995" width="9.53515625"/>
    <col min="4996" max="4996" width="8.765625"/>
    <col min="4997" max="4997" width="11.765625"/>
    <col min="4998" max="4998" width="9.53515625"/>
    <col min="4999" max="4999" width="8.765625"/>
    <col min="5000" max="5000" width="11.765625"/>
    <col min="5001" max="5001" width="9.53515625"/>
    <col min="5002" max="5002" width="8.765625"/>
    <col min="5003" max="5003" width="11.765625"/>
    <col min="5004" max="5004" width="9.53515625"/>
    <col min="5005" max="5005" width="8.765625"/>
    <col min="5006" max="5006" width="11.765625"/>
    <col min="5007" max="5007" width="9.53515625"/>
    <col min="5008" max="5008" width="8.765625"/>
    <col min="5009" max="5009" width="11.765625"/>
    <col min="5010" max="5010" width="9.53515625"/>
    <col min="5011" max="5011" width="8.765625"/>
    <col min="5012" max="5012" width="11.765625"/>
    <col min="5013" max="5013" width="9.53515625"/>
    <col min="5014" max="5014" width="8.765625"/>
    <col min="5015" max="5015" width="11.765625"/>
    <col min="5016" max="5016" width="9.53515625"/>
    <col min="5017" max="5017" width="8.765625"/>
    <col min="5018" max="5018" width="11.765625"/>
    <col min="5019" max="5019" width="9.53515625"/>
    <col min="5020" max="5020" width="8.765625"/>
    <col min="5021" max="5021" width="11.765625"/>
    <col min="5022" max="5022" width="9.53515625"/>
    <col min="5023" max="5023" width="8.765625"/>
    <col min="5024" max="5024" width="11.765625"/>
    <col min="5025" max="5025" width="9.53515625"/>
    <col min="5026" max="5026" width="8.765625"/>
    <col min="5027" max="5027" width="11.765625"/>
    <col min="5028" max="5028" width="9.53515625"/>
    <col min="5029" max="5029" width="8.765625"/>
    <col min="5030" max="5030" width="11.765625"/>
    <col min="5031" max="5031" width="9.53515625"/>
    <col min="5032" max="5032" width="8.765625"/>
    <col min="5033" max="5033" width="11.765625"/>
    <col min="5034" max="5034" width="9.53515625"/>
    <col min="5035" max="5035" width="8.765625"/>
    <col min="5036" max="5036" width="11.765625"/>
    <col min="5037" max="5037" width="9.53515625"/>
    <col min="5038" max="5038" width="8.765625"/>
    <col min="5039" max="5039" width="11.765625"/>
    <col min="5040" max="5040" width="9.53515625"/>
    <col min="5041" max="5041" width="8.765625"/>
    <col min="5042" max="5042" width="11.765625"/>
    <col min="5043" max="5043" width="9.53515625"/>
    <col min="5044" max="5044" width="8.765625"/>
    <col min="5045" max="5045" width="11.765625"/>
    <col min="5046" max="5046" width="9.53515625"/>
    <col min="5047" max="5047" width="8.765625"/>
    <col min="5048" max="5048" width="11.765625"/>
    <col min="5049" max="5049" width="9.53515625"/>
    <col min="5050" max="5050" width="8.765625"/>
    <col min="5051" max="5051" width="11.765625"/>
    <col min="5052" max="5052" width="9.53515625"/>
    <col min="5053" max="5053" width="8.765625"/>
    <col min="5054" max="5054" width="11.765625"/>
    <col min="5055" max="5055" width="9.53515625"/>
    <col min="5056" max="5056" width="8.765625"/>
    <col min="5057" max="5057" width="11.765625"/>
    <col min="5058" max="5058" width="9.53515625"/>
    <col min="5059" max="5059" width="8.765625"/>
    <col min="5060" max="5060" width="11.765625"/>
    <col min="5061" max="5061" width="9.53515625"/>
    <col min="5062" max="5062" width="8.765625"/>
    <col min="5063" max="5063" width="11.765625"/>
    <col min="5064" max="5064" width="9.53515625"/>
    <col min="5065" max="5065" width="8.765625"/>
    <col min="5066" max="5066" width="11.765625"/>
    <col min="5067" max="5067" width="9.53515625"/>
    <col min="5068" max="5068" width="8.765625"/>
    <col min="5069" max="5069" width="11.765625"/>
    <col min="5070" max="5070" width="9.53515625"/>
    <col min="5071" max="5071" width="8.765625"/>
    <col min="5072" max="5072" width="11.765625"/>
    <col min="5073" max="5073" width="9.53515625"/>
    <col min="5074" max="5074" width="8.765625"/>
    <col min="5075" max="5075" width="11.765625"/>
    <col min="5076" max="5076" width="9.53515625"/>
    <col min="5077" max="5077" width="8.765625"/>
    <col min="5078" max="5078" width="11.765625"/>
    <col min="5079" max="5079" width="9.53515625"/>
    <col min="5080" max="5080" width="8.765625"/>
    <col min="5081" max="5081" width="11.765625"/>
    <col min="5082" max="5082" width="9.53515625"/>
    <col min="5083" max="5083" width="8.765625"/>
    <col min="5084" max="5084" width="11.765625"/>
    <col min="5085" max="5085" width="9.53515625"/>
    <col min="5086" max="5086" width="8.765625"/>
    <col min="5087" max="5087" width="11.765625"/>
    <col min="5088" max="5088" width="9.53515625"/>
    <col min="5089" max="5089" width="8.765625"/>
    <col min="5090" max="5090" width="11.765625"/>
    <col min="5091" max="5091" width="9.53515625"/>
    <col min="5092" max="5092" width="8.765625"/>
    <col min="5093" max="5093" width="11.765625"/>
    <col min="5094" max="5094" width="9.53515625"/>
    <col min="5095" max="5095" width="8.765625"/>
    <col min="5096" max="5096" width="11.765625"/>
    <col min="5097" max="5097" width="9.53515625"/>
    <col min="5098" max="5098" width="8.765625"/>
    <col min="5099" max="5099" width="11.765625"/>
    <col min="5100" max="5100" width="9.53515625"/>
    <col min="5101" max="5101" width="8.765625"/>
    <col min="5102" max="5102" width="11.765625"/>
    <col min="5103" max="5103" width="9.53515625"/>
    <col min="5104" max="5104" width="8.765625"/>
    <col min="5105" max="5105" width="11.765625"/>
    <col min="5106" max="5106" width="9.53515625"/>
    <col min="5107" max="5107" width="8.765625"/>
    <col min="5108" max="5108" width="11.765625"/>
    <col min="5109" max="5109" width="9.53515625"/>
    <col min="5110" max="5110" width="8.765625"/>
    <col min="5111" max="5111" width="11.765625"/>
    <col min="5112" max="5112" width="9.53515625"/>
    <col min="5113" max="5113" width="8.765625"/>
    <col min="5114" max="5114" width="11.765625"/>
    <col min="5115" max="5115" width="9.53515625"/>
    <col min="5116" max="5116" width="8.765625"/>
    <col min="5117" max="5117" width="11.765625"/>
    <col min="5118" max="5118" width="9.53515625"/>
    <col min="5119" max="5119" width="8.765625"/>
    <col min="5120" max="5120" width="11.765625"/>
    <col min="5121" max="5121" width="9.53515625"/>
    <col min="5122" max="5122" width="8.765625"/>
    <col min="5123" max="5123" width="11.765625"/>
    <col min="5124" max="5124" width="9.53515625"/>
    <col min="5125" max="5125" width="8.765625"/>
    <col min="5126" max="5126" width="11.765625"/>
    <col min="5127" max="5127" width="9.53515625"/>
    <col min="5128" max="5128" width="8.765625"/>
    <col min="5129" max="5129" width="11.765625"/>
    <col min="5130" max="5130" width="9.53515625"/>
    <col min="5131" max="5131" width="8.765625"/>
    <col min="5132" max="5132" width="11.765625"/>
    <col min="5133" max="5133" width="9.53515625"/>
    <col min="5134" max="5134" width="8.765625"/>
    <col min="5135" max="5135" width="11.765625"/>
    <col min="5136" max="5136" width="9.53515625"/>
    <col min="5137" max="5137" width="8.765625"/>
    <col min="5138" max="5138" width="11.765625"/>
    <col min="5139" max="5139" width="9.53515625"/>
    <col min="5140" max="5140" width="8.765625"/>
    <col min="5141" max="5141" width="11.765625"/>
    <col min="5142" max="5142" width="9.53515625"/>
    <col min="5143" max="5143" width="8.765625"/>
    <col min="5144" max="5144" width="11.765625"/>
    <col min="5145" max="5145" width="9.53515625"/>
    <col min="5146" max="5146" width="8.765625"/>
    <col min="5147" max="5147" width="11.765625"/>
    <col min="5148" max="5148" width="9.53515625"/>
    <col min="5149" max="5149" width="8.765625"/>
    <col min="5150" max="5150" width="11.765625"/>
    <col min="5151" max="5151" width="9.53515625"/>
    <col min="5152" max="5152" width="8.765625"/>
    <col min="5153" max="5153" width="11.765625"/>
    <col min="5154" max="5154" width="9.53515625"/>
    <col min="5155" max="5155" width="8.765625"/>
    <col min="5156" max="5156" width="11.765625"/>
    <col min="5157" max="5157" width="9.53515625"/>
    <col min="5158" max="5158" width="8.765625"/>
    <col min="5159" max="5159" width="11.765625"/>
    <col min="5160" max="5160" width="9.53515625"/>
    <col min="5161" max="5161" width="8.765625"/>
    <col min="5162" max="5162" width="11.765625"/>
    <col min="5163" max="5163" width="9.53515625"/>
    <col min="5164" max="5164" width="8.765625"/>
    <col min="5165" max="5165" width="11.765625"/>
    <col min="5166" max="5166" width="9.53515625"/>
    <col min="5167" max="5167" width="8.765625"/>
    <col min="5168" max="5168" width="11.765625"/>
    <col min="5169" max="5169" width="9.53515625"/>
    <col min="5170" max="5170" width="8.765625"/>
    <col min="5171" max="5171" width="11.765625"/>
    <col min="5172" max="5172" width="9.53515625"/>
    <col min="5173" max="5173" width="8.765625"/>
    <col min="5174" max="5174" width="11.765625"/>
    <col min="5175" max="5175" width="9.53515625"/>
    <col min="5176" max="5176" width="8.765625"/>
    <col min="5177" max="5177" width="11.765625"/>
    <col min="5178" max="5178" width="9.53515625"/>
    <col min="5179" max="5179" width="8.765625"/>
    <col min="5180" max="5180" width="11.765625"/>
    <col min="5181" max="5181" width="9.53515625"/>
    <col min="5182" max="5182" width="8.765625"/>
    <col min="5183" max="5183" width="11.765625"/>
    <col min="5184" max="5184" width="9.53515625"/>
    <col min="5185" max="5185" width="8.765625"/>
    <col min="5186" max="5186" width="11.765625"/>
    <col min="5187" max="5187" width="9.53515625"/>
    <col min="5188" max="5188" width="8.765625"/>
    <col min="5189" max="5189" width="11.765625"/>
    <col min="5190" max="5190" width="9.53515625"/>
    <col min="5191" max="5191" width="8.765625"/>
    <col min="5192" max="5192" width="11.765625"/>
    <col min="5193" max="5193" width="9.53515625"/>
    <col min="5194" max="5194" width="8.765625"/>
    <col min="5195" max="5195" width="11.765625"/>
    <col min="5196" max="5196" width="9.53515625"/>
    <col min="5197" max="5197" width="8.765625"/>
    <col min="5198" max="5198" width="11.765625"/>
    <col min="5199" max="5199" width="9.53515625"/>
    <col min="5200" max="5200" width="8.765625"/>
    <col min="5201" max="5201" width="11.765625"/>
    <col min="5202" max="5202" width="9.53515625"/>
    <col min="5203" max="5203" width="8.765625"/>
    <col min="5204" max="5204" width="11.765625"/>
    <col min="5205" max="5205" width="9.53515625"/>
    <col min="5206" max="5206" width="8.765625"/>
    <col min="5207" max="5207" width="11.765625"/>
    <col min="5208" max="5208" width="9.53515625"/>
    <col min="5209" max="5209" width="8.765625"/>
    <col min="5210" max="5210" width="11.765625"/>
    <col min="5211" max="5211" width="9.53515625"/>
    <col min="5212" max="5212" width="8.765625"/>
    <col min="5213" max="5213" width="11.765625"/>
    <col min="5214" max="5214" width="9.53515625"/>
    <col min="5215" max="5215" width="8.765625"/>
    <col min="5216" max="5216" width="11.765625"/>
    <col min="5217" max="5217" width="9.53515625"/>
    <col min="5218" max="5218" width="8.765625"/>
    <col min="5219" max="5219" width="11.765625"/>
    <col min="5220" max="5220" width="9.53515625"/>
    <col min="5221" max="5221" width="8.765625"/>
    <col min="5222" max="5222" width="11.765625"/>
    <col min="5223" max="5223" width="9.53515625"/>
    <col min="5224" max="5224" width="8.765625"/>
    <col min="5225" max="5225" width="11.765625"/>
    <col min="5226" max="5226" width="9.53515625"/>
    <col min="5227" max="5227" width="8.765625"/>
    <col min="5228" max="5228" width="11.765625"/>
    <col min="5229" max="5229" width="9.53515625"/>
    <col min="5230" max="5230" width="8.765625"/>
    <col min="5231" max="5231" width="11.765625"/>
    <col min="5232" max="5232" width="9.53515625"/>
    <col min="5233" max="5233" width="8.765625"/>
    <col min="5234" max="5234" width="11.765625"/>
    <col min="5235" max="5235" width="9.53515625"/>
    <col min="5236" max="5236" width="8.765625"/>
    <col min="5237" max="5237" width="11.765625"/>
    <col min="5238" max="5238" width="9.53515625"/>
    <col min="5239" max="5239" width="8.765625"/>
    <col min="5240" max="5240" width="11.765625"/>
    <col min="5241" max="5241" width="9.53515625"/>
    <col min="5242" max="5242" width="8.765625"/>
    <col min="5243" max="5243" width="11.765625"/>
    <col min="5244" max="5244" width="9.53515625"/>
    <col min="5245" max="5245" width="8.765625"/>
    <col min="5246" max="5246" width="11.765625"/>
    <col min="5247" max="5247" width="9.53515625"/>
    <col min="5248" max="5248" width="8.765625"/>
    <col min="5249" max="5249" width="11.765625"/>
    <col min="5250" max="5250" width="9.53515625"/>
    <col min="5251" max="5251" width="8.765625"/>
    <col min="5252" max="5252" width="11.765625"/>
    <col min="5253" max="5253" width="9.53515625"/>
    <col min="5254" max="5254" width="8.765625"/>
    <col min="5255" max="5255" width="11.765625"/>
    <col min="5256" max="5256" width="9.53515625"/>
    <col min="5257" max="5257" width="8.765625"/>
    <col min="5258" max="5258" width="11.765625"/>
    <col min="5259" max="5259" width="9.53515625"/>
    <col min="5260" max="5260" width="8.765625"/>
    <col min="5261" max="5261" width="11.765625"/>
    <col min="5262" max="5262" width="9.53515625"/>
    <col min="5263" max="5263" width="8.765625"/>
    <col min="5264" max="5264" width="11.765625"/>
    <col min="5265" max="5265" width="9.53515625"/>
    <col min="5266" max="5266" width="8.765625"/>
    <col min="5267" max="5267" width="11.765625"/>
    <col min="5268" max="5268" width="9.53515625"/>
    <col min="5269" max="5269" width="8.765625"/>
    <col min="5270" max="5270" width="11.765625"/>
    <col min="5271" max="5271" width="9.53515625"/>
    <col min="5272" max="5272" width="8.765625"/>
    <col min="5273" max="5273" width="11.765625"/>
    <col min="5274" max="5274" width="9.53515625"/>
    <col min="5275" max="5275" width="8.765625"/>
    <col min="5276" max="5276" width="11.765625"/>
    <col min="5277" max="5277" width="9.53515625"/>
    <col min="5278" max="5278" width="8.765625"/>
    <col min="5279" max="5279" width="11.765625"/>
    <col min="5280" max="5280" width="9.53515625"/>
    <col min="5281" max="5281" width="8.765625"/>
    <col min="5282" max="5282" width="11.765625"/>
    <col min="5283" max="5283" width="9.53515625"/>
    <col min="5284" max="5284" width="8.765625"/>
    <col min="5285" max="5285" width="11.765625"/>
    <col min="5286" max="5286" width="9.53515625"/>
    <col min="5287" max="5287" width="8.765625"/>
    <col min="5288" max="5288" width="11.765625"/>
    <col min="5289" max="5289" width="9.53515625"/>
    <col min="5290" max="5290" width="8.765625"/>
    <col min="5291" max="5291" width="11.765625"/>
    <col min="5292" max="5292" width="9.53515625"/>
    <col min="5293" max="5293" width="8.765625"/>
    <col min="5294" max="5294" width="11.765625"/>
    <col min="5295" max="5295" width="9.53515625"/>
    <col min="5296" max="5296" width="8.765625"/>
    <col min="5297" max="5297" width="11.765625"/>
    <col min="5298" max="5298" width="9.53515625"/>
    <col min="5299" max="5299" width="8.765625"/>
    <col min="5300" max="5300" width="11.765625"/>
    <col min="5301" max="5301" width="9.53515625"/>
    <col min="5302" max="5302" width="9.765625"/>
    <col min="5303" max="5303" width="12.921875"/>
    <col min="5304" max="5304" width="9.53515625"/>
    <col min="5305" max="5305" width="8.765625"/>
    <col min="5306" max="5306" width="11.765625"/>
    <col min="5307" max="5307" width="9.53515625"/>
    <col min="5308" max="5308" width="8.765625"/>
    <col min="5309" max="5309" width="11.765625"/>
    <col min="5310" max="5310" width="9.53515625"/>
    <col min="5311" max="5311" width="8.765625"/>
    <col min="5312" max="5312" width="11.765625"/>
    <col min="5313" max="5313" width="9.53515625"/>
    <col min="5314" max="5314" width="8.765625"/>
    <col min="5315" max="5315" width="11.765625"/>
    <col min="5316" max="5316" width="9.53515625"/>
    <col min="5317" max="5317" width="8.765625"/>
    <col min="5318" max="5318" width="11.765625"/>
    <col min="5319" max="5319" width="9.53515625"/>
    <col min="5320" max="5320" width="8.765625"/>
    <col min="5321" max="5321" width="11.765625"/>
    <col min="5322" max="5322" width="9.53515625"/>
    <col min="5323" max="5323" width="8.765625"/>
    <col min="5324" max="5324" width="11.765625"/>
    <col min="5325" max="5325" width="9.53515625"/>
    <col min="5326" max="5326" width="8.765625"/>
    <col min="5327" max="5327" width="11.765625"/>
    <col min="5328" max="5328" width="9.53515625"/>
    <col min="5329" max="5329" width="8.765625"/>
    <col min="5330" max="5330" width="11.765625"/>
    <col min="5331" max="5331" width="9.53515625"/>
    <col min="5332" max="5332" width="8.765625"/>
    <col min="5333" max="5333" width="11.765625"/>
    <col min="5334" max="5334" width="9.53515625"/>
    <col min="5335" max="5335" width="8.765625"/>
    <col min="5336" max="5336" width="11.765625"/>
    <col min="5337" max="5337" width="9.53515625"/>
    <col min="5338" max="5338" width="8.765625"/>
    <col min="5339" max="5339" width="11.765625"/>
    <col min="5340" max="5340" width="9.53515625"/>
    <col min="5341" max="5341" width="8.765625"/>
    <col min="5342" max="5342" width="11.765625"/>
    <col min="5343" max="5343" width="9.53515625"/>
    <col min="5344" max="5344" width="8.765625"/>
    <col min="5345" max="5345" width="11.765625"/>
    <col min="5346" max="5346" width="9.53515625"/>
    <col min="5347" max="5347" width="8.765625"/>
    <col min="5348" max="5348" width="11.765625"/>
    <col min="5349" max="5349" width="9.53515625"/>
    <col min="5350" max="5350" width="8.765625"/>
    <col min="5351" max="5351" width="11.765625"/>
    <col min="5352" max="5352" width="9.53515625"/>
    <col min="5353" max="5353" width="8.765625"/>
    <col min="5354" max="5354" width="11.765625"/>
    <col min="5355" max="5355" width="9.53515625"/>
    <col min="5356" max="5356" width="9.765625"/>
    <col min="5357" max="5357" width="12.921875"/>
    <col min="5358" max="5358" width="9.53515625"/>
    <col min="5359" max="5359" width="8.765625"/>
    <col min="5360" max="5360" width="11.765625"/>
    <col min="5361" max="5361" width="9.53515625"/>
    <col min="5362" max="5362" width="8.765625"/>
    <col min="5363" max="5363" width="11.765625"/>
    <col min="5364" max="5364" width="9.53515625"/>
    <col min="5365" max="5365" width="8.765625"/>
    <col min="5366" max="5366" width="11.765625"/>
    <col min="5367" max="5367" width="9.53515625"/>
    <col min="5368" max="5368" width="8.765625"/>
    <col min="5369" max="5369" width="11.765625"/>
    <col min="5370" max="5370" width="9.53515625"/>
    <col min="5371" max="5371" width="8.765625"/>
    <col min="5372" max="5372" width="11.765625"/>
    <col min="5373" max="5373" width="9.53515625"/>
    <col min="5374" max="5374" width="8.765625"/>
    <col min="5375" max="5375" width="11.765625"/>
    <col min="5376" max="5376" width="9.53515625"/>
    <col min="5377" max="5377" width="8.765625"/>
    <col min="5378" max="5378" width="11.765625"/>
    <col min="5379" max="5379" width="9.53515625"/>
    <col min="5380" max="5380" width="8.765625"/>
    <col min="5381" max="5381" width="11.765625"/>
    <col min="5382" max="5382" width="9.53515625"/>
    <col min="5383" max="5383" width="8.765625"/>
    <col min="5384" max="5384" width="11.765625"/>
    <col min="5385" max="5385" width="9.53515625"/>
    <col min="5386" max="5386" width="8.765625"/>
    <col min="5387" max="5387" width="11.765625"/>
    <col min="5388" max="5388" width="9.53515625"/>
    <col min="5389" max="5389" width="8.765625"/>
    <col min="5390" max="5390" width="11.765625"/>
    <col min="5391" max="5391" width="9.53515625"/>
    <col min="5392" max="5392" width="8.765625"/>
    <col min="5393" max="5393" width="11.765625"/>
    <col min="5394" max="5394" width="9.53515625"/>
    <col min="5395" max="5395" width="8.765625"/>
    <col min="5396" max="5396" width="11.765625"/>
    <col min="5397" max="5397" width="9.53515625"/>
    <col min="5398" max="5398" width="8.765625"/>
    <col min="5399" max="5399" width="11.765625"/>
    <col min="5400" max="5400" width="9.53515625"/>
    <col min="5401" max="5401" width="8.765625"/>
    <col min="5402" max="5402" width="11.765625"/>
    <col min="5403" max="5403" width="9.53515625"/>
    <col min="5404" max="5404" width="8.765625"/>
    <col min="5405" max="5405" width="11.765625"/>
    <col min="5406" max="5406" width="9.53515625"/>
    <col min="5407" max="5407" width="8.765625"/>
    <col min="5408" max="5408" width="11.765625"/>
    <col min="5409" max="5409" width="9.53515625"/>
    <col min="5410" max="5410" width="8.765625"/>
    <col min="5411" max="5411" width="11.765625"/>
    <col min="5412" max="5412" width="9.53515625"/>
    <col min="5413" max="5413" width="8.765625"/>
    <col min="5414" max="5414" width="11.765625"/>
    <col min="5415" max="5415" width="9.53515625"/>
    <col min="5416" max="5416" width="8.765625"/>
    <col min="5417" max="5417" width="11.765625"/>
    <col min="5418" max="5418" width="9.53515625"/>
    <col min="5419" max="5419" width="8.765625"/>
    <col min="5420" max="5420" width="11.765625"/>
    <col min="5421" max="5421" width="9.53515625"/>
    <col min="5422" max="5422" width="8.765625"/>
    <col min="5423" max="5423" width="11.765625"/>
    <col min="5424" max="5424" width="9.53515625"/>
    <col min="5425" max="5425" width="8.765625"/>
    <col min="5426" max="5426" width="11.765625"/>
    <col min="5427" max="5427" width="9.53515625"/>
    <col min="5428" max="5428" width="8.765625"/>
    <col min="5429" max="5429" width="11.765625"/>
    <col min="5430" max="5430" width="9.53515625"/>
    <col min="5431" max="5431" width="8.765625"/>
    <col min="5432" max="5432" width="11.765625"/>
    <col min="5433" max="5433" width="9.53515625"/>
    <col min="5434" max="5434" width="8.765625"/>
    <col min="5435" max="5435" width="11.765625"/>
    <col min="5436" max="5436" width="9.53515625"/>
    <col min="5437" max="5437" width="8.765625"/>
    <col min="5438" max="5438" width="11.765625"/>
    <col min="5439" max="5439" width="9.53515625"/>
    <col min="5440" max="5440" width="8.765625"/>
    <col min="5441" max="5441" width="11.765625"/>
    <col min="5442" max="5442" width="9.53515625"/>
    <col min="5443" max="5443" width="8.765625"/>
    <col min="5444" max="5444" width="11.765625"/>
    <col min="5445" max="5445" width="9.53515625"/>
    <col min="5446" max="5446" width="8.765625"/>
    <col min="5447" max="5447" width="11.765625"/>
    <col min="5448" max="5448" width="9.53515625"/>
    <col min="5449" max="5449" width="8.765625"/>
    <col min="5450" max="5450" width="11.765625"/>
    <col min="5451" max="5451" width="9.53515625"/>
    <col min="5452" max="5452" width="8.765625"/>
    <col min="5453" max="5453" width="11.765625"/>
    <col min="5454" max="5454" width="9.53515625"/>
    <col min="5455" max="5455" width="8.765625"/>
    <col min="5456" max="5456" width="11.765625"/>
    <col min="5457" max="5457" width="9.53515625"/>
    <col min="5458" max="5458" width="8.765625"/>
    <col min="5459" max="5459" width="11.765625"/>
    <col min="5460" max="5460" width="9.53515625"/>
    <col min="5461" max="5461" width="8.765625"/>
    <col min="5462" max="5462" width="11.765625"/>
    <col min="5463" max="5463" width="9.53515625"/>
    <col min="5464" max="5464" width="8.765625"/>
    <col min="5465" max="5465" width="11.765625"/>
    <col min="5466" max="5466" width="9.53515625"/>
    <col min="5467" max="5467" width="8.765625"/>
    <col min="5468" max="5468" width="11.765625"/>
    <col min="5469" max="5469" width="9.53515625"/>
    <col min="5470" max="5470" width="8.765625"/>
    <col min="5471" max="5471" width="11.765625"/>
    <col min="5472" max="5472" width="9.53515625"/>
    <col min="5473" max="5473" width="8.765625"/>
    <col min="5474" max="5474" width="11.765625"/>
    <col min="5475" max="5475" width="9.53515625"/>
    <col min="5476" max="5476" width="8.765625"/>
    <col min="5477" max="5477" width="11.765625"/>
    <col min="5478" max="5478" width="9.53515625"/>
    <col min="5479" max="5479" width="8.765625"/>
    <col min="5480" max="5480" width="11.765625"/>
    <col min="5481" max="5481" width="9.53515625"/>
    <col min="5482" max="5482" width="8.765625"/>
    <col min="5483" max="5483" width="11.765625"/>
    <col min="5484" max="5484" width="9.53515625"/>
    <col min="5485" max="5485" width="8.765625"/>
    <col min="5486" max="5486" width="11.765625"/>
    <col min="5487" max="5487" width="9.53515625"/>
    <col min="5488" max="5488" width="8.765625"/>
    <col min="5489" max="5489" width="11.765625"/>
    <col min="5490" max="5490" width="9.53515625"/>
    <col min="5491" max="5491" width="8.765625"/>
    <col min="5492" max="5492" width="11.765625"/>
    <col min="5493" max="5493" width="9.53515625"/>
    <col min="5494" max="5494" width="8.765625"/>
    <col min="5495" max="5495" width="11.765625"/>
    <col min="5496" max="5496" width="9.53515625"/>
    <col min="5497" max="5497" width="8.765625"/>
    <col min="5498" max="5498" width="11.765625"/>
    <col min="5499" max="5499" width="9.53515625"/>
    <col min="5500" max="5500" width="8.765625"/>
    <col min="5501" max="5501" width="11.765625"/>
    <col min="5502" max="5502" width="9.53515625"/>
    <col min="5503" max="5503" width="8.765625"/>
    <col min="5504" max="5504" width="11.765625"/>
    <col min="5505" max="5505" width="9.53515625"/>
    <col min="5506" max="5506" width="8.765625"/>
    <col min="5507" max="5507" width="11.765625"/>
    <col min="5508" max="5508" width="9.53515625"/>
    <col min="5509" max="5509" width="8.765625"/>
    <col min="5510" max="5510" width="11.765625"/>
    <col min="5511" max="5511" width="9.53515625"/>
    <col min="5512" max="5512" width="8.765625"/>
    <col min="5513" max="5513" width="11.765625"/>
    <col min="5514" max="5514" width="9.53515625"/>
    <col min="5515" max="5515" width="8.765625"/>
    <col min="5516" max="5516" width="11.765625"/>
    <col min="5517" max="5517" width="9.53515625"/>
    <col min="5518" max="5518" width="8.765625"/>
    <col min="5519" max="5519" width="11.765625"/>
    <col min="5520" max="5520" width="9.53515625"/>
    <col min="5521" max="5521" width="8.765625"/>
    <col min="5522" max="5522" width="11.765625"/>
    <col min="5523" max="5523" width="9.53515625"/>
    <col min="5524" max="5524" width="8.765625"/>
    <col min="5525" max="5525" width="11.765625"/>
    <col min="5526" max="5526" width="9.53515625"/>
    <col min="5527" max="5527" width="8.765625"/>
    <col min="5528" max="5528" width="11.765625"/>
    <col min="5529" max="5529" width="9.53515625"/>
    <col min="5530" max="5530" width="8.765625"/>
    <col min="5531" max="5531" width="11.765625"/>
    <col min="5532" max="5532" width="9.53515625"/>
    <col min="5533" max="5533" width="8.765625"/>
    <col min="5534" max="5534" width="11.765625"/>
    <col min="5535" max="5535" width="9.53515625"/>
    <col min="5536" max="5536" width="8.765625"/>
    <col min="5537" max="5537" width="11.765625"/>
    <col min="5538" max="5538" width="9.53515625"/>
    <col min="5539" max="5539" width="8.765625"/>
    <col min="5540" max="5540" width="11.765625"/>
    <col min="5541" max="5541" width="9.53515625"/>
    <col min="5542" max="5542" width="8.765625"/>
    <col min="5543" max="5543" width="11.765625"/>
    <col min="5544" max="5544" width="9.53515625"/>
    <col min="5545" max="5545" width="8.765625"/>
    <col min="5546" max="5546" width="11.765625"/>
    <col min="5547" max="5547" width="9.53515625"/>
    <col min="5548" max="5548" width="8.765625"/>
    <col min="5549" max="5549" width="11.765625"/>
    <col min="5550" max="5550" width="9.53515625"/>
    <col min="5551" max="5551" width="8.765625"/>
    <col min="5552" max="5552" width="11.765625"/>
    <col min="5553" max="5553" width="9.53515625"/>
    <col min="5554" max="5554" width="8.765625"/>
    <col min="5555" max="5555" width="11.765625"/>
    <col min="5556" max="5556" width="9.53515625"/>
    <col min="5557" max="5557" width="8.765625"/>
    <col min="5558" max="5558" width="11.765625"/>
    <col min="5559" max="5559" width="9.53515625"/>
    <col min="5560" max="5560" width="8.765625"/>
    <col min="5561" max="5561" width="11.765625"/>
    <col min="5562" max="5562" width="9.53515625"/>
    <col min="5563" max="5563" width="8.765625"/>
    <col min="5564" max="5564" width="11.765625"/>
    <col min="5565" max="5565" width="9.53515625"/>
    <col min="5566" max="5566" width="8.765625"/>
    <col min="5567" max="5567" width="11.765625"/>
    <col min="5568" max="5568" width="9.53515625"/>
    <col min="5569" max="5569" width="8.765625"/>
    <col min="5570" max="5570" width="11.765625"/>
    <col min="5571" max="5571" width="9.53515625"/>
    <col min="5572" max="5572" width="8.765625"/>
    <col min="5573" max="5573" width="11.765625"/>
    <col min="5574" max="5574" width="9.53515625"/>
    <col min="5575" max="5575" width="8.765625"/>
    <col min="5576" max="5576" width="11.765625"/>
    <col min="5577" max="5577" width="9.53515625"/>
    <col min="5578" max="5578" width="8.765625"/>
    <col min="5579" max="5579" width="11.765625"/>
    <col min="5580" max="5580" width="9.53515625"/>
    <col min="5581" max="5581" width="8.765625"/>
    <col min="5582" max="5582" width="11.765625"/>
    <col min="5583" max="5583" width="9.53515625"/>
    <col min="5584" max="5584" width="8.765625"/>
    <col min="5585" max="5585" width="11.765625"/>
    <col min="5586" max="5586" width="9.53515625"/>
    <col min="5587" max="5587" width="8.765625"/>
    <col min="5588" max="5588" width="11.765625"/>
    <col min="5589" max="5589" width="9.53515625"/>
    <col min="5590" max="5590" width="8.765625"/>
    <col min="5591" max="5591" width="11.765625"/>
    <col min="5592" max="5592" width="9.53515625"/>
    <col min="5593" max="5593" width="8.765625"/>
    <col min="5594" max="5594" width="11.765625"/>
    <col min="5595" max="5595" width="9.53515625"/>
    <col min="5596" max="5596" width="9.765625"/>
    <col min="5597" max="5597" width="12.921875"/>
    <col min="5598" max="5598" width="9.53515625"/>
    <col min="5599" max="5599" width="8.765625"/>
    <col min="5600" max="5600" width="11.765625"/>
    <col min="5601" max="5601" width="9.53515625"/>
    <col min="5602" max="5602" width="8.765625"/>
    <col min="5603" max="5603" width="11.765625"/>
    <col min="5604" max="5604" width="9.53515625"/>
    <col min="5605" max="5605" width="8.765625"/>
    <col min="5606" max="5606" width="11.765625"/>
    <col min="5607" max="5607" width="9.53515625"/>
    <col min="5608" max="5608" width="8.765625"/>
    <col min="5609" max="5609" width="11.765625"/>
    <col min="5610" max="5610" width="9.53515625"/>
    <col min="5611" max="5611" width="8.765625"/>
    <col min="5612" max="5612" width="11.765625"/>
    <col min="5613" max="5613" width="9.53515625"/>
    <col min="5614" max="5614" width="8.765625"/>
    <col min="5615" max="5615" width="11.765625"/>
    <col min="5616" max="5616" width="9.53515625"/>
    <col min="5617" max="5617" width="8.765625"/>
    <col min="5618" max="5618" width="11.765625"/>
    <col min="5619" max="5619" width="9.53515625"/>
    <col min="5620" max="5620" width="8.765625"/>
    <col min="5621" max="5621" width="11.765625"/>
    <col min="5622" max="5622" width="9.53515625"/>
    <col min="5623" max="5623" width="8.765625"/>
    <col min="5624" max="5624" width="11.765625"/>
    <col min="5625" max="5625" width="9.53515625"/>
    <col min="5626" max="5626" width="8.765625"/>
    <col min="5627" max="5627" width="11.765625"/>
    <col min="5628" max="5628" width="9.53515625"/>
    <col min="5629" max="5629" width="8.765625"/>
    <col min="5630" max="5630" width="11.765625"/>
    <col min="5631" max="5631" width="9.53515625"/>
    <col min="5632" max="5632" width="8.765625"/>
    <col min="5633" max="5633" width="11.765625"/>
    <col min="5634" max="5634" width="9.53515625"/>
    <col min="5635" max="5635" width="9.765625"/>
    <col min="5636" max="5636" width="12.921875"/>
    <col min="5637" max="5637" width="9.53515625"/>
    <col min="5638" max="5638" width="8.765625"/>
    <col min="5639" max="5639" width="11.765625"/>
    <col min="5640" max="5640" width="9.53515625"/>
    <col min="5641" max="5641" width="8.765625"/>
    <col min="5642" max="5642" width="11.765625"/>
    <col min="5643" max="5643" width="9.53515625"/>
    <col min="5644" max="5644" width="8.765625"/>
    <col min="5645" max="5645" width="11.765625"/>
    <col min="5646" max="5646" width="9.53515625"/>
    <col min="5647" max="5647" width="8.765625"/>
    <col min="5648" max="5648" width="11.765625"/>
    <col min="5649" max="5649" width="9.53515625"/>
    <col min="5650" max="5650" width="8.765625"/>
    <col min="5651" max="5651" width="11.765625"/>
    <col min="5652" max="5652" width="9.53515625"/>
    <col min="5653" max="5653" width="8.765625"/>
    <col min="5654" max="5654" width="11.765625"/>
    <col min="5655" max="5655" width="9.53515625"/>
    <col min="5656" max="5656" width="8.765625"/>
    <col min="5657" max="5657" width="11.765625"/>
    <col min="5658" max="5658" width="9.53515625"/>
    <col min="5659" max="5659" width="8.765625"/>
    <col min="5660" max="5660" width="11.765625"/>
    <col min="5661" max="5661" width="9.53515625"/>
    <col min="5662" max="5662" width="8.765625"/>
    <col min="5663" max="5663" width="11.765625"/>
    <col min="5664" max="5664" width="9.53515625"/>
    <col min="5665" max="5665" width="8.765625"/>
    <col min="5666" max="5666" width="11.765625"/>
    <col min="5667" max="5667" width="9.53515625"/>
    <col min="5668" max="5668" width="8.765625"/>
    <col min="5669" max="5669" width="11.765625"/>
    <col min="5670" max="5670" width="9.53515625"/>
    <col min="5671" max="5671" width="8.765625"/>
    <col min="5672" max="5672" width="11.765625"/>
    <col min="5673" max="5673" width="9.53515625"/>
    <col min="5674" max="5674" width="8.765625"/>
    <col min="5675" max="5675" width="11.765625"/>
    <col min="5676" max="5676" width="9.53515625"/>
    <col min="5677" max="5677" width="8.765625"/>
    <col min="5678" max="5678" width="11.765625"/>
    <col min="5679" max="5679" width="9.53515625"/>
    <col min="5680" max="5680" width="8.765625"/>
    <col min="5681" max="5681" width="11.765625"/>
    <col min="5682" max="5682" width="9.53515625"/>
    <col min="5683" max="5683" width="8.765625"/>
    <col min="5684" max="5684" width="11.765625"/>
    <col min="5685" max="5685" width="9.53515625"/>
    <col min="5686" max="5686" width="8.765625"/>
    <col min="5687" max="5687" width="11.765625"/>
    <col min="5688" max="5688" width="9.53515625"/>
    <col min="5689" max="5689" width="8.765625"/>
    <col min="5690" max="5690" width="11.765625"/>
    <col min="5691" max="5691" width="9.53515625"/>
    <col min="5692" max="5692" width="8.765625"/>
    <col min="5693" max="5693" width="11.765625"/>
    <col min="5694" max="5694" width="9.53515625"/>
    <col min="5695" max="5695" width="8.765625"/>
    <col min="5696" max="5696" width="11.765625"/>
    <col min="5697" max="5697" width="9.53515625"/>
    <col min="5698" max="5698" width="8.765625"/>
    <col min="5699" max="5699" width="11.765625"/>
    <col min="5700" max="5700" width="9.53515625"/>
    <col min="5701" max="5701" width="8.765625"/>
    <col min="5702" max="5702" width="11.765625"/>
    <col min="5703" max="5703" width="9.53515625"/>
    <col min="5704" max="5704" width="8.765625"/>
    <col min="5705" max="5705" width="11.765625"/>
    <col min="5706" max="5706" width="9.53515625"/>
    <col min="5707" max="5707" width="8.765625"/>
    <col min="5708" max="5708" width="11.765625"/>
    <col min="5709" max="5709" width="9.53515625"/>
    <col min="5710" max="5710" width="8.765625"/>
    <col min="5711" max="5711" width="11.765625"/>
    <col min="5712" max="5712" width="9.53515625"/>
    <col min="5713" max="5713" width="8.765625"/>
    <col min="5714" max="5714" width="11.765625"/>
    <col min="5715" max="5715" width="9.53515625"/>
    <col min="5716" max="5716" width="8.765625"/>
    <col min="5717" max="5717" width="11.765625"/>
    <col min="5718" max="5718" width="9.53515625"/>
    <col min="5719" max="5719" width="8.765625"/>
    <col min="5720" max="5720" width="11.765625"/>
    <col min="5721" max="5721" width="9.53515625"/>
    <col min="5722" max="5722" width="8.765625"/>
    <col min="5723" max="5723" width="11.765625"/>
    <col min="5724" max="5724" width="9.53515625"/>
    <col min="5725" max="5725" width="8.765625"/>
    <col min="5726" max="5726" width="11.765625"/>
    <col min="5727" max="5727" width="9.53515625"/>
    <col min="5728" max="5728" width="8.765625"/>
    <col min="5729" max="5729" width="11.765625"/>
    <col min="5730" max="5730" width="9.53515625"/>
    <col min="5731" max="5731" width="8.765625"/>
    <col min="5732" max="5732" width="11.765625"/>
    <col min="5733" max="5733" width="9.53515625"/>
    <col min="5734" max="5734" width="8.765625"/>
    <col min="5735" max="5735" width="11.765625"/>
    <col min="5736" max="5736" width="9.53515625"/>
    <col min="5737" max="5737" width="8.765625"/>
    <col min="5738" max="5738" width="11.765625"/>
    <col min="5739" max="5739" width="9.53515625"/>
    <col min="5740" max="5740" width="8.765625"/>
    <col min="5741" max="5741" width="11.765625"/>
    <col min="5742" max="5742" width="9.53515625"/>
    <col min="5743" max="5743" width="8.765625"/>
    <col min="5744" max="5744" width="11.765625"/>
    <col min="5745" max="5745" width="9.53515625"/>
    <col min="5746" max="5746" width="8.765625"/>
    <col min="5747" max="5747" width="11.765625"/>
    <col min="5748" max="5748" width="9.53515625"/>
    <col min="5749" max="5749" width="8.765625"/>
    <col min="5750" max="5750" width="11.765625"/>
    <col min="5751" max="5751" width="9.53515625"/>
    <col min="5752" max="5752" width="8.765625"/>
    <col min="5753" max="5753" width="11.765625"/>
    <col min="5754" max="5754" width="9.53515625"/>
    <col min="5755" max="5755" width="8.765625"/>
    <col min="5756" max="5756" width="11.765625"/>
    <col min="5757" max="5757" width="9.53515625"/>
    <col min="5758" max="5758" width="8.765625"/>
    <col min="5759" max="5759" width="11.765625"/>
    <col min="5760" max="5760" width="9.53515625"/>
    <col min="5761" max="5761" width="8.765625"/>
    <col min="5762" max="5762" width="11.765625"/>
    <col min="5763" max="5763" width="9.53515625"/>
    <col min="5764" max="5764" width="8.765625"/>
    <col min="5765" max="5765" width="11.765625"/>
    <col min="5766" max="5766" width="9.53515625"/>
    <col min="5767" max="5767" width="8.765625"/>
    <col min="5768" max="5768" width="11.765625"/>
    <col min="5769" max="5769" width="9.53515625"/>
    <col min="5770" max="5770" width="8.765625"/>
    <col min="5771" max="5771" width="11.765625"/>
    <col min="5772" max="5772" width="9.53515625"/>
    <col min="5773" max="5773" width="8.765625"/>
    <col min="5774" max="5774" width="11.765625"/>
    <col min="5775" max="5775" width="9.53515625"/>
    <col min="5776" max="5776" width="8.765625"/>
    <col min="5777" max="5777" width="11.765625"/>
    <col min="5778" max="5778" width="9.53515625"/>
    <col min="5779" max="5779" width="8.765625"/>
    <col min="5780" max="5780" width="11.765625"/>
    <col min="5781" max="5781" width="9.53515625"/>
    <col min="5782" max="5782" width="8.765625"/>
    <col min="5783" max="5783" width="11.765625"/>
    <col min="5784" max="5784" width="9.53515625"/>
    <col min="5785" max="5785" width="8.765625"/>
    <col min="5786" max="5786" width="11.765625"/>
    <col min="5787" max="5787" width="9.53515625"/>
    <col min="5788" max="5788" width="8.765625"/>
    <col min="5789" max="5789" width="11.765625"/>
    <col min="5790" max="5790" width="9.53515625"/>
    <col min="5791" max="5791" width="8.765625"/>
    <col min="5792" max="5792" width="11.765625"/>
    <col min="5793" max="5793" width="9.53515625"/>
    <col min="5794" max="5794" width="8.765625"/>
    <col min="5795" max="5795" width="11.765625"/>
    <col min="5796" max="5796" width="9.53515625"/>
    <col min="5797" max="5797" width="9.765625"/>
    <col min="5798" max="5798" width="12.921875"/>
    <col min="5799" max="5799" width="9.53515625"/>
    <col min="5800" max="5800" width="8.765625"/>
    <col min="5801" max="5801" width="11.765625"/>
    <col min="5802" max="5802" width="9.53515625"/>
    <col min="5803" max="5803" width="8.765625"/>
    <col min="5804" max="5804" width="11.765625"/>
    <col min="5805" max="5805" width="9.53515625"/>
    <col min="5806" max="5806" width="8.765625"/>
    <col min="5807" max="5807" width="11.765625"/>
    <col min="5808" max="5808" width="9.53515625"/>
    <col min="5809" max="5809" width="8.765625"/>
    <col min="5810" max="5810" width="11.765625"/>
    <col min="5811" max="5811" width="9.53515625"/>
    <col min="5812" max="5812" width="9.765625"/>
    <col min="5813" max="5813" width="12.921875"/>
    <col min="5814" max="5814" width="9.53515625"/>
    <col min="5815" max="5815" width="8.765625"/>
    <col min="5816" max="5816" width="11.765625"/>
    <col min="5817" max="5817" width="9.53515625"/>
    <col min="5818" max="5818" width="8.765625"/>
    <col min="5819" max="5819" width="11.765625"/>
    <col min="5820" max="5820" width="9.53515625"/>
    <col min="5821" max="5821" width="8.765625"/>
    <col min="5822" max="5822" width="11.765625"/>
    <col min="5823" max="5823" width="9.53515625"/>
    <col min="5824" max="5824" width="8.765625"/>
    <col min="5825" max="5825" width="11.765625"/>
    <col min="5826" max="5826" width="9.53515625"/>
    <col min="5827" max="5827" width="8.765625"/>
    <col min="5828" max="5828" width="11.765625"/>
    <col min="5829" max="5829" width="9.53515625"/>
    <col min="5830" max="5830" width="8.765625"/>
    <col min="5831" max="5831" width="11.765625"/>
    <col min="5832" max="5832" width="9.53515625"/>
    <col min="5833" max="5833" width="8.765625"/>
    <col min="5834" max="5834" width="11.765625"/>
    <col min="5835" max="5835" width="9.53515625"/>
    <col min="5836" max="5836" width="8.765625"/>
    <col min="5837" max="5837" width="11.765625"/>
    <col min="5838" max="5838" width="9.53515625"/>
    <col min="5839" max="5839" width="8.765625"/>
    <col min="5840" max="5840" width="11.765625"/>
    <col min="5841" max="5841" width="9.53515625"/>
    <col min="5842" max="5842" width="8.765625"/>
    <col min="5843" max="5843" width="11.765625"/>
    <col min="5844" max="5844" width="9.53515625"/>
    <col min="5845" max="5845" width="8.765625"/>
    <col min="5846" max="5846" width="11.765625"/>
    <col min="5847" max="5847" width="9.53515625"/>
    <col min="5848" max="5848" width="8.765625"/>
    <col min="5849" max="5849" width="11.765625"/>
    <col min="5850" max="5850" width="9.53515625"/>
    <col min="5851" max="5851" width="8.765625"/>
    <col min="5852" max="5852" width="11.765625"/>
    <col min="5853" max="5853" width="9.53515625"/>
    <col min="5854" max="5854" width="8.765625"/>
    <col min="5855" max="5855" width="11.765625"/>
    <col min="5856" max="5856" width="9.53515625"/>
    <col min="5857" max="5857" width="8.765625"/>
    <col min="5858" max="5858" width="11.765625"/>
    <col min="5859" max="5859" width="9.53515625"/>
    <col min="5860" max="5860" width="8.765625"/>
    <col min="5861" max="5861" width="11.765625"/>
    <col min="5862" max="5862" width="9.53515625"/>
    <col min="5863" max="5863" width="8.765625"/>
    <col min="5864" max="5864" width="11.765625"/>
    <col min="5865" max="5865" width="9.53515625"/>
    <col min="5866" max="5866" width="8.765625"/>
    <col min="5867" max="5867" width="11.765625"/>
    <col min="5868" max="5868" width="9.53515625"/>
    <col min="5869" max="5869" width="8.765625"/>
    <col min="5870" max="5870" width="11.765625"/>
    <col min="5871" max="5871" width="9.53515625"/>
    <col min="5872" max="5872" width="8.765625"/>
    <col min="5873" max="5873" width="11.765625"/>
    <col min="5874" max="5874" width="9.53515625"/>
    <col min="5875" max="5875" width="8.765625"/>
    <col min="5876" max="5876" width="11.765625"/>
    <col min="5877" max="5877" width="9.53515625"/>
    <col min="5878" max="5878" width="8.765625"/>
    <col min="5879" max="5879" width="11.765625"/>
    <col min="5880" max="5880" width="9.53515625"/>
    <col min="5881" max="5881" width="8.765625"/>
    <col min="5882" max="5882" width="11.765625"/>
    <col min="5883" max="5883" width="9.53515625"/>
    <col min="5884" max="5884" width="8.765625"/>
    <col min="5885" max="5885" width="11.765625"/>
    <col min="5886" max="5886" width="9.53515625"/>
    <col min="5887" max="5887" width="8.765625"/>
    <col min="5888" max="5888" width="11.765625"/>
    <col min="5889" max="5889" width="9.53515625"/>
    <col min="5890" max="5890" width="8.765625"/>
    <col min="5891" max="5891" width="11.765625"/>
    <col min="5892" max="5892" width="9.53515625"/>
    <col min="5893" max="5893" width="8.765625"/>
    <col min="5894" max="5894" width="11.765625"/>
    <col min="5895" max="5895" width="9.53515625"/>
    <col min="5896" max="5896" width="8.765625"/>
    <col min="5897" max="5897" width="11.765625"/>
    <col min="5898" max="5898" width="9.53515625"/>
    <col min="5899" max="5899" width="8.765625"/>
    <col min="5900" max="5900" width="11.765625"/>
    <col min="5901" max="5901" width="9.53515625"/>
    <col min="5902" max="5902" width="8.765625"/>
    <col min="5903" max="5903" width="11.765625"/>
    <col min="5904" max="5904" width="9.53515625"/>
    <col min="5905" max="5905" width="8.765625"/>
    <col min="5906" max="5906" width="11.765625"/>
    <col min="5907" max="5907" width="9.53515625"/>
    <col min="5908" max="5908" width="8.765625"/>
    <col min="5909" max="5909" width="11.765625"/>
    <col min="5910" max="5910" width="9.53515625"/>
    <col min="5911" max="5911" width="8.765625"/>
    <col min="5912" max="5912" width="11.765625"/>
    <col min="5913" max="5913" width="9.53515625"/>
    <col min="5914" max="5914" width="8.765625"/>
    <col min="5915" max="5915" width="11.765625"/>
    <col min="5916" max="5916" width="9.53515625"/>
    <col min="5917" max="5917" width="8.765625"/>
    <col min="5918" max="5918" width="11.765625"/>
    <col min="5919" max="5919" width="9.53515625"/>
    <col min="5920" max="5920" width="8.765625"/>
    <col min="5921" max="5921" width="11.765625"/>
    <col min="5922" max="5922" width="9.53515625"/>
    <col min="5923" max="5923" width="8.765625"/>
    <col min="5924" max="5924" width="11.765625"/>
    <col min="5925" max="5925" width="9.53515625"/>
    <col min="5926" max="5926" width="8.765625"/>
    <col min="5927" max="5927" width="11.765625"/>
    <col min="5928" max="5928" width="9.53515625"/>
    <col min="5929" max="5929" width="8.765625"/>
    <col min="5930" max="5930" width="11.765625"/>
    <col min="5931" max="5931" width="9.53515625"/>
    <col min="5932" max="5932" width="8.765625"/>
    <col min="5933" max="5933" width="11.765625"/>
    <col min="5934" max="5934" width="9.53515625"/>
    <col min="5935" max="5935" width="8.765625"/>
    <col min="5936" max="5936" width="11.765625"/>
    <col min="5937" max="5937" width="9.53515625"/>
    <col min="5938" max="5938" width="8.765625"/>
    <col min="5939" max="5939" width="11.765625"/>
    <col min="5940" max="5940" width="9.53515625"/>
    <col min="5941" max="5941" width="8.765625"/>
    <col min="5942" max="5942" width="11.765625"/>
    <col min="5943" max="5943" width="9.53515625"/>
    <col min="5944" max="5944" width="8.765625"/>
    <col min="5945" max="5945" width="11.765625"/>
    <col min="5946" max="5946" width="9.53515625"/>
    <col min="5947" max="5947" width="8.765625"/>
    <col min="5948" max="5948" width="11.765625"/>
    <col min="5949" max="5949" width="9.53515625"/>
    <col min="5950" max="5950" width="8.765625"/>
    <col min="5951" max="5951" width="11.765625"/>
    <col min="5952" max="5952" width="9.53515625"/>
    <col min="5953" max="5953" width="8.765625"/>
    <col min="5954" max="5954" width="11.765625"/>
    <col min="5955" max="5955" width="9.53515625"/>
    <col min="5956" max="5956" width="8.765625"/>
    <col min="5957" max="5957" width="11.765625"/>
    <col min="5958" max="5958" width="9.53515625"/>
    <col min="5959" max="5959" width="8.765625"/>
    <col min="5960" max="5960" width="11.765625"/>
    <col min="5961" max="5961" width="9.53515625"/>
    <col min="5962" max="5962" width="8.765625"/>
    <col min="5963" max="5963" width="11.765625"/>
    <col min="5964" max="5964" width="9.53515625"/>
    <col min="5965" max="5965" width="8.765625"/>
    <col min="5966" max="5966" width="11.765625"/>
    <col min="5967" max="5967" width="9.53515625"/>
    <col min="5968" max="5968" width="8.765625"/>
    <col min="5969" max="5969" width="11.765625"/>
    <col min="5970" max="5970" width="9.53515625"/>
    <col min="5971" max="5971" width="8.765625"/>
    <col min="5972" max="5972" width="11.765625"/>
    <col min="5973" max="5973" width="9.53515625"/>
    <col min="5974" max="5974" width="8.765625"/>
    <col min="5975" max="5975" width="11.765625"/>
    <col min="5976" max="5976" width="9.53515625"/>
    <col min="5977" max="5977" width="8.765625"/>
    <col min="5978" max="5978" width="11.765625"/>
    <col min="5979" max="5979" width="10.69140625"/>
    <col min="5980" max="5980" width="8.765625"/>
    <col min="5981" max="5981" width="11.765625"/>
    <col min="5982" max="5982" width="10.69140625"/>
    <col min="5983" max="5983" width="8.765625"/>
    <col min="5984" max="5984" width="11.765625"/>
    <col min="5985" max="5985" width="10.69140625"/>
    <col min="5986" max="5986" width="8.765625"/>
    <col min="5987" max="5987" width="11.765625"/>
    <col min="5988" max="5988" width="10.69140625"/>
    <col min="5989" max="5989" width="8.765625"/>
    <col min="5990" max="5990" width="11.765625"/>
    <col min="5991" max="5991" width="10.69140625"/>
    <col min="5992" max="5992" width="8.765625"/>
    <col min="5993" max="5993" width="11.765625"/>
    <col min="5994" max="5994" width="10.69140625"/>
    <col min="5995" max="5995" width="8.765625"/>
    <col min="5996" max="5996" width="11.765625"/>
    <col min="5997" max="5997" width="10.69140625"/>
    <col min="5998" max="5998" width="8.765625"/>
    <col min="5999" max="5999" width="11.765625"/>
    <col min="6000" max="6000" width="10.69140625"/>
    <col min="6001" max="6001" width="8.765625"/>
    <col min="6002" max="6002" width="11.765625"/>
    <col min="6003" max="6003" width="10.69140625"/>
    <col min="6004" max="6004" width="8.765625"/>
    <col min="6005" max="6005" width="11.765625"/>
    <col min="6006" max="6006" width="10.69140625"/>
    <col min="6007" max="6007" width="8.765625"/>
    <col min="6008" max="6008" width="11.765625"/>
    <col min="6009" max="6009" width="10.69140625"/>
    <col min="6010" max="6010" width="8.765625"/>
    <col min="6011" max="6011" width="11.765625"/>
    <col min="6012" max="6012" width="10.69140625"/>
    <col min="6013" max="6013" width="8.765625"/>
    <col min="6014" max="6014" width="11.765625"/>
    <col min="6015" max="6015" width="10.69140625"/>
    <col min="6016" max="6016" width="8.765625"/>
    <col min="6017" max="6017" width="11.765625"/>
    <col min="6018" max="6018" width="10.69140625"/>
    <col min="6019" max="6019" width="11.23046875"/>
    <col min="6020" max="6021" width="11.765625"/>
    <col min="6022" max="6022" width="9.53515625"/>
    <col min="6023" max="6023" width="9.765625"/>
    <col min="6024" max="6024" width="12.921875"/>
    <col min="6025" max="6025" width="11.765625"/>
    <col min="6026" max="6026" width="9.53515625"/>
    <col min="6027" max="6027" width="8.765625"/>
    <col min="6028" max="6029" width="11.765625"/>
    <col min="6030" max="6030" width="9.53515625"/>
    <col min="6031" max="6031" width="8.765625"/>
    <col min="6032" max="6033" width="11.765625"/>
    <col min="6034" max="6034" width="9.53515625"/>
    <col min="6035" max="6035" width="8.765625"/>
    <col min="6036" max="6037" width="11.765625"/>
    <col min="6038" max="6038" width="9.53515625"/>
    <col min="6039" max="6039" width="8.765625"/>
    <col min="6040" max="6041" width="11.765625"/>
    <col min="6042" max="6042" width="9.53515625"/>
    <col min="6043" max="6043" width="8.765625"/>
    <col min="6044" max="6045" width="11.765625"/>
    <col min="6046" max="6046" width="9.53515625"/>
    <col min="6047" max="6047" width="8.765625"/>
    <col min="6048" max="6049" width="11.765625"/>
    <col min="6050" max="6050" width="9.53515625"/>
    <col min="6051" max="6051" width="8.765625"/>
    <col min="6052" max="6053" width="11.765625"/>
    <col min="6054" max="6054" width="9.53515625"/>
    <col min="6055" max="6055" width="8.765625"/>
    <col min="6056" max="6057" width="11.765625"/>
    <col min="6058" max="6058" width="9.53515625"/>
    <col min="6059" max="6059" width="8.765625"/>
    <col min="6060" max="6061" width="11.765625"/>
    <col min="6062" max="6062" width="9.53515625"/>
    <col min="6063" max="6063" width="8.765625"/>
    <col min="6064" max="6065" width="11.765625"/>
    <col min="6066" max="6066" width="9.53515625"/>
    <col min="6067" max="6067" width="8.765625"/>
    <col min="6068" max="6069" width="11.765625"/>
    <col min="6070" max="6070" width="9.53515625"/>
    <col min="6071" max="6071" width="8.765625"/>
    <col min="6072" max="6073" width="11.765625"/>
    <col min="6074" max="6074" width="9.53515625"/>
    <col min="6075" max="6075" width="8.765625"/>
    <col min="6076" max="6077" width="11.765625"/>
    <col min="6078" max="6078" width="9.53515625"/>
    <col min="6079" max="6079" width="8.765625"/>
    <col min="6080" max="6081" width="11.765625"/>
    <col min="6082" max="6082" width="9.53515625"/>
    <col min="6083" max="6083" width="8.765625"/>
    <col min="6084" max="6085" width="11.765625"/>
    <col min="6086" max="6086" width="9.53515625"/>
    <col min="6087" max="6087" width="8.765625"/>
    <col min="6088" max="6089" width="11.765625"/>
    <col min="6090" max="6090" width="9.53515625"/>
    <col min="6091" max="6091" width="8.765625"/>
    <col min="6092" max="6093" width="11.765625"/>
    <col min="6094" max="6094" width="9.53515625"/>
    <col min="6095" max="6095" width="8.765625"/>
    <col min="6096" max="6097" width="11.765625"/>
    <col min="6098" max="6098" width="9.53515625"/>
    <col min="6099" max="6099" width="8.765625"/>
    <col min="6100" max="6101" width="11.765625"/>
    <col min="6102" max="6102" width="9.53515625"/>
    <col min="6103" max="6103" width="8.765625"/>
    <col min="6104" max="6105" width="11.765625"/>
    <col min="6106" max="6106" width="9.53515625"/>
    <col min="6107" max="6107" width="8.765625"/>
    <col min="6108" max="6109" width="11.765625"/>
    <col min="6110" max="6110" width="9.53515625"/>
    <col min="6111" max="6111" width="8.765625"/>
    <col min="6112" max="6113" width="11.765625"/>
    <col min="6114" max="6114" width="9.53515625"/>
    <col min="6115" max="6115" width="8.765625"/>
    <col min="6116" max="6117" width="11.765625"/>
    <col min="6118" max="6118" width="9.53515625"/>
    <col min="6119" max="6119" width="8.765625"/>
    <col min="6120" max="6121" width="11.765625"/>
    <col min="6122" max="6122" width="9.53515625"/>
    <col min="6123" max="6123" width="8.765625"/>
    <col min="6124" max="6125" width="11.765625"/>
    <col min="6126" max="6126" width="9.53515625"/>
    <col min="6127" max="6127" width="8.765625"/>
    <col min="6128" max="6129" width="11.765625"/>
    <col min="6130" max="6130" width="9.53515625"/>
    <col min="6131" max="6131" width="8.765625"/>
    <col min="6132" max="6133" width="11.765625"/>
    <col min="6134" max="6134" width="9.53515625"/>
    <col min="6135" max="6135" width="8.765625"/>
    <col min="6136" max="6137" width="11.765625"/>
    <col min="6138" max="6138" width="9.53515625"/>
    <col min="6139" max="6139" width="8.765625"/>
    <col min="6140" max="6141" width="11.765625"/>
    <col min="6142" max="6142" width="9.53515625"/>
    <col min="6143" max="6143" width="8.765625"/>
    <col min="6144" max="6145" width="11.765625"/>
    <col min="6146" max="6146" width="9.53515625"/>
    <col min="6147" max="6147" width="8.765625"/>
    <col min="6148" max="6149" width="11.765625"/>
    <col min="6150" max="6150" width="9.53515625"/>
    <col min="6151" max="6151" width="8.765625"/>
    <col min="6152" max="6153" width="11.765625"/>
    <col min="6154" max="6154" width="9.53515625"/>
    <col min="6155" max="6155" width="8.765625"/>
    <col min="6156" max="6157" width="11.765625"/>
    <col min="6158" max="6158" width="9.53515625"/>
    <col min="6159" max="6159" width="8.765625"/>
    <col min="6160" max="6161" width="11.765625"/>
    <col min="6162" max="6162" width="9.53515625"/>
    <col min="6163" max="6163" width="8.765625"/>
    <col min="6164" max="6165" width="11.765625"/>
    <col min="6166" max="6166" width="9.53515625"/>
    <col min="6167" max="6167" width="8.765625"/>
    <col min="6168" max="6169" width="11.765625"/>
    <col min="6170" max="6170" width="9.53515625"/>
    <col min="6171" max="6171" width="8.765625"/>
    <col min="6172" max="6173" width="11.765625"/>
    <col min="6174" max="6174" width="9.53515625"/>
    <col min="6175" max="6175" width="8.765625"/>
    <col min="6176" max="6177" width="11.765625"/>
    <col min="6178" max="6178" width="9.53515625"/>
    <col min="6179" max="6179" width="8.765625"/>
    <col min="6180" max="6181" width="11.765625"/>
    <col min="6182" max="6182" width="9.53515625"/>
    <col min="6183" max="6183" width="8.765625"/>
    <col min="6184" max="6185" width="11.765625"/>
    <col min="6186" max="6186" width="9.53515625"/>
    <col min="6187" max="6187" width="8.765625"/>
    <col min="6188" max="6189" width="11.765625"/>
    <col min="6190" max="6190" width="9.53515625"/>
    <col min="6191" max="6191" width="8.765625"/>
    <col min="6192" max="6193" width="11.765625"/>
    <col min="6194" max="6194" width="9.53515625"/>
    <col min="6195" max="6195" width="8.765625"/>
    <col min="6196" max="6197" width="11.765625"/>
    <col min="6198" max="6198" width="9.53515625"/>
    <col min="6199" max="6199" width="8.765625"/>
    <col min="6200" max="6201" width="11.765625"/>
    <col min="6202" max="6202" width="9.53515625"/>
    <col min="6203" max="6203" width="8.765625"/>
    <col min="6204" max="6205" width="11.765625"/>
    <col min="6206" max="6206" width="9.53515625"/>
    <col min="6207" max="6207" width="8.765625"/>
    <col min="6208" max="6209" width="11.765625"/>
    <col min="6210" max="6210" width="9.53515625"/>
    <col min="6211" max="6211" width="8.765625"/>
    <col min="6212" max="6213" width="11.765625"/>
    <col min="6214" max="6214" width="9.53515625"/>
    <col min="6215" max="6215" width="8.765625"/>
    <col min="6216" max="6217" width="11.765625"/>
    <col min="6218" max="6218" width="9.53515625"/>
    <col min="6219" max="6219" width="8.765625"/>
    <col min="6220" max="6221" width="11.765625"/>
    <col min="6222" max="6222" width="9.53515625"/>
    <col min="6223" max="6223" width="8.765625"/>
    <col min="6224" max="6225" width="11.765625"/>
    <col min="6226" max="6226" width="9.53515625"/>
    <col min="6227" max="6227" width="8.765625"/>
    <col min="6228" max="6229" width="11.765625"/>
    <col min="6230" max="6230" width="9.53515625"/>
    <col min="6231" max="6231" width="8.765625"/>
    <col min="6232" max="6233" width="11.765625"/>
    <col min="6234" max="6234" width="9.53515625"/>
    <col min="6235" max="6235" width="8.765625"/>
    <col min="6236" max="6237" width="11.765625"/>
    <col min="6238" max="6238" width="9.53515625"/>
    <col min="6239" max="6239" width="8.765625"/>
    <col min="6240" max="6241" width="11.765625"/>
    <col min="6242" max="6242" width="9.53515625"/>
    <col min="6243" max="6243" width="8.765625"/>
    <col min="6244" max="6245" width="11.765625"/>
    <col min="6246" max="6246" width="9.53515625"/>
    <col min="6247" max="6247" width="8.765625"/>
    <col min="6248" max="6249" width="11.765625"/>
    <col min="6250" max="6250" width="9.53515625"/>
    <col min="6251" max="6251" width="8.765625"/>
    <col min="6252" max="6253" width="11.765625"/>
    <col min="6254" max="6254" width="9.53515625"/>
    <col min="6255" max="6255" width="8.765625"/>
    <col min="6256" max="6257" width="11.765625"/>
    <col min="6258" max="6258" width="9.53515625"/>
    <col min="6259" max="6259" width="8.765625"/>
    <col min="6260" max="6261" width="11.765625"/>
    <col min="6262" max="6262" width="9.53515625"/>
    <col min="6263" max="6263" width="8.765625"/>
    <col min="6264" max="6265" width="11.765625"/>
    <col min="6266" max="6266" width="9.53515625"/>
    <col min="6267" max="6267" width="8.765625"/>
    <col min="6268" max="6269" width="11.765625"/>
    <col min="6270" max="6270" width="9.53515625"/>
    <col min="6271" max="6271" width="8.765625"/>
    <col min="6272" max="6273" width="11.765625"/>
    <col min="6274" max="6274" width="9.53515625"/>
    <col min="6275" max="6275" width="8.765625"/>
    <col min="6276" max="6277" width="11.765625"/>
    <col min="6278" max="6278" width="9.53515625"/>
    <col min="6279" max="6279" width="8.765625"/>
    <col min="6280" max="6281" width="11.765625"/>
    <col min="6282" max="6282" width="9.53515625"/>
    <col min="6283" max="6283" width="8.765625"/>
    <col min="6284" max="6285" width="11.765625"/>
    <col min="6286" max="6286" width="9.53515625"/>
    <col min="6287" max="6287" width="8.765625"/>
    <col min="6288" max="6289" width="11.765625"/>
    <col min="6290" max="6290" width="9.53515625"/>
    <col min="6291" max="6291" width="8.765625"/>
    <col min="6292" max="6293" width="11.765625"/>
    <col min="6294" max="6294" width="9.53515625"/>
    <col min="6295" max="6295" width="8.765625"/>
    <col min="6296" max="6297" width="11.765625"/>
    <col min="6298" max="6298" width="9.53515625"/>
    <col min="6299" max="6299" width="8.765625"/>
    <col min="6300" max="6301" width="11.765625"/>
    <col min="6302" max="6302" width="9.53515625"/>
    <col min="6303" max="6303" width="8.765625"/>
    <col min="6304" max="6305" width="11.765625"/>
    <col min="6306" max="6306" width="9.53515625"/>
    <col min="6307" max="6307" width="8.765625"/>
    <col min="6308" max="6309" width="11.765625"/>
    <col min="6310" max="6310" width="9.53515625"/>
    <col min="6311" max="6311" width="8.765625"/>
    <col min="6312" max="6313" width="11.765625"/>
    <col min="6314" max="6314" width="9.53515625"/>
    <col min="6315" max="6315" width="8.765625"/>
    <col min="6316" max="6317" width="11.765625"/>
    <col min="6318" max="6318" width="9.53515625"/>
    <col min="6319" max="6319" width="8.765625"/>
    <col min="6320" max="6321" width="11.765625"/>
    <col min="6322" max="6322" width="9.53515625"/>
    <col min="6323" max="6323" width="8.765625"/>
    <col min="6324" max="6325" width="11.765625"/>
    <col min="6326" max="6326" width="9.53515625"/>
    <col min="6327" max="6327" width="8.765625"/>
    <col min="6328" max="6329" width="11.765625"/>
    <col min="6330" max="6330" width="9.53515625"/>
    <col min="6331" max="6331" width="8.765625"/>
    <col min="6332" max="6333" width="11.765625"/>
    <col min="6334" max="6334" width="9.53515625"/>
    <col min="6335" max="6335" width="8.765625"/>
    <col min="6336" max="6337" width="11.765625"/>
    <col min="6338" max="6338" width="9.53515625"/>
    <col min="6339" max="6339" width="8.765625"/>
    <col min="6340" max="6341" width="11.765625"/>
    <col min="6342" max="6342" width="9.53515625"/>
    <col min="6343" max="6343" width="9.765625"/>
    <col min="6344" max="6344" width="12.921875"/>
    <col min="6345" max="6345" width="11.765625"/>
    <col min="6346" max="6346" width="9.53515625"/>
    <col min="6347" max="6347" width="8.765625"/>
    <col min="6348" max="6349" width="11.765625"/>
    <col min="6350" max="6350" width="9.53515625"/>
    <col min="6351" max="6351" width="8.765625"/>
    <col min="6352" max="6353" width="11.765625"/>
    <col min="6354" max="6354" width="9.53515625"/>
    <col min="6355" max="6355" width="8.765625"/>
    <col min="6356" max="6357" width="11.765625"/>
    <col min="6358" max="6358" width="9.53515625"/>
    <col min="6359" max="6359" width="8.765625"/>
    <col min="6360" max="6361" width="11.765625"/>
    <col min="6362" max="6362" width="9.53515625"/>
    <col min="6363" max="6363" width="8.765625"/>
    <col min="6364" max="6365" width="11.765625"/>
    <col min="6366" max="6366" width="9.53515625"/>
    <col min="6367" max="6367" width="8.765625"/>
    <col min="6368" max="6369" width="11.765625"/>
    <col min="6370" max="6370" width="9.53515625"/>
    <col min="6371" max="6371" width="8.765625"/>
    <col min="6372" max="6373" width="11.765625"/>
    <col min="6374" max="6374" width="9.53515625"/>
    <col min="6375" max="6375" width="8.765625"/>
    <col min="6376" max="6377" width="11.765625"/>
    <col min="6378" max="6378" width="9.53515625"/>
    <col min="6379" max="6379" width="8.765625"/>
    <col min="6380" max="6381" width="11.765625"/>
    <col min="6382" max="6382" width="9.53515625"/>
    <col min="6383" max="6383" width="8.765625"/>
    <col min="6384" max="6385" width="11.765625"/>
    <col min="6386" max="6386" width="9.53515625"/>
    <col min="6387" max="6387" width="8.765625"/>
    <col min="6388" max="6389" width="11.765625"/>
    <col min="6390" max="6390" width="9.53515625"/>
    <col min="6391" max="6391" width="8.765625"/>
    <col min="6392" max="6393" width="11.765625"/>
    <col min="6394" max="6394" width="9.53515625"/>
    <col min="6395" max="6395" width="8.765625"/>
    <col min="6396" max="6397" width="11.765625"/>
    <col min="6398" max="6398" width="9.53515625"/>
    <col min="6399" max="6399" width="8.765625"/>
    <col min="6400" max="6401" width="11.765625"/>
    <col min="6402" max="6402" width="9.53515625"/>
    <col min="6403" max="6403" width="8.765625"/>
    <col min="6404" max="6405" width="11.765625"/>
    <col min="6406" max="6406" width="9.53515625"/>
    <col min="6407" max="6407" width="8.765625"/>
    <col min="6408" max="6409" width="11.765625"/>
    <col min="6410" max="6410" width="9.53515625"/>
    <col min="6411" max="6411" width="8.765625"/>
    <col min="6412" max="6413" width="11.765625"/>
    <col min="6414" max="6414" width="9.53515625"/>
    <col min="6415" max="6415" width="8.765625"/>
    <col min="6416" max="6417" width="11.765625"/>
    <col min="6418" max="6418" width="9.53515625"/>
    <col min="6419" max="6419" width="8.765625"/>
    <col min="6420" max="6421" width="11.765625"/>
    <col min="6422" max="6422" width="9.53515625"/>
    <col min="6423" max="6423" width="8.765625"/>
    <col min="6424" max="6425" width="11.765625"/>
    <col min="6426" max="6426" width="9.53515625"/>
    <col min="6427" max="6427" width="8.765625"/>
    <col min="6428" max="6429" width="11.765625"/>
    <col min="6430" max="6430" width="9.53515625"/>
    <col min="6431" max="6431" width="8.765625"/>
    <col min="6432" max="6433" width="11.765625"/>
    <col min="6434" max="6434" width="9.53515625"/>
    <col min="6435" max="6435" width="8.765625"/>
    <col min="6436" max="6437" width="11.765625"/>
    <col min="6438" max="6438" width="9.53515625"/>
    <col min="6439" max="6439" width="8.765625"/>
    <col min="6440" max="6441" width="11.765625"/>
    <col min="6442" max="6442" width="9.53515625"/>
    <col min="6443" max="6443" width="8.765625"/>
    <col min="6444" max="6445" width="11.765625"/>
    <col min="6446" max="6446" width="9.53515625"/>
    <col min="6447" max="6447" width="8.765625"/>
    <col min="6448" max="6449" width="11.765625"/>
    <col min="6450" max="6450" width="9.53515625"/>
    <col min="6451" max="6451" width="8.765625"/>
    <col min="6452" max="6453" width="11.765625"/>
    <col min="6454" max="6454" width="9.53515625"/>
    <col min="6455" max="6455" width="8.765625"/>
    <col min="6456" max="6457" width="11.765625"/>
    <col min="6458" max="6458" width="9.53515625"/>
    <col min="6459" max="6459" width="8.765625"/>
    <col min="6460" max="6461" width="11.765625"/>
    <col min="6462" max="6462" width="9.53515625"/>
    <col min="6463" max="6463" width="8.765625"/>
    <col min="6464" max="6465" width="11.765625"/>
    <col min="6466" max="6466" width="9.53515625"/>
    <col min="6467" max="6467" width="8.765625"/>
    <col min="6468" max="6469" width="11.765625"/>
    <col min="6470" max="6470" width="9.53515625"/>
    <col min="6471" max="6471" width="8.765625"/>
    <col min="6472" max="6473" width="11.765625"/>
    <col min="6474" max="6474" width="9.53515625"/>
    <col min="6475" max="6475" width="8.765625"/>
    <col min="6476" max="6477" width="11.765625"/>
    <col min="6478" max="6478" width="9.53515625"/>
    <col min="6479" max="6479" width="8.765625"/>
    <col min="6480" max="6481" width="11.765625"/>
    <col min="6482" max="6482" width="9.53515625"/>
    <col min="6483" max="6483" width="8.765625"/>
    <col min="6484" max="6485" width="11.765625"/>
    <col min="6486" max="6486" width="9.53515625"/>
    <col min="6487" max="6487" width="8.765625"/>
    <col min="6488" max="6489" width="11.765625"/>
    <col min="6490" max="6490" width="9.53515625"/>
    <col min="6491" max="6491" width="8.765625"/>
    <col min="6492" max="6493" width="11.765625"/>
    <col min="6494" max="6494" width="9.53515625"/>
    <col min="6495" max="6495" width="8.765625"/>
    <col min="6496" max="6497" width="11.765625"/>
    <col min="6498" max="6498" width="9.53515625"/>
    <col min="6499" max="6499" width="8.765625"/>
    <col min="6500" max="6501" width="11.765625"/>
    <col min="6502" max="6502" width="9.53515625"/>
    <col min="6503" max="6503" width="8.765625"/>
    <col min="6504" max="6505" width="11.765625"/>
    <col min="6506" max="6506" width="9.53515625"/>
    <col min="6507" max="6507" width="8.765625"/>
    <col min="6508" max="6509" width="11.765625"/>
    <col min="6510" max="6510" width="9.53515625"/>
    <col min="6511" max="6511" width="8.765625"/>
    <col min="6512" max="6513" width="11.765625"/>
    <col min="6514" max="6514" width="9.53515625"/>
    <col min="6515" max="6515" width="8.765625"/>
    <col min="6516" max="6517" width="11.765625"/>
    <col min="6518" max="6518" width="9.53515625"/>
    <col min="6519" max="6519" width="8.765625"/>
    <col min="6520" max="6521" width="11.765625"/>
    <col min="6522" max="6522" width="9.53515625"/>
    <col min="6523" max="6523" width="8.765625"/>
    <col min="6524" max="6525" width="11.765625"/>
    <col min="6526" max="6526" width="9.53515625"/>
    <col min="6527" max="6527" width="8.765625"/>
    <col min="6528" max="6529" width="11.765625"/>
    <col min="6530" max="6530" width="9.53515625"/>
    <col min="6531" max="6531" width="8.765625"/>
    <col min="6532" max="6533" width="11.765625"/>
    <col min="6534" max="6534" width="9.53515625"/>
    <col min="6535" max="6535" width="8.765625"/>
    <col min="6536" max="6537" width="11.765625"/>
    <col min="6538" max="6538" width="9.53515625"/>
    <col min="6539" max="6539" width="8.765625"/>
    <col min="6540" max="6541" width="11.765625"/>
    <col min="6542" max="6542" width="9.53515625"/>
    <col min="6543" max="6543" width="8.765625"/>
    <col min="6544" max="6545" width="11.765625"/>
    <col min="6546" max="6546" width="9.53515625"/>
    <col min="6547" max="6547" width="8.765625"/>
    <col min="6548" max="6549" width="11.765625"/>
    <col min="6550" max="6550" width="9.53515625"/>
    <col min="6551" max="6551" width="8.765625"/>
    <col min="6552" max="6553" width="11.765625"/>
    <col min="6554" max="6554" width="9.53515625"/>
    <col min="6555" max="6555" width="8.765625"/>
    <col min="6556" max="6557" width="11.765625"/>
    <col min="6558" max="6558" width="9.53515625"/>
    <col min="6559" max="6559" width="8.765625"/>
    <col min="6560" max="6561" width="11.765625"/>
    <col min="6562" max="6562" width="9.53515625"/>
    <col min="6563" max="6563" width="8.765625"/>
    <col min="6564" max="6565" width="11.765625"/>
    <col min="6566" max="6566" width="9.53515625"/>
    <col min="6567" max="6567" width="8.765625"/>
    <col min="6568" max="6569" width="11.765625"/>
    <col min="6570" max="6570" width="9.53515625"/>
    <col min="6571" max="6571" width="8.765625"/>
    <col min="6572" max="6573" width="11.765625"/>
    <col min="6574" max="6574" width="9.53515625"/>
    <col min="6575" max="6575" width="8.765625"/>
    <col min="6576" max="6577" width="11.765625"/>
    <col min="6578" max="6578" width="9.53515625"/>
    <col min="6579" max="6579" width="8.765625"/>
    <col min="6580" max="6581" width="11.765625"/>
    <col min="6582" max="6582" width="9.53515625"/>
    <col min="6583" max="6583" width="8.765625"/>
    <col min="6584" max="6585" width="11.765625"/>
    <col min="6586" max="6586" width="9.53515625"/>
    <col min="6587" max="6587" width="8.765625"/>
    <col min="6588" max="6589" width="11.765625"/>
    <col min="6590" max="6590" width="9.53515625"/>
    <col min="6591" max="6591" width="8.765625"/>
    <col min="6592" max="6593" width="11.765625"/>
    <col min="6594" max="6594" width="9.53515625"/>
    <col min="6595" max="6595" width="8.765625"/>
    <col min="6596" max="6597" width="11.765625"/>
    <col min="6598" max="6598" width="9.53515625"/>
    <col min="6599" max="6599" width="8.765625"/>
    <col min="6600" max="6601" width="11.765625"/>
    <col min="6602" max="6602" width="9.53515625"/>
    <col min="6603" max="6603" width="8.765625"/>
    <col min="6604" max="6605" width="11.765625"/>
    <col min="6606" max="6606" width="9.53515625"/>
    <col min="6607" max="6607" width="8.765625"/>
    <col min="6608" max="6609" width="11.765625"/>
    <col min="6610" max="6610" width="9.53515625"/>
    <col min="6611" max="6611" width="8.765625"/>
    <col min="6612" max="6613" width="11.765625"/>
    <col min="6614" max="6614" width="9.53515625"/>
    <col min="6615" max="6615" width="8.765625"/>
    <col min="6616" max="6617" width="11.765625"/>
    <col min="6618" max="6618" width="9.53515625"/>
    <col min="6619" max="6619" width="8.765625"/>
    <col min="6620" max="6621" width="11.765625"/>
    <col min="6622" max="6622" width="9.53515625"/>
    <col min="6623" max="6623" width="8.765625"/>
    <col min="6624" max="6625" width="11.765625"/>
    <col min="6626" max="6626" width="9.53515625"/>
    <col min="6627" max="6627" width="8.765625"/>
    <col min="6628" max="6629" width="11.765625"/>
    <col min="6630" max="6630" width="9.53515625"/>
    <col min="6631" max="6631" width="8.765625"/>
    <col min="6632" max="6633" width="11.765625"/>
    <col min="6634" max="6634" width="9.53515625"/>
    <col min="6635" max="6635" width="8.765625"/>
    <col min="6636" max="6637" width="11.765625"/>
    <col min="6638" max="6638" width="9.53515625"/>
    <col min="6639" max="6639" width="8.765625"/>
    <col min="6640" max="6641" width="11.765625"/>
    <col min="6642" max="6642" width="9.53515625"/>
    <col min="6643" max="6643" width="8.765625"/>
    <col min="6644" max="6645" width="11.765625"/>
    <col min="6646" max="6646" width="9.53515625"/>
    <col min="6647" max="6647" width="8.765625"/>
    <col min="6648" max="6649" width="11.765625"/>
    <col min="6650" max="6650" width="9.53515625"/>
    <col min="6651" max="6651" width="8.765625"/>
    <col min="6652" max="6653" width="11.765625"/>
    <col min="6654" max="6654" width="9.53515625"/>
    <col min="6655" max="6655" width="8.765625"/>
    <col min="6656" max="6657" width="11.765625"/>
    <col min="6658" max="6658" width="9.53515625"/>
    <col min="6659" max="6659" width="8.765625"/>
    <col min="6660" max="6661" width="11.765625"/>
    <col min="6662" max="6662" width="9.53515625"/>
    <col min="6663" max="6663" width="8.765625"/>
    <col min="6664" max="6665" width="11.765625"/>
    <col min="6666" max="6666" width="9.53515625"/>
    <col min="6667" max="6667" width="8.765625"/>
    <col min="6668" max="6669" width="11.765625"/>
    <col min="6670" max="6670" width="9.53515625"/>
    <col min="6671" max="6671" width="8.765625"/>
    <col min="6672" max="6673" width="11.765625"/>
    <col min="6674" max="6674" width="9.53515625"/>
    <col min="6675" max="6675" width="8.765625"/>
    <col min="6676" max="6677" width="11.765625"/>
    <col min="6678" max="6678" width="9.53515625"/>
    <col min="6679" max="6679" width="8.765625"/>
    <col min="6680" max="6681" width="11.765625"/>
    <col min="6682" max="6682" width="9.53515625"/>
    <col min="6683" max="6683" width="8.765625"/>
    <col min="6684" max="6685" width="11.765625"/>
    <col min="6686" max="6686" width="9.53515625"/>
    <col min="6687" max="6687" width="8.765625"/>
    <col min="6688" max="6689" width="11.765625"/>
    <col min="6690" max="6690" width="9.53515625"/>
    <col min="6691" max="6691" width="8.765625"/>
    <col min="6692" max="6693" width="11.765625"/>
    <col min="6694" max="6694" width="9.53515625"/>
    <col min="6695" max="6695" width="8.765625"/>
    <col min="6696" max="6697" width="11.765625"/>
    <col min="6698" max="6698" width="9.53515625"/>
    <col min="6699" max="6699" width="8.765625"/>
    <col min="6700" max="6701" width="11.765625"/>
    <col min="6702" max="6702" width="9.53515625"/>
    <col min="6703" max="6703" width="8.765625"/>
    <col min="6704" max="6705" width="11.765625"/>
    <col min="6706" max="6706" width="9.53515625"/>
    <col min="6707" max="6707" width="8.765625"/>
    <col min="6708" max="6709" width="11.765625"/>
    <col min="6710" max="6710" width="9.53515625"/>
    <col min="6711" max="6711" width="8.765625"/>
    <col min="6712" max="6713" width="11.765625"/>
    <col min="6714" max="6714" width="9.53515625"/>
    <col min="6715" max="6715" width="8.765625"/>
    <col min="6716" max="6717" width="11.765625"/>
    <col min="6718" max="6718" width="9.53515625"/>
    <col min="6719" max="6719" width="8.765625"/>
    <col min="6720" max="6721" width="11.765625"/>
    <col min="6722" max="6722" width="9.53515625"/>
    <col min="6723" max="6723" width="8.765625"/>
    <col min="6724" max="6725" width="11.765625"/>
    <col min="6726" max="6726" width="9.53515625"/>
    <col min="6727" max="6727" width="8.765625"/>
    <col min="6728" max="6729" width="11.765625"/>
    <col min="6730" max="6730" width="9.53515625"/>
    <col min="6731" max="6731" width="8.765625"/>
    <col min="6732" max="6733" width="11.765625"/>
    <col min="6734" max="6734" width="9.53515625"/>
    <col min="6735" max="6735" width="8.765625"/>
    <col min="6736" max="6737" width="11.765625"/>
    <col min="6738" max="6738" width="9.53515625"/>
    <col min="6739" max="6739" width="8.765625"/>
    <col min="6740" max="6741" width="11.765625"/>
    <col min="6742" max="6742" width="9.53515625"/>
    <col min="6743" max="6743" width="8.765625"/>
    <col min="6744" max="6745" width="11.765625"/>
    <col min="6746" max="6746" width="9.53515625"/>
    <col min="6747" max="6747" width="8.765625"/>
    <col min="6748" max="6749" width="11.765625"/>
    <col min="6750" max="6750" width="9.53515625"/>
    <col min="6751" max="6751" width="8.765625"/>
    <col min="6752" max="6753" width="11.765625"/>
    <col min="6754" max="6754" width="9.53515625"/>
    <col min="6755" max="6755" width="8.765625"/>
    <col min="6756" max="6757" width="11.765625"/>
    <col min="6758" max="6758" width="9.53515625"/>
    <col min="6759" max="6759" width="8.765625"/>
    <col min="6760" max="6761" width="11.765625"/>
    <col min="6762" max="6762" width="9.53515625"/>
    <col min="6763" max="6763" width="8.765625"/>
    <col min="6764" max="6765" width="11.765625"/>
    <col min="6766" max="6766" width="9.53515625"/>
    <col min="6767" max="6767" width="8.765625"/>
    <col min="6768" max="6769" width="11.765625"/>
    <col min="6770" max="6770" width="9.53515625"/>
    <col min="6771" max="6771" width="8.765625"/>
    <col min="6772" max="6773" width="11.765625"/>
    <col min="6774" max="6774" width="9.53515625"/>
    <col min="6775" max="6775" width="8.765625"/>
    <col min="6776" max="6777" width="11.765625"/>
    <col min="6778" max="6778" width="9.53515625"/>
    <col min="6779" max="6779" width="8.765625"/>
    <col min="6780" max="6781" width="11.765625"/>
    <col min="6782" max="6782" width="9.53515625"/>
    <col min="6783" max="6783" width="8.765625"/>
    <col min="6784" max="6785" width="11.765625"/>
    <col min="6786" max="6786" width="9.53515625"/>
    <col min="6787" max="6787" width="8.765625"/>
    <col min="6788" max="6789" width="11.765625"/>
    <col min="6790" max="6790" width="9.53515625"/>
    <col min="6791" max="6791" width="8.765625"/>
    <col min="6792" max="6793" width="11.765625"/>
    <col min="6794" max="6794" width="9.53515625"/>
    <col min="6795" max="6795" width="8.765625"/>
    <col min="6796" max="6797" width="11.765625"/>
    <col min="6798" max="6798" width="9.53515625"/>
    <col min="6799" max="6799" width="8.765625"/>
    <col min="6800" max="6801" width="11.765625"/>
    <col min="6802" max="6802" width="9.53515625"/>
    <col min="6803" max="6803" width="8.765625"/>
    <col min="6804" max="6805" width="11.765625"/>
    <col min="6806" max="6806" width="9.53515625"/>
    <col min="6807" max="6807" width="8.765625"/>
    <col min="6808" max="6809" width="11.765625"/>
    <col min="6810" max="6810" width="9.53515625"/>
    <col min="6811" max="6811" width="8.765625"/>
    <col min="6812" max="6813" width="11.765625"/>
    <col min="6814" max="6814" width="9.53515625"/>
    <col min="6815" max="6815" width="8.765625"/>
    <col min="6816" max="6817" width="11.765625"/>
    <col min="6818" max="6818" width="9.53515625"/>
    <col min="6819" max="6819" width="8.765625"/>
    <col min="6820" max="6821" width="11.765625"/>
    <col min="6822" max="6822" width="9.53515625"/>
    <col min="6823" max="6823" width="8.765625"/>
    <col min="6824" max="6825" width="11.765625"/>
    <col min="6826" max="6826" width="9.53515625"/>
    <col min="6827" max="6827" width="8.765625"/>
    <col min="6828" max="6829" width="11.765625"/>
    <col min="6830" max="6830" width="9.53515625"/>
    <col min="6831" max="6831" width="8.765625"/>
    <col min="6832" max="6833" width="11.765625"/>
    <col min="6834" max="6834" width="9.53515625"/>
    <col min="6835" max="6835" width="8.765625"/>
    <col min="6836" max="6837" width="11.765625"/>
    <col min="6838" max="6838" width="9.53515625"/>
    <col min="6839" max="6839" width="8.765625"/>
    <col min="6840" max="6841" width="11.765625"/>
    <col min="6842" max="6842" width="9.53515625"/>
    <col min="6843" max="6843" width="8.765625"/>
    <col min="6844" max="6845" width="11.765625"/>
    <col min="6846" max="6846" width="9.53515625"/>
    <col min="6847" max="6847" width="8.765625"/>
    <col min="6848" max="6849" width="11.765625"/>
    <col min="6850" max="6850" width="9.53515625"/>
    <col min="6851" max="6851" width="8.765625"/>
    <col min="6852" max="6853" width="11.765625"/>
    <col min="6854" max="6854" width="9.53515625"/>
    <col min="6855" max="6855" width="8.765625"/>
    <col min="6856" max="6857" width="11.765625"/>
    <col min="6858" max="6858" width="9.53515625"/>
    <col min="6859" max="6859" width="8.765625"/>
    <col min="6860" max="6861" width="11.765625"/>
    <col min="6862" max="6862" width="9.53515625"/>
    <col min="6863" max="6863" width="8.765625"/>
    <col min="6864" max="6865" width="11.765625"/>
    <col min="6866" max="6866" width="9.53515625"/>
    <col min="6867" max="6867" width="8.765625"/>
    <col min="6868" max="6869" width="11.765625"/>
    <col min="6870" max="6870" width="9.53515625"/>
    <col min="6871" max="6871" width="8.765625"/>
    <col min="6872" max="6873" width="11.765625"/>
    <col min="6874" max="6874" width="9.53515625"/>
    <col min="6875" max="6875" width="8.765625"/>
    <col min="6876" max="6877" width="11.765625"/>
    <col min="6878" max="6878" width="9.53515625"/>
    <col min="6879" max="6879" width="8.765625"/>
    <col min="6880" max="6881" width="11.765625"/>
    <col min="6882" max="6882" width="9.53515625"/>
    <col min="6883" max="6883" width="8.765625"/>
    <col min="6884" max="6885" width="11.765625"/>
    <col min="6886" max="6886" width="9.53515625"/>
    <col min="6887" max="6887" width="8.765625"/>
    <col min="6888" max="6889" width="11.765625"/>
    <col min="6890" max="6890" width="9.53515625"/>
    <col min="6891" max="6891" width="8.765625"/>
    <col min="6892" max="6893" width="11.765625"/>
    <col min="6894" max="6894" width="9.53515625"/>
    <col min="6895" max="6895" width="8.765625"/>
    <col min="6896" max="6897" width="11.765625"/>
    <col min="6898" max="6898" width="9.53515625"/>
    <col min="6899" max="6899" width="8.765625"/>
    <col min="6900" max="6901" width="11.765625"/>
    <col min="6902" max="6902" width="9.53515625"/>
    <col min="6903" max="6903" width="8.765625"/>
    <col min="6904" max="6905" width="11.765625"/>
    <col min="6906" max="6906" width="9.53515625"/>
    <col min="6907" max="6907" width="8.765625"/>
    <col min="6908" max="6909" width="11.765625"/>
    <col min="6910" max="6910" width="9.53515625"/>
    <col min="6911" max="6911" width="8.765625"/>
    <col min="6912" max="6913" width="11.765625"/>
    <col min="6914" max="6914" width="9.53515625"/>
    <col min="6915" max="6915" width="8.765625"/>
    <col min="6916" max="6917" width="11.765625"/>
    <col min="6918" max="6918" width="9.53515625"/>
    <col min="6919" max="6919" width="8.765625"/>
    <col min="6920" max="6921" width="11.765625"/>
    <col min="6922" max="6922" width="9.53515625"/>
    <col min="6923" max="6923" width="8.765625"/>
    <col min="6924" max="6925" width="11.765625"/>
    <col min="6926" max="6926" width="9.53515625"/>
    <col min="6927" max="6927" width="8.765625"/>
    <col min="6928" max="6929" width="11.765625"/>
    <col min="6930" max="6930" width="9.53515625"/>
    <col min="6931" max="6931" width="8.765625"/>
    <col min="6932" max="6933" width="11.765625"/>
    <col min="6934" max="6934" width="9.53515625"/>
    <col min="6935" max="6935" width="8.765625"/>
    <col min="6936" max="6937" width="11.765625"/>
    <col min="6938" max="6938" width="9.53515625"/>
    <col min="6939" max="6939" width="8.765625"/>
    <col min="6940" max="6941" width="11.765625"/>
    <col min="6942" max="6942" width="9.53515625"/>
    <col min="6943" max="6943" width="8.765625"/>
    <col min="6944" max="6945" width="11.765625"/>
    <col min="6946" max="6946" width="9.53515625"/>
    <col min="6947" max="6947" width="8.765625"/>
    <col min="6948" max="6949" width="11.765625"/>
    <col min="6950" max="6950" width="9.53515625"/>
    <col min="6951" max="6951" width="8.765625"/>
    <col min="6952" max="6953" width="11.765625"/>
    <col min="6954" max="6954" width="9.53515625"/>
    <col min="6955" max="6955" width="8.765625"/>
    <col min="6956" max="6957" width="11.765625"/>
    <col min="6958" max="6958" width="9.53515625"/>
    <col min="6959" max="6959" width="8.765625"/>
    <col min="6960" max="6961" width="11.765625"/>
    <col min="6962" max="6962" width="9.53515625"/>
    <col min="6963" max="6963" width="8.765625"/>
    <col min="6964" max="6965" width="11.765625"/>
    <col min="6966" max="6966" width="9.53515625"/>
    <col min="6967" max="6967" width="8.765625"/>
    <col min="6968" max="6969" width="11.765625"/>
    <col min="6970" max="6970" width="9.53515625"/>
    <col min="6971" max="6971" width="8.765625"/>
    <col min="6972" max="6973" width="11.765625"/>
    <col min="6974" max="6974" width="9.53515625"/>
    <col min="6975" max="6975" width="8.765625"/>
    <col min="6976" max="6977" width="11.765625"/>
    <col min="6978" max="6978" width="9.53515625"/>
    <col min="6979" max="6979" width="8.765625"/>
    <col min="6980" max="6981" width="11.765625"/>
    <col min="6982" max="6982" width="9.53515625"/>
    <col min="6983" max="6983" width="8.765625"/>
    <col min="6984" max="6985" width="11.765625"/>
    <col min="6986" max="6986" width="9.53515625"/>
    <col min="6987" max="6987" width="8.765625"/>
    <col min="6988" max="6989" width="11.765625"/>
    <col min="6990" max="6990" width="9.53515625"/>
    <col min="6991" max="6991" width="8.765625"/>
    <col min="6992" max="6993" width="11.765625"/>
    <col min="6994" max="6994" width="9.53515625"/>
    <col min="6995" max="6995" width="8.765625"/>
    <col min="6996" max="6997" width="11.765625"/>
    <col min="6998" max="6998" width="9.53515625"/>
    <col min="6999" max="6999" width="8.765625"/>
    <col min="7000" max="7001" width="11.765625"/>
    <col min="7002" max="7002" width="9.53515625"/>
    <col min="7003" max="7003" width="8.765625"/>
    <col min="7004" max="7005" width="11.765625"/>
    <col min="7006" max="7006" width="9.53515625"/>
    <col min="7007" max="7007" width="8.765625"/>
    <col min="7008" max="7009" width="11.765625"/>
    <col min="7010" max="7010" width="9.53515625"/>
    <col min="7011" max="7011" width="8.765625"/>
    <col min="7012" max="7013" width="11.765625"/>
    <col min="7014" max="7014" width="9.53515625"/>
    <col min="7015" max="7015" width="8.765625"/>
    <col min="7016" max="7017" width="11.765625"/>
    <col min="7018" max="7018" width="9.53515625"/>
    <col min="7019" max="7019" width="8.765625"/>
    <col min="7020" max="7021" width="11.765625"/>
    <col min="7022" max="7022" width="9.53515625"/>
    <col min="7023" max="7023" width="8.765625"/>
    <col min="7024" max="7025" width="11.765625"/>
    <col min="7026" max="7026" width="9.53515625"/>
    <col min="7027" max="7027" width="8.765625"/>
    <col min="7028" max="7029" width="11.765625"/>
    <col min="7030" max="7030" width="9.53515625"/>
    <col min="7031" max="7031" width="8.765625"/>
    <col min="7032" max="7033" width="11.765625"/>
    <col min="7034" max="7034" width="9.53515625"/>
    <col min="7035" max="7035" width="8.765625"/>
    <col min="7036" max="7037" width="11.765625"/>
    <col min="7038" max="7038" width="9.53515625"/>
    <col min="7039" max="7039" width="8.765625"/>
    <col min="7040" max="7041" width="11.765625"/>
    <col min="7042" max="7042" width="9.53515625"/>
    <col min="7043" max="7043" width="8.765625"/>
    <col min="7044" max="7045" width="11.765625"/>
    <col min="7046" max="7046" width="9.53515625"/>
    <col min="7047" max="7047" width="8.765625"/>
    <col min="7048" max="7049" width="11.765625"/>
    <col min="7050" max="7050" width="9.53515625"/>
    <col min="7051" max="7051" width="8.765625"/>
    <col min="7052" max="7053" width="11.765625"/>
    <col min="7054" max="7054" width="9.53515625"/>
    <col min="7055" max="7055" width="8.765625"/>
    <col min="7056" max="7057" width="11.765625"/>
    <col min="7058" max="7058" width="9.53515625"/>
    <col min="7059" max="7059" width="8.765625"/>
    <col min="7060" max="7061" width="11.765625"/>
    <col min="7062" max="7062" width="9.53515625"/>
    <col min="7063" max="7063" width="9.765625"/>
    <col min="7064" max="7065" width="12.921875"/>
    <col min="7066" max="7066" width="9.53515625"/>
    <col min="7067" max="7067" width="8.765625"/>
    <col min="7068" max="7069" width="11.765625"/>
    <col min="7070" max="7070" width="9.53515625"/>
    <col min="7071" max="7071" width="8.765625"/>
    <col min="7072" max="7073" width="11.765625"/>
    <col min="7074" max="7074" width="9.53515625"/>
    <col min="7075" max="7075" width="8.765625"/>
    <col min="7076" max="7077" width="11.765625"/>
    <col min="7078" max="7078" width="9.53515625"/>
    <col min="7079" max="7079" width="8.765625"/>
    <col min="7080" max="7081" width="11.765625"/>
    <col min="7082" max="7082" width="9.53515625"/>
    <col min="7083" max="7083" width="8.765625"/>
    <col min="7084" max="7085" width="11.765625"/>
    <col min="7086" max="7086" width="9.53515625"/>
    <col min="7087" max="7087" width="8.765625"/>
    <col min="7088" max="7089" width="11.765625"/>
    <col min="7090" max="7090" width="9.53515625"/>
    <col min="7091" max="7091" width="8.765625"/>
    <col min="7092" max="7093" width="11.765625"/>
    <col min="7094" max="7094" width="9.53515625"/>
    <col min="7095" max="7095" width="8.765625"/>
    <col min="7096" max="7097" width="11.765625"/>
    <col min="7098" max="7098" width="9.53515625"/>
    <col min="7099" max="7099" width="8.765625"/>
    <col min="7100" max="7101" width="11.765625"/>
    <col min="7102" max="7102" width="9.53515625"/>
    <col min="7103" max="7103" width="8.765625"/>
    <col min="7104" max="7105" width="11.765625"/>
    <col min="7106" max="7106" width="9.53515625"/>
    <col min="7107" max="7107" width="8.765625"/>
    <col min="7108" max="7109" width="11.765625"/>
    <col min="7110" max="7110" width="9.53515625"/>
    <col min="7111" max="7111" width="8.765625"/>
    <col min="7112" max="7113" width="11.765625"/>
    <col min="7114" max="7114" width="9.53515625"/>
    <col min="7115" max="7115" width="8.765625"/>
    <col min="7116" max="7117" width="11.765625"/>
    <col min="7118" max="7118" width="9.53515625"/>
    <col min="7119" max="7119" width="8.765625"/>
    <col min="7120" max="7121" width="11.765625"/>
    <col min="7122" max="7122" width="9.53515625"/>
    <col min="7123" max="7123" width="8.765625"/>
    <col min="7124" max="7125" width="11.765625"/>
    <col min="7126" max="7126" width="9.53515625"/>
    <col min="7127" max="7127" width="8.765625"/>
    <col min="7128" max="7129" width="11.765625"/>
    <col min="7130" max="7130" width="9.53515625"/>
    <col min="7131" max="7131" width="8.765625"/>
    <col min="7132" max="7133" width="11.765625"/>
    <col min="7134" max="7134" width="9.53515625"/>
    <col min="7135" max="7135" width="9.765625"/>
    <col min="7136" max="7137" width="12.921875"/>
    <col min="7138" max="7138" width="9.53515625"/>
    <col min="7139" max="7139" width="8.765625"/>
    <col min="7140" max="7141" width="11.765625"/>
    <col min="7142" max="7142" width="9.53515625"/>
    <col min="7143" max="7143" width="8.765625"/>
    <col min="7144" max="7145" width="11.765625"/>
    <col min="7146" max="7146" width="9.53515625"/>
    <col min="7147" max="7147" width="8.765625"/>
    <col min="7148" max="7149" width="11.765625"/>
    <col min="7150" max="7150" width="9.53515625"/>
    <col min="7151" max="7151" width="8.765625"/>
    <col min="7152" max="7153" width="11.765625"/>
    <col min="7154" max="7154" width="9.53515625"/>
    <col min="7155" max="7155" width="8.765625"/>
    <col min="7156" max="7157" width="11.765625"/>
    <col min="7158" max="7158" width="9.53515625"/>
    <col min="7159" max="7159" width="8.765625"/>
    <col min="7160" max="7161" width="11.765625"/>
    <col min="7162" max="7162" width="9.53515625"/>
    <col min="7163" max="7163" width="8.765625"/>
    <col min="7164" max="7165" width="11.765625"/>
    <col min="7166" max="7166" width="9.53515625"/>
    <col min="7167" max="7167" width="8.765625"/>
    <col min="7168" max="7169" width="11.765625"/>
    <col min="7170" max="7170" width="9.53515625"/>
    <col min="7171" max="7171" width="8.765625"/>
    <col min="7172" max="7173" width="11.765625"/>
    <col min="7174" max="7174" width="9.53515625"/>
    <col min="7175" max="7175" width="8.765625"/>
    <col min="7176" max="7177" width="11.765625"/>
    <col min="7178" max="7178" width="9.53515625"/>
    <col min="7179" max="7179" width="8.765625"/>
    <col min="7180" max="7181" width="11.765625"/>
    <col min="7182" max="7182" width="9.53515625"/>
    <col min="7183" max="7183" width="8.765625"/>
    <col min="7184" max="7185" width="11.765625"/>
    <col min="7186" max="7186" width="9.53515625"/>
    <col min="7187" max="7187" width="8.765625"/>
    <col min="7188" max="7189" width="11.765625"/>
    <col min="7190" max="7190" width="9.53515625"/>
    <col min="7191" max="7191" width="8.765625"/>
    <col min="7192" max="7193" width="11.765625"/>
    <col min="7194" max="7194" width="9.53515625"/>
    <col min="7195" max="7195" width="8.765625"/>
    <col min="7196" max="7197" width="11.765625"/>
    <col min="7198" max="7198" width="9.53515625"/>
    <col min="7199" max="7199" width="8.765625"/>
    <col min="7200" max="7201" width="11.765625"/>
    <col min="7202" max="7202" width="9.53515625"/>
    <col min="7203" max="7203" width="8.765625"/>
    <col min="7204" max="7205" width="11.765625"/>
    <col min="7206" max="7206" width="9.53515625"/>
    <col min="7207" max="7207" width="8.765625"/>
    <col min="7208" max="7209" width="11.765625"/>
    <col min="7210" max="7210" width="9.53515625"/>
    <col min="7211" max="7211" width="8.765625"/>
    <col min="7212" max="7213" width="11.765625"/>
    <col min="7214" max="7214" width="9.53515625"/>
    <col min="7215" max="7215" width="8.765625"/>
    <col min="7216" max="7217" width="11.765625"/>
    <col min="7218" max="7218" width="9.53515625"/>
    <col min="7219" max="7219" width="8.765625"/>
    <col min="7220" max="7221" width="11.765625"/>
    <col min="7222" max="7222" width="9.53515625"/>
    <col min="7223" max="7223" width="8.765625"/>
    <col min="7224" max="7225" width="11.765625"/>
    <col min="7226" max="7226" width="9.53515625"/>
    <col min="7227" max="7227" width="8.765625"/>
    <col min="7228" max="7229" width="11.765625"/>
    <col min="7230" max="7230" width="9.53515625"/>
    <col min="7231" max="7231" width="8.765625"/>
    <col min="7232" max="7233" width="11.765625"/>
    <col min="7234" max="7234" width="9.53515625"/>
    <col min="7235" max="7235" width="8.765625"/>
    <col min="7236" max="7237" width="11.765625"/>
    <col min="7238" max="7238" width="9.53515625"/>
    <col min="7239" max="7239" width="8.765625"/>
    <col min="7240" max="7241" width="11.765625"/>
    <col min="7242" max="7242" width="9.53515625"/>
    <col min="7243" max="7243" width="8.765625"/>
    <col min="7244" max="7245" width="11.765625"/>
    <col min="7246" max="7246" width="9.53515625"/>
    <col min="7247" max="7247" width="8.765625"/>
    <col min="7248" max="7249" width="11.765625"/>
    <col min="7250" max="7250" width="9.53515625"/>
    <col min="7251" max="7251" width="8.765625"/>
    <col min="7252" max="7253" width="11.765625"/>
    <col min="7254" max="7254" width="9.53515625"/>
    <col min="7255" max="7255" width="8.765625"/>
    <col min="7256" max="7257" width="11.765625"/>
    <col min="7258" max="7258" width="9.53515625"/>
    <col min="7259" max="7259" width="8.765625"/>
    <col min="7260" max="7261" width="11.765625"/>
    <col min="7262" max="7262" width="9.53515625"/>
    <col min="7263" max="7263" width="8.765625"/>
    <col min="7264" max="7265" width="11.765625"/>
    <col min="7266" max="7266" width="9.53515625"/>
    <col min="7267" max="7267" width="8.765625"/>
    <col min="7268" max="7269" width="11.765625"/>
    <col min="7270" max="7270" width="9.53515625"/>
    <col min="7271" max="7271" width="8.765625"/>
    <col min="7272" max="7273" width="11.765625"/>
    <col min="7274" max="7274" width="9.53515625"/>
    <col min="7275" max="7275" width="8.765625"/>
    <col min="7276" max="7277" width="11.765625"/>
    <col min="7278" max="7278" width="9.53515625"/>
    <col min="7279" max="7279" width="8.765625"/>
    <col min="7280" max="7281" width="11.765625"/>
    <col min="7282" max="7282" width="9.53515625"/>
    <col min="7283" max="7283" width="8.765625"/>
    <col min="7284" max="7285" width="11.765625"/>
    <col min="7286" max="7286" width="9.53515625"/>
    <col min="7287" max="7287" width="8.765625"/>
    <col min="7288" max="7289" width="11.765625"/>
    <col min="7290" max="7290" width="9.53515625"/>
    <col min="7291" max="7291" width="8.765625"/>
    <col min="7292" max="7293" width="11.765625"/>
    <col min="7294" max="7294" width="9.53515625"/>
    <col min="7295" max="7295" width="8.765625"/>
    <col min="7296" max="7297" width="11.765625"/>
    <col min="7298" max="7298" width="9.53515625"/>
    <col min="7299" max="7299" width="8.765625"/>
    <col min="7300" max="7301" width="11.765625"/>
    <col min="7302" max="7302" width="9.53515625"/>
    <col min="7303" max="7303" width="8.765625"/>
    <col min="7304" max="7305" width="11.765625"/>
    <col min="7306" max="7306" width="9.53515625"/>
    <col min="7307" max="7307" width="8.765625"/>
    <col min="7308" max="7309" width="11.765625"/>
    <col min="7310" max="7310" width="9.53515625"/>
    <col min="7311" max="7311" width="8.765625"/>
    <col min="7312" max="7313" width="11.765625"/>
    <col min="7314" max="7314" width="9.53515625"/>
    <col min="7315" max="7315" width="8.765625"/>
    <col min="7316" max="7317" width="11.765625"/>
    <col min="7318" max="7318" width="9.53515625"/>
    <col min="7319" max="7319" width="8.765625"/>
    <col min="7320" max="7321" width="11.765625"/>
    <col min="7322" max="7322" width="9.53515625"/>
    <col min="7323" max="7323" width="8.765625"/>
    <col min="7324" max="7325" width="11.765625"/>
    <col min="7326" max="7326" width="9.53515625"/>
    <col min="7327" max="7327" width="8.765625"/>
    <col min="7328" max="7329" width="11.765625"/>
    <col min="7330" max="7330" width="9.53515625"/>
    <col min="7331" max="7331" width="8.765625"/>
    <col min="7332" max="7333" width="11.765625"/>
    <col min="7334" max="7334" width="9.53515625"/>
    <col min="7335" max="7335" width="8.765625"/>
    <col min="7336" max="7337" width="11.765625"/>
    <col min="7338" max="7338" width="9.53515625"/>
    <col min="7339" max="7339" width="8.765625"/>
    <col min="7340" max="7341" width="11.765625"/>
    <col min="7342" max="7342" width="9.53515625"/>
    <col min="7343" max="7343" width="8.765625"/>
    <col min="7344" max="7345" width="11.765625"/>
    <col min="7346" max="7346" width="9.53515625"/>
    <col min="7347" max="7347" width="8.765625"/>
    <col min="7348" max="7349" width="11.765625"/>
    <col min="7350" max="7350" width="9.53515625"/>
    <col min="7351" max="7351" width="8.765625"/>
    <col min="7352" max="7353" width="11.765625"/>
    <col min="7354" max="7354" width="9.53515625"/>
    <col min="7355" max="7355" width="8.765625"/>
    <col min="7356" max="7357" width="11.765625"/>
    <col min="7358" max="7358" width="9.53515625"/>
    <col min="7359" max="7359" width="8.765625"/>
    <col min="7360" max="7361" width="11.765625"/>
    <col min="7362" max="7362" width="9.53515625"/>
    <col min="7363" max="7363" width="8.765625"/>
    <col min="7364" max="7365" width="11.765625"/>
    <col min="7366" max="7366" width="9.53515625"/>
    <col min="7367" max="7367" width="8.765625"/>
    <col min="7368" max="7369" width="11.765625"/>
    <col min="7370" max="7370" width="9.53515625"/>
    <col min="7371" max="7371" width="8.765625"/>
    <col min="7372" max="7373" width="11.765625"/>
    <col min="7374" max="7374" width="9.53515625"/>
    <col min="7375" max="7375" width="8.765625"/>
    <col min="7376" max="7377" width="11.765625"/>
    <col min="7378" max="7378" width="9.53515625"/>
    <col min="7379" max="7379" width="8.765625"/>
    <col min="7380" max="7381" width="11.765625"/>
    <col min="7382" max="7382" width="9.53515625"/>
    <col min="7383" max="7383" width="8.765625"/>
    <col min="7384" max="7385" width="11.765625"/>
    <col min="7386" max="7386" width="9.53515625"/>
    <col min="7387" max="7387" width="8.765625"/>
    <col min="7388" max="7389" width="11.765625"/>
    <col min="7390" max="7390" width="9.53515625"/>
    <col min="7391" max="7391" width="8.765625"/>
    <col min="7392" max="7393" width="11.765625"/>
    <col min="7394" max="7394" width="9.53515625"/>
    <col min="7395" max="7395" width="8.765625"/>
    <col min="7396" max="7397" width="11.765625"/>
    <col min="7398" max="7398" width="9.53515625"/>
    <col min="7399" max="7399" width="8.765625"/>
    <col min="7400" max="7401" width="11.765625"/>
    <col min="7402" max="7402" width="9.53515625"/>
    <col min="7403" max="7403" width="8.765625"/>
    <col min="7404" max="7405" width="11.765625"/>
    <col min="7406" max="7406" width="9.53515625"/>
    <col min="7407" max="7407" width="8.765625"/>
    <col min="7408" max="7409" width="11.765625"/>
    <col min="7410" max="7410" width="9.53515625"/>
    <col min="7411" max="7411" width="8.765625"/>
    <col min="7412" max="7413" width="11.765625"/>
    <col min="7414" max="7414" width="9.53515625"/>
    <col min="7415" max="7415" width="8.765625"/>
    <col min="7416" max="7417" width="11.765625"/>
    <col min="7418" max="7418" width="9.53515625"/>
    <col min="7419" max="7419" width="8.765625"/>
    <col min="7420" max="7421" width="11.765625"/>
    <col min="7422" max="7422" width="9.53515625"/>
    <col min="7423" max="7423" width="8.765625"/>
    <col min="7424" max="7425" width="11.765625"/>
    <col min="7426" max="7426" width="9.53515625"/>
    <col min="7427" max="7427" width="8.765625"/>
    <col min="7428" max="7429" width="11.765625"/>
    <col min="7430" max="7430" width="9.53515625"/>
    <col min="7431" max="7431" width="8.765625"/>
    <col min="7432" max="7433" width="11.765625"/>
    <col min="7434" max="7434" width="9.53515625"/>
    <col min="7435" max="7435" width="8.765625"/>
    <col min="7436" max="7437" width="11.765625"/>
    <col min="7438" max="7438" width="9.53515625"/>
    <col min="7439" max="7439" width="8.765625"/>
    <col min="7440" max="7441" width="11.765625"/>
    <col min="7442" max="7442" width="9.53515625"/>
    <col min="7443" max="7443" width="8.765625"/>
    <col min="7444" max="7445" width="11.765625"/>
    <col min="7446" max="7446" width="9.53515625"/>
    <col min="7447" max="7447" width="8.765625"/>
    <col min="7448" max="7449" width="11.765625"/>
    <col min="7450" max="7450" width="9.53515625"/>
    <col min="7451" max="7451" width="8.765625"/>
    <col min="7452" max="7453" width="11.765625"/>
    <col min="7454" max="7454" width="9.53515625"/>
    <col min="7455" max="7455" width="9.765625"/>
    <col min="7456" max="7457" width="12.921875"/>
    <col min="7458" max="7458" width="9.53515625"/>
    <col min="7459" max="7459" width="8.765625"/>
    <col min="7460" max="7461" width="11.765625"/>
    <col min="7462" max="7462" width="9.53515625"/>
    <col min="7463" max="7463" width="8.765625"/>
    <col min="7464" max="7465" width="11.765625"/>
    <col min="7466" max="7466" width="9.53515625"/>
    <col min="7467" max="7467" width="8.765625"/>
    <col min="7468" max="7469" width="11.765625"/>
    <col min="7470" max="7470" width="9.53515625"/>
    <col min="7471" max="7471" width="8.765625"/>
    <col min="7472" max="7473" width="11.765625"/>
    <col min="7474" max="7474" width="9.53515625"/>
    <col min="7475" max="7475" width="8.765625"/>
    <col min="7476" max="7477" width="11.765625"/>
    <col min="7478" max="7478" width="9.53515625"/>
    <col min="7479" max="7479" width="8.765625"/>
    <col min="7480" max="7481" width="11.765625"/>
    <col min="7482" max="7482" width="9.53515625"/>
    <col min="7483" max="7483" width="8.765625"/>
    <col min="7484" max="7485" width="11.765625"/>
    <col min="7486" max="7486" width="9.53515625"/>
    <col min="7487" max="7487" width="8.765625"/>
    <col min="7488" max="7489" width="11.765625"/>
    <col min="7490" max="7490" width="9.53515625"/>
    <col min="7491" max="7491" width="8.765625"/>
    <col min="7492" max="7493" width="11.765625"/>
    <col min="7494" max="7494" width="9.53515625"/>
    <col min="7495" max="7495" width="8.765625"/>
    <col min="7496" max="7497" width="11.765625"/>
    <col min="7498" max="7498" width="9.53515625"/>
    <col min="7499" max="7499" width="8.765625"/>
    <col min="7500" max="7501" width="11.765625"/>
    <col min="7502" max="7502" width="9.53515625"/>
    <col min="7503" max="7503" width="8.765625"/>
    <col min="7504" max="7505" width="11.765625"/>
    <col min="7506" max="7506" width="9.53515625"/>
    <col min="7507" max="7507" width="9.765625"/>
    <col min="7508" max="7509" width="12.921875"/>
    <col min="7510" max="7510" width="9.53515625"/>
    <col min="7511" max="7511" width="8.765625"/>
    <col min="7512" max="7513" width="11.765625"/>
    <col min="7514" max="7514" width="9.53515625"/>
    <col min="7515" max="7515" width="8.765625"/>
    <col min="7516" max="7517" width="11.765625"/>
    <col min="7518" max="7518" width="9.53515625"/>
    <col min="7519" max="7519" width="8.765625"/>
    <col min="7520" max="7521" width="11.765625"/>
    <col min="7522" max="7522" width="9.53515625"/>
    <col min="7523" max="7523" width="8.765625"/>
    <col min="7524" max="7525" width="11.765625"/>
    <col min="7526" max="7526" width="9.53515625"/>
    <col min="7527" max="7527" width="8.765625"/>
    <col min="7528" max="7529" width="11.765625"/>
    <col min="7530" max="7530" width="9.53515625"/>
    <col min="7531" max="7531" width="8.765625"/>
    <col min="7532" max="7533" width="11.765625"/>
    <col min="7534" max="7534" width="9.53515625"/>
    <col min="7535" max="7535" width="8.765625"/>
    <col min="7536" max="7537" width="11.765625"/>
    <col min="7538" max="7538" width="9.53515625"/>
    <col min="7539" max="7539" width="8.765625"/>
    <col min="7540" max="7541" width="11.765625"/>
    <col min="7542" max="7542" width="9.53515625"/>
    <col min="7543" max="7543" width="8.765625"/>
    <col min="7544" max="7545" width="11.765625"/>
    <col min="7546" max="7546" width="9.53515625"/>
    <col min="7547" max="7547" width="8.765625"/>
    <col min="7548" max="7549" width="11.765625"/>
    <col min="7550" max="7550" width="9.53515625"/>
    <col min="7551" max="7551" width="8.765625"/>
    <col min="7552" max="7553" width="11.765625"/>
    <col min="7554" max="7554" width="9.53515625"/>
    <col min="7555" max="7555" width="8.765625"/>
    <col min="7556" max="7557" width="11.765625"/>
    <col min="7558" max="7558" width="9.53515625"/>
    <col min="7559" max="7559" width="8.765625"/>
    <col min="7560" max="7561" width="11.765625"/>
    <col min="7562" max="7562" width="9.53515625"/>
    <col min="7563" max="7563" width="8.765625"/>
    <col min="7564" max="7565" width="11.765625"/>
    <col min="7566" max="7566" width="9.53515625"/>
    <col min="7567" max="7567" width="8.765625"/>
    <col min="7568" max="7569" width="11.765625"/>
    <col min="7570" max="7570" width="9.53515625"/>
    <col min="7571" max="7571" width="8.765625"/>
    <col min="7572" max="7573" width="11.765625"/>
    <col min="7574" max="7574" width="9.53515625"/>
    <col min="7575" max="7575" width="8.765625"/>
    <col min="7576" max="7577" width="11.765625"/>
    <col min="7578" max="7578" width="9.53515625"/>
    <col min="7579" max="7579" width="8.765625"/>
    <col min="7580" max="7581" width="11.765625"/>
    <col min="7582" max="7582" width="9.53515625"/>
    <col min="7583" max="7583" width="8.765625"/>
    <col min="7584" max="7585" width="11.765625"/>
    <col min="7586" max="7586" width="9.53515625"/>
    <col min="7587" max="7587" width="8.765625"/>
    <col min="7588" max="7589" width="11.765625"/>
    <col min="7590" max="7590" width="9.53515625"/>
    <col min="7591" max="7591" width="8.765625"/>
    <col min="7592" max="7593" width="11.765625"/>
    <col min="7594" max="7594" width="9.53515625"/>
    <col min="7595" max="7595" width="8.765625"/>
    <col min="7596" max="7597" width="11.765625"/>
    <col min="7598" max="7598" width="9.53515625"/>
    <col min="7599" max="7599" width="8.765625"/>
    <col min="7600" max="7601" width="11.765625"/>
    <col min="7602" max="7602" width="9.53515625"/>
    <col min="7603" max="7603" width="8.765625"/>
    <col min="7604" max="7605" width="11.765625"/>
    <col min="7606" max="7606" width="9.53515625"/>
    <col min="7607" max="7607" width="8.765625"/>
    <col min="7608" max="7609" width="11.765625"/>
    <col min="7610" max="7610" width="9.53515625"/>
    <col min="7611" max="7611" width="8.765625"/>
    <col min="7612" max="7613" width="11.765625"/>
    <col min="7614" max="7614" width="9.53515625"/>
    <col min="7615" max="7615" width="8.765625"/>
    <col min="7616" max="7617" width="11.765625"/>
    <col min="7618" max="7618" width="9.53515625"/>
    <col min="7619" max="7619" width="8.765625"/>
    <col min="7620" max="7621" width="11.765625"/>
    <col min="7622" max="7622" width="9.53515625"/>
    <col min="7623" max="7623" width="8.765625"/>
    <col min="7624" max="7625" width="11.765625"/>
    <col min="7626" max="7626" width="9.53515625"/>
    <col min="7627" max="7627" width="8.765625"/>
    <col min="7628" max="7629" width="11.765625"/>
    <col min="7630" max="7630" width="9.53515625"/>
    <col min="7631" max="7631" width="8.765625"/>
    <col min="7632" max="7633" width="11.765625"/>
    <col min="7634" max="7634" width="9.53515625"/>
    <col min="7635" max="7635" width="8.765625"/>
    <col min="7636" max="7637" width="11.765625"/>
    <col min="7638" max="7638" width="9.53515625"/>
    <col min="7639" max="7639" width="8.765625"/>
    <col min="7640" max="7641" width="11.765625"/>
    <col min="7642" max="7642" width="9.53515625"/>
    <col min="7643" max="7643" width="8.765625"/>
    <col min="7644" max="7645" width="11.765625"/>
    <col min="7646" max="7646" width="9.53515625"/>
    <col min="7647" max="7647" width="8.765625"/>
    <col min="7648" max="7649" width="11.765625"/>
    <col min="7650" max="7650" width="9.53515625"/>
    <col min="7651" max="7651" width="8.765625"/>
    <col min="7652" max="7653" width="11.765625"/>
    <col min="7654" max="7654" width="9.53515625"/>
    <col min="7655" max="7655" width="8.765625"/>
    <col min="7656" max="7657" width="11.765625"/>
    <col min="7658" max="7658" width="9.53515625"/>
    <col min="7659" max="7659" width="8.765625"/>
    <col min="7660" max="7661" width="11.765625"/>
    <col min="7662" max="7662" width="9.53515625"/>
    <col min="7663" max="7663" width="8.765625"/>
    <col min="7664" max="7665" width="11.765625"/>
    <col min="7666" max="7666" width="9.53515625"/>
    <col min="7667" max="7667" width="8.765625"/>
    <col min="7668" max="7669" width="11.765625"/>
    <col min="7670" max="7670" width="9.53515625"/>
    <col min="7671" max="7671" width="8.765625"/>
    <col min="7672" max="7673" width="11.765625"/>
    <col min="7674" max="7674" width="9.53515625"/>
    <col min="7675" max="7675" width="8.765625"/>
    <col min="7676" max="7677" width="11.765625"/>
    <col min="7678" max="7678" width="9.53515625"/>
    <col min="7679" max="7679" width="8.765625"/>
    <col min="7680" max="7681" width="11.765625"/>
    <col min="7682" max="7682" width="9.53515625"/>
    <col min="7683" max="7683" width="8.765625"/>
    <col min="7684" max="7685" width="11.765625"/>
    <col min="7686" max="7686" width="9.53515625"/>
    <col min="7687" max="7687" width="8.765625"/>
    <col min="7688" max="7689" width="11.765625"/>
    <col min="7690" max="7690" width="9.53515625"/>
    <col min="7691" max="7691" width="8.765625"/>
    <col min="7692" max="7693" width="11.765625"/>
    <col min="7694" max="7694" width="9.53515625"/>
    <col min="7695" max="7695" width="8.765625"/>
    <col min="7696" max="7697" width="11.765625"/>
    <col min="7698" max="7698" width="9.53515625"/>
    <col min="7699" max="7699" width="8.765625"/>
    <col min="7700" max="7701" width="11.765625"/>
    <col min="7702" max="7702" width="9.53515625"/>
    <col min="7703" max="7703" width="8.765625"/>
    <col min="7704" max="7705" width="11.765625"/>
    <col min="7706" max="7706" width="9.53515625"/>
    <col min="7707" max="7707" width="8.765625"/>
    <col min="7708" max="7709" width="11.765625"/>
    <col min="7710" max="7710" width="9.53515625"/>
    <col min="7711" max="7711" width="8.765625"/>
    <col min="7712" max="7713" width="11.765625"/>
    <col min="7714" max="7714" width="9.53515625"/>
    <col min="7715" max="7715" width="8.765625"/>
    <col min="7716" max="7717" width="11.765625"/>
    <col min="7718" max="7718" width="9.53515625"/>
    <col min="7719" max="7719" width="8.765625"/>
    <col min="7720" max="7721" width="11.765625"/>
    <col min="7722" max="7722" width="9.53515625"/>
    <col min="7723" max="7723" width="9.765625"/>
    <col min="7724" max="7725" width="12.921875"/>
    <col min="7726" max="7726" width="9.53515625"/>
    <col min="7727" max="7727" width="8.765625"/>
    <col min="7728" max="7729" width="11.765625"/>
    <col min="7730" max="7730" width="9.53515625"/>
    <col min="7731" max="7731" width="8.765625"/>
    <col min="7732" max="7733" width="11.765625"/>
    <col min="7734" max="7734" width="9.53515625"/>
    <col min="7735" max="7735" width="8.765625"/>
    <col min="7736" max="7737" width="11.765625"/>
    <col min="7738" max="7738" width="9.53515625"/>
    <col min="7739" max="7739" width="8.765625"/>
    <col min="7740" max="7741" width="11.765625"/>
    <col min="7742" max="7742" width="9.53515625"/>
    <col min="7743" max="7743" width="9.765625"/>
    <col min="7744" max="7745" width="12.921875"/>
    <col min="7746" max="7746" width="9.53515625"/>
    <col min="7747" max="7747" width="8.765625"/>
    <col min="7748" max="7749" width="11.765625"/>
    <col min="7750" max="7750" width="9.53515625"/>
    <col min="7751" max="7751" width="8.765625"/>
    <col min="7752" max="7753" width="11.765625"/>
    <col min="7754" max="7754" width="9.53515625"/>
    <col min="7755" max="7755" width="8.765625"/>
    <col min="7756" max="7757" width="11.765625"/>
    <col min="7758" max="7758" width="9.53515625"/>
    <col min="7759" max="7759" width="8.765625"/>
    <col min="7760" max="7761" width="11.765625"/>
    <col min="7762" max="7762" width="9.53515625"/>
    <col min="7763" max="7763" width="8.765625"/>
    <col min="7764" max="7765" width="11.765625"/>
    <col min="7766" max="7766" width="9.53515625"/>
    <col min="7767" max="7767" width="8.765625"/>
    <col min="7768" max="7769" width="11.765625"/>
    <col min="7770" max="7770" width="9.53515625"/>
    <col min="7771" max="7771" width="8.765625"/>
    <col min="7772" max="7773" width="11.765625"/>
    <col min="7774" max="7774" width="9.53515625"/>
    <col min="7775" max="7775" width="8.765625"/>
    <col min="7776" max="7777" width="11.765625"/>
    <col min="7778" max="7778" width="9.53515625"/>
    <col min="7779" max="7779" width="8.765625"/>
    <col min="7780" max="7781" width="11.765625"/>
    <col min="7782" max="7782" width="9.53515625"/>
    <col min="7783" max="7783" width="8.765625"/>
    <col min="7784" max="7785" width="11.765625"/>
    <col min="7786" max="7786" width="9.53515625"/>
    <col min="7787" max="7787" width="8.765625"/>
    <col min="7788" max="7789" width="11.765625"/>
    <col min="7790" max="7790" width="9.53515625"/>
    <col min="7791" max="7791" width="8.765625"/>
    <col min="7792" max="7793" width="11.765625"/>
    <col min="7794" max="7794" width="9.53515625"/>
    <col min="7795" max="7795" width="8.765625"/>
    <col min="7796" max="7797" width="11.765625"/>
    <col min="7798" max="7798" width="9.53515625"/>
    <col min="7799" max="7799" width="8.765625"/>
    <col min="7800" max="7801" width="11.765625"/>
    <col min="7802" max="7802" width="9.53515625"/>
    <col min="7803" max="7803" width="8.765625"/>
    <col min="7804" max="7805" width="11.765625"/>
    <col min="7806" max="7806" width="9.53515625"/>
    <col min="7807" max="7807" width="8.765625"/>
    <col min="7808" max="7809" width="11.765625"/>
    <col min="7810" max="7810" width="9.53515625"/>
    <col min="7811" max="7811" width="8.765625"/>
    <col min="7812" max="7813" width="11.765625"/>
    <col min="7814" max="7814" width="9.53515625"/>
    <col min="7815" max="7815" width="8.765625"/>
    <col min="7816" max="7817" width="11.765625"/>
    <col min="7818" max="7818" width="9.53515625"/>
    <col min="7819" max="7819" width="8.765625"/>
    <col min="7820" max="7821" width="11.765625"/>
    <col min="7822" max="7822" width="9.53515625"/>
    <col min="7823" max="7823" width="8.765625"/>
    <col min="7824" max="7825" width="11.765625"/>
    <col min="7826" max="7826" width="9.53515625"/>
    <col min="7827" max="7827" width="8.765625"/>
    <col min="7828" max="7829" width="11.765625"/>
    <col min="7830" max="7830" width="9.53515625"/>
    <col min="7831" max="7831" width="8.765625"/>
    <col min="7832" max="7833" width="11.765625"/>
    <col min="7834" max="7834" width="9.53515625"/>
    <col min="7835" max="7835" width="8.765625"/>
    <col min="7836" max="7837" width="11.765625"/>
    <col min="7838" max="7838" width="9.53515625"/>
    <col min="7839" max="7839" width="8.765625"/>
    <col min="7840" max="7841" width="11.765625"/>
    <col min="7842" max="7842" width="9.53515625"/>
    <col min="7843" max="7843" width="8.765625"/>
    <col min="7844" max="7845" width="11.765625"/>
    <col min="7846" max="7846" width="9.53515625"/>
    <col min="7847" max="7847" width="8.765625"/>
    <col min="7848" max="7849" width="11.765625"/>
    <col min="7850" max="7850" width="9.53515625"/>
    <col min="7851" max="7851" width="8.765625"/>
    <col min="7852" max="7853" width="11.765625"/>
    <col min="7854" max="7854" width="9.53515625"/>
    <col min="7855" max="7855" width="8.765625"/>
    <col min="7856" max="7857" width="11.765625"/>
    <col min="7858" max="7858" width="9.53515625"/>
    <col min="7859" max="7859" width="8.765625"/>
    <col min="7860" max="7861" width="11.765625"/>
    <col min="7862" max="7862" width="9.53515625"/>
    <col min="7863" max="7863" width="8.765625"/>
    <col min="7864" max="7865" width="11.765625"/>
    <col min="7866" max="7866" width="9.53515625"/>
    <col min="7867" max="7867" width="8.765625"/>
    <col min="7868" max="7869" width="11.765625"/>
    <col min="7870" max="7870" width="9.53515625"/>
    <col min="7871" max="7871" width="8.765625"/>
    <col min="7872" max="7873" width="11.765625"/>
    <col min="7874" max="7874" width="9.53515625"/>
    <col min="7875" max="7875" width="8.765625"/>
    <col min="7876" max="7877" width="11.765625"/>
    <col min="7878" max="7878" width="9.53515625"/>
    <col min="7879" max="7879" width="8.765625"/>
    <col min="7880" max="7881" width="11.765625"/>
    <col min="7882" max="7882" width="9.53515625"/>
    <col min="7883" max="7883" width="8.765625"/>
    <col min="7884" max="7885" width="11.765625"/>
    <col min="7886" max="7886" width="9.53515625"/>
    <col min="7887" max="7887" width="8.765625"/>
    <col min="7888" max="7889" width="11.765625"/>
    <col min="7890" max="7890" width="9.53515625"/>
    <col min="7891" max="7891" width="8.765625"/>
    <col min="7892" max="7893" width="11.765625"/>
    <col min="7894" max="7894" width="9.53515625"/>
    <col min="7895" max="7895" width="8.765625"/>
    <col min="7896" max="7897" width="11.765625"/>
    <col min="7898" max="7898" width="9.53515625"/>
    <col min="7899" max="7899" width="8.765625"/>
    <col min="7900" max="7901" width="11.765625"/>
    <col min="7902" max="7902" width="9.53515625"/>
    <col min="7903" max="7903" width="8.765625"/>
    <col min="7904" max="7905" width="11.765625"/>
    <col min="7906" max="7906" width="9.53515625"/>
    <col min="7907" max="7907" width="8.765625"/>
    <col min="7908" max="7909" width="11.765625"/>
    <col min="7910" max="7910" width="9.53515625"/>
    <col min="7911" max="7911" width="8.765625"/>
    <col min="7912" max="7913" width="11.765625"/>
    <col min="7914" max="7914" width="9.53515625"/>
    <col min="7915" max="7915" width="8.765625"/>
    <col min="7916" max="7917" width="11.765625"/>
    <col min="7918" max="7918" width="9.53515625"/>
    <col min="7919" max="7919" width="8.765625"/>
    <col min="7920" max="7921" width="11.765625"/>
    <col min="7922" max="7922" width="9.53515625"/>
    <col min="7923" max="7923" width="8.765625"/>
    <col min="7924" max="7925" width="11.765625"/>
    <col min="7926" max="7926" width="9.53515625"/>
    <col min="7927" max="7927" width="8.765625"/>
    <col min="7928" max="7929" width="11.765625"/>
    <col min="7930" max="7930" width="9.53515625"/>
    <col min="7931" max="7931" width="8.765625"/>
    <col min="7932" max="7933" width="11.765625"/>
    <col min="7934" max="7934" width="9.53515625"/>
    <col min="7935" max="7935" width="8.765625"/>
    <col min="7936" max="7937" width="11.765625"/>
    <col min="7938" max="7938" width="9.53515625"/>
    <col min="7939" max="7939" width="8.765625"/>
    <col min="7940" max="7941" width="11.765625"/>
    <col min="7942" max="7942" width="9.53515625"/>
    <col min="7943" max="7943" width="8.765625"/>
    <col min="7944" max="7945" width="11.765625"/>
    <col min="7946" max="7946" width="9.53515625"/>
    <col min="7947" max="7947" width="8.765625"/>
    <col min="7948" max="7949" width="11.765625"/>
    <col min="7950" max="7950" width="9.53515625"/>
    <col min="7951" max="7951" width="8.765625"/>
    <col min="7952" max="7953" width="11.765625"/>
    <col min="7954" max="7954" width="9.53515625"/>
    <col min="7955" max="7955" width="8.765625"/>
    <col min="7956" max="7957" width="11.765625"/>
    <col min="7958" max="7958" width="9.53515625"/>
    <col min="7959" max="7959" width="8.765625"/>
    <col min="7960" max="7961" width="11.765625"/>
    <col min="7962" max="7962" width="9.53515625"/>
    <col min="7963" max="7963" width="8.765625"/>
    <col min="7964" max="7965" width="11.765625"/>
    <col min="7966" max="7966" width="10.69140625"/>
    <col min="7967" max="7967" width="8.765625"/>
    <col min="7968" max="7969" width="11.765625"/>
    <col min="7970" max="7970" width="10.69140625"/>
    <col min="7971" max="7971" width="8.765625"/>
    <col min="7972" max="7973" width="11.765625"/>
    <col min="7974" max="7974" width="10.69140625"/>
    <col min="7975" max="7975" width="8.765625"/>
    <col min="7976" max="7977" width="11.765625"/>
    <col min="7978" max="7978" width="10.69140625"/>
    <col min="7979" max="7979" width="8.765625"/>
    <col min="7980" max="7981" width="11.765625"/>
    <col min="7982" max="7982" width="10.69140625"/>
    <col min="7983" max="7983" width="8.765625"/>
    <col min="7984" max="7985" width="11.765625"/>
    <col min="7986" max="7986" width="10.69140625"/>
    <col min="7987" max="7987" width="8.765625"/>
    <col min="7988" max="7989" width="11.765625"/>
    <col min="7990" max="7990" width="10.69140625"/>
    <col min="7991" max="7991" width="8.765625"/>
    <col min="7992" max="7993" width="11.765625"/>
    <col min="7994" max="7994" width="10.69140625"/>
    <col min="7995" max="7995" width="8.765625"/>
    <col min="7996" max="7997" width="11.765625"/>
    <col min="7998" max="7998" width="10.69140625"/>
    <col min="7999" max="7999" width="8.765625"/>
    <col min="8000" max="8001" width="11.765625"/>
    <col min="8002" max="8002" width="10.69140625"/>
    <col min="8003" max="8003" width="8.765625"/>
    <col min="8004" max="8005" width="11.765625"/>
    <col min="8006" max="8006" width="10.69140625"/>
    <col min="8007" max="8007" width="8.765625"/>
    <col min="8008" max="8009" width="11.765625"/>
    <col min="8010" max="8010" width="10.69140625"/>
    <col min="8011" max="8011" width="8.765625"/>
    <col min="8012" max="8013" width="11.765625"/>
    <col min="8014" max="8014" width="10.69140625"/>
    <col min="8015" max="8015" width="8.765625"/>
    <col min="8016" max="8017" width="11.765625"/>
    <col min="8018" max="8018" width="10.69140625"/>
    <col min="8019" max="8019" width="11.23046875"/>
  </cols>
  <sheetData>
    <row r="1" spans="1:27">
      <c r="A1" s="13" t="s">
        <v>0</v>
      </c>
      <c r="B1" s="13" t="s">
        <v>1</v>
      </c>
      <c r="C1" s="13" t="s">
        <v>2</v>
      </c>
      <c r="D1" s="14" t="s">
        <v>3</v>
      </c>
      <c r="E1" s="13" t="s">
        <v>4</v>
      </c>
      <c r="F1" s="15" t="s">
        <v>5</v>
      </c>
      <c r="G1" s="15" t="s">
        <v>6</v>
      </c>
      <c r="H1" s="15" t="s">
        <v>7</v>
      </c>
      <c r="I1" s="13" t="s">
        <v>8</v>
      </c>
      <c r="J1" s="13" t="s">
        <v>9</v>
      </c>
      <c r="K1" s="13" t="s">
        <v>10</v>
      </c>
      <c r="L1" s="13" t="s">
        <v>11</v>
      </c>
      <c r="M1" s="13" t="s">
        <v>12</v>
      </c>
      <c r="N1" s="16" t="s">
        <v>13</v>
      </c>
      <c r="O1" s="10" t="s">
        <v>14</v>
      </c>
      <c r="P1" s="17" t="s">
        <v>15</v>
      </c>
      <c r="Q1" s="17" t="s">
        <v>16</v>
      </c>
      <c r="R1" s="10" t="s">
        <v>17</v>
      </c>
      <c r="S1" s="10" t="s">
        <v>18</v>
      </c>
    </row>
    <row r="2" spans="1:27">
      <c r="A2" s="18" t="s">
        <v>19</v>
      </c>
      <c r="B2" s="18" t="s">
        <v>20</v>
      </c>
      <c r="C2" s="18" t="s">
        <v>21</v>
      </c>
      <c r="D2" s="19">
        <v>44774</v>
      </c>
      <c r="E2" s="20">
        <v>45408</v>
      </c>
      <c r="F2" s="21">
        <v>22068.799999999999</v>
      </c>
      <c r="G2" s="21">
        <v>3283.2</v>
      </c>
      <c r="H2" s="21">
        <v>2155.1999999999998</v>
      </c>
      <c r="I2" s="18">
        <v>2316.6559999999999</v>
      </c>
      <c r="J2" s="18">
        <v>8879.5679999999993</v>
      </c>
      <c r="K2" s="18" t="s">
        <v>22</v>
      </c>
      <c r="L2" s="18" t="s">
        <v>23</v>
      </c>
      <c r="M2" s="18" t="s">
        <v>24</v>
      </c>
      <c r="N2" s="22">
        <f t="shared" ref="N2:N65" si="0">G2/F2</f>
        <v>0.14877111578336799</v>
      </c>
      <c r="O2" s="22">
        <f t="shared" ref="O2:O65" si="1">H2/G2</f>
        <v>0.65643274853801203</v>
      </c>
      <c r="P2" s="23">
        <f t="shared" ref="P2:P65" si="2">I2/G2</f>
        <v>0.70560916179337196</v>
      </c>
      <c r="Q2" s="23">
        <f t="shared" ref="Q2:Q65" si="3">I2/H2</f>
        <v>1.0749146250927999</v>
      </c>
      <c r="R2" s="22">
        <f t="shared" ref="R2:R65" si="4">(J2-I2)/I2</f>
        <v>2.8329246983583198</v>
      </c>
      <c r="S2" s="22">
        <f t="shared" ref="S2:S65" si="5">J2/I2</f>
        <v>3.8329246983583198</v>
      </c>
    </row>
    <row r="3" spans="1:27">
      <c r="A3" s="18" t="s">
        <v>25</v>
      </c>
      <c r="B3" s="18" t="s">
        <v>26</v>
      </c>
      <c r="C3" s="18" t="s">
        <v>21</v>
      </c>
      <c r="D3" s="19">
        <v>44822</v>
      </c>
      <c r="E3" s="20">
        <v>45424</v>
      </c>
      <c r="F3" s="21">
        <v>32849.599999999999</v>
      </c>
      <c r="G3" s="21">
        <v>3307.2</v>
      </c>
      <c r="H3" s="21">
        <v>3164.8</v>
      </c>
      <c r="I3" s="18">
        <v>7114.1279999999997</v>
      </c>
      <c r="J3" s="18">
        <v>17302.031999999999</v>
      </c>
      <c r="K3" s="18" t="s">
        <v>22</v>
      </c>
      <c r="L3" s="18" t="s">
        <v>23</v>
      </c>
      <c r="M3" s="18" t="s">
        <v>24</v>
      </c>
      <c r="N3" s="22">
        <f t="shared" si="0"/>
        <v>0.100677024986606</v>
      </c>
      <c r="O3" s="22">
        <f t="shared" si="1"/>
        <v>0.95694242864054202</v>
      </c>
      <c r="P3" s="23">
        <f t="shared" si="2"/>
        <v>2.1511030478955</v>
      </c>
      <c r="Q3" s="23">
        <f t="shared" si="3"/>
        <v>2.2478918099089999</v>
      </c>
      <c r="R3" s="22">
        <f t="shared" si="4"/>
        <v>1.43206644581036</v>
      </c>
      <c r="S3" s="22">
        <f t="shared" si="5"/>
        <v>2.43206644581036</v>
      </c>
    </row>
    <row r="4" spans="1:27">
      <c r="A4" s="18" t="s">
        <v>27</v>
      </c>
      <c r="B4" s="18" t="s">
        <v>28</v>
      </c>
      <c r="C4" s="18" t="s">
        <v>29</v>
      </c>
      <c r="D4" s="19">
        <v>44768</v>
      </c>
      <c r="E4" s="20">
        <v>45389</v>
      </c>
      <c r="F4" s="21">
        <v>12748.8</v>
      </c>
      <c r="G4" s="21">
        <v>7494.4</v>
      </c>
      <c r="H4" s="21">
        <v>7334.4</v>
      </c>
      <c r="I4" s="18">
        <v>3358.4479999999999</v>
      </c>
      <c r="J4" s="18">
        <v>4892.4160000000002</v>
      </c>
      <c r="K4" s="18" t="s">
        <v>30</v>
      </c>
      <c r="L4" s="18" t="s">
        <v>31</v>
      </c>
      <c r="M4" s="18" t="s">
        <v>32</v>
      </c>
      <c r="N4" s="22">
        <f t="shared" si="0"/>
        <v>0.58785140562249005</v>
      </c>
      <c r="O4" s="22">
        <f t="shared" si="1"/>
        <v>0.97865072587531998</v>
      </c>
      <c r="P4" s="23">
        <f t="shared" si="2"/>
        <v>0.44812766865926601</v>
      </c>
      <c r="Q4" s="23">
        <f t="shared" si="3"/>
        <v>0.45790357766143103</v>
      </c>
      <c r="R4" s="22">
        <f t="shared" si="4"/>
        <v>0.45674906980843499</v>
      </c>
      <c r="S4" s="22">
        <f t="shared" si="5"/>
        <v>1.45674906980844</v>
      </c>
      <c r="U4" s="24"/>
      <c r="V4" s="24"/>
      <c r="W4" s="24"/>
      <c r="X4" s="24"/>
      <c r="Y4" s="24"/>
      <c r="Z4" s="24"/>
      <c r="AA4" s="24"/>
    </row>
    <row r="5" spans="1:27">
      <c r="A5" s="18" t="s">
        <v>33</v>
      </c>
      <c r="B5" s="18" t="s">
        <v>34</v>
      </c>
      <c r="C5" s="18" t="s">
        <v>29</v>
      </c>
      <c r="D5" s="19">
        <v>44794</v>
      </c>
      <c r="E5" s="20">
        <v>45408</v>
      </c>
      <c r="F5" s="21">
        <v>40196.800000000003</v>
      </c>
      <c r="G5" s="21">
        <v>21150.400000000001</v>
      </c>
      <c r="H5" s="21">
        <v>3032</v>
      </c>
      <c r="I5" s="18">
        <v>4426.9759999999997</v>
      </c>
      <c r="J5" s="18">
        <v>16548.544000000002</v>
      </c>
      <c r="K5" s="18" t="s">
        <v>30</v>
      </c>
      <c r="L5" s="18" t="s">
        <v>35</v>
      </c>
      <c r="M5" s="18" t="s">
        <v>24</v>
      </c>
      <c r="N5" s="22">
        <f t="shared" si="0"/>
        <v>0.52617123751144401</v>
      </c>
      <c r="O5" s="22">
        <f t="shared" si="1"/>
        <v>0.14335426280353999</v>
      </c>
      <c r="P5" s="23">
        <f t="shared" si="2"/>
        <v>0.209309327483168</v>
      </c>
      <c r="Q5" s="23">
        <f t="shared" si="3"/>
        <v>1.4600844327176801</v>
      </c>
      <c r="R5" s="22">
        <f t="shared" si="4"/>
        <v>2.7381146859616998</v>
      </c>
      <c r="S5" s="22">
        <f t="shared" si="5"/>
        <v>3.7381146859616998</v>
      </c>
      <c r="U5" s="24"/>
      <c r="V5" s="24"/>
      <c r="W5" s="24"/>
      <c r="X5" s="24"/>
      <c r="Y5" s="24"/>
      <c r="Z5" s="24"/>
      <c r="AA5" s="25"/>
    </row>
    <row r="6" spans="1:27">
      <c r="A6" s="18" t="s">
        <v>36</v>
      </c>
      <c r="B6" s="18" t="s">
        <v>20</v>
      </c>
      <c r="C6" s="18" t="s">
        <v>29</v>
      </c>
      <c r="D6" s="19">
        <v>44989</v>
      </c>
      <c r="E6" s="20">
        <v>45600</v>
      </c>
      <c r="F6" s="21">
        <v>4030.4</v>
      </c>
      <c r="G6" s="21">
        <v>2806.4</v>
      </c>
      <c r="H6" s="21">
        <v>2556.8000000000002</v>
      </c>
      <c r="I6" s="18">
        <v>2331.7759999999998</v>
      </c>
      <c r="J6" s="18">
        <v>3538.2240000000002</v>
      </c>
      <c r="K6" s="18" t="s">
        <v>30</v>
      </c>
      <c r="L6" s="18" t="s">
        <v>31</v>
      </c>
      <c r="M6" s="18" t="s">
        <v>24</v>
      </c>
      <c r="N6" s="22">
        <f t="shared" si="0"/>
        <v>0.69630805875347401</v>
      </c>
      <c r="O6" s="22">
        <f t="shared" si="1"/>
        <v>0.91106043329532505</v>
      </c>
      <c r="P6" s="23">
        <f t="shared" si="2"/>
        <v>0.83087799315849498</v>
      </c>
      <c r="Q6" s="23">
        <f t="shared" si="3"/>
        <v>0.911989987484355</v>
      </c>
      <c r="R6" s="22">
        <f t="shared" si="4"/>
        <v>0.51739446670692202</v>
      </c>
      <c r="S6" s="22">
        <f t="shared" si="5"/>
        <v>1.5173944667069199</v>
      </c>
      <c r="U6" s="24"/>
      <c r="V6" s="24"/>
      <c r="W6" s="24"/>
      <c r="X6" s="24"/>
      <c r="Y6" s="24"/>
      <c r="Z6" s="24"/>
      <c r="AA6" s="25"/>
    </row>
    <row r="7" spans="1:27">
      <c r="A7" s="18" t="s">
        <v>37</v>
      </c>
      <c r="B7" s="18" t="s">
        <v>20</v>
      </c>
      <c r="C7" s="18" t="s">
        <v>21</v>
      </c>
      <c r="D7" s="19">
        <v>44928</v>
      </c>
      <c r="E7" s="20">
        <v>45552</v>
      </c>
      <c r="F7" s="21">
        <v>76406.399999999994</v>
      </c>
      <c r="G7" s="21">
        <v>41544</v>
      </c>
      <c r="H7" s="21">
        <v>31019.200000000001</v>
      </c>
      <c r="I7" s="18">
        <v>169.47200000000001</v>
      </c>
      <c r="J7" s="18">
        <v>559.84</v>
      </c>
      <c r="K7" s="18" t="s">
        <v>38</v>
      </c>
      <c r="L7" s="18" t="s">
        <v>31</v>
      </c>
      <c r="M7" s="18" t="s">
        <v>24</v>
      </c>
      <c r="N7" s="22">
        <f t="shared" si="0"/>
        <v>0.54372408594044497</v>
      </c>
      <c r="O7" s="22">
        <f t="shared" si="1"/>
        <v>0.74665896398998699</v>
      </c>
      <c r="P7" s="23">
        <f t="shared" si="2"/>
        <v>4.0793375698055098E-3</v>
      </c>
      <c r="Q7" s="23">
        <f t="shared" si="3"/>
        <v>5.4634548924537103E-3</v>
      </c>
      <c r="R7" s="22">
        <f t="shared" si="4"/>
        <v>2.3034365558912402</v>
      </c>
      <c r="S7" s="22">
        <f t="shared" si="5"/>
        <v>3.3034365558912402</v>
      </c>
      <c r="U7" s="24"/>
      <c r="V7" s="24"/>
      <c r="W7" s="24"/>
      <c r="X7" s="24"/>
      <c r="Y7" s="24"/>
      <c r="Z7" s="24"/>
      <c r="AA7" s="25"/>
    </row>
    <row r="8" spans="1:27">
      <c r="A8" s="18" t="s">
        <v>39</v>
      </c>
      <c r="B8" s="18" t="s">
        <v>40</v>
      </c>
      <c r="C8" s="18" t="s">
        <v>41</v>
      </c>
      <c r="D8" s="19">
        <v>44773</v>
      </c>
      <c r="E8" s="20">
        <v>45377</v>
      </c>
      <c r="F8" s="21">
        <v>23641.599999999999</v>
      </c>
      <c r="G8" s="21">
        <v>20963.2</v>
      </c>
      <c r="H8" s="21">
        <v>20100.8</v>
      </c>
      <c r="I8" s="18">
        <v>7501.0240000000003</v>
      </c>
      <c r="J8" s="18">
        <v>10119.791999999999</v>
      </c>
      <c r="K8" s="18" t="s">
        <v>38</v>
      </c>
      <c r="L8" s="18" t="s">
        <v>31</v>
      </c>
      <c r="M8" s="18" t="s">
        <v>24</v>
      </c>
      <c r="N8" s="22">
        <f t="shared" si="0"/>
        <v>0.88670817541959901</v>
      </c>
      <c r="O8" s="22">
        <f t="shared" si="1"/>
        <v>0.95886124255838801</v>
      </c>
      <c r="P8" s="23">
        <f t="shared" si="2"/>
        <v>0.35781865364066601</v>
      </c>
      <c r="Q8" s="23">
        <f t="shared" si="3"/>
        <v>0.37317042107776799</v>
      </c>
      <c r="R8" s="22">
        <f t="shared" si="4"/>
        <v>0.34912139995819202</v>
      </c>
      <c r="S8" s="22">
        <f t="shared" si="5"/>
        <v>1.3491213999581899</v>
      </c>
      <c r="U8" s="24"/>
      <c r="V8" s="24"/>
      <c r="W8" s="24"/>
      <c r="X8" s="24"/>
      <c r="Y8" s="24"/>
      <c r="Z8" s="24"/>
      <c r="AA8" s="25"/>
    </row>
    <row r="9" spans="1:27">
      <c r="A9" s="18" t="s">
        <v>42</v>
      </c>
      <c r="B9" s="18" t="s">
        <v>20</v>
      </c>
      <c r="C9" s="18" t="s">
        <v>21</v>
      </c>
      <c r="D9" s="19">
        <v>44699</v>
      </c>
      <c r="E9" s="20">
        <v>45311</v>
      </c>
      <c r="F9" s="21">
        <v>59968</v>
      </c>
      <c r="G9" s="21">
        <v>57536</v>
      </c>
      <c r="H9" s="21">
        <v>51075.199999999997</v>
      </c>
      <c r="I9" s="18">
        <v>7622.88</v>
      </c>
      <c r="J9" s="18">
        <v>16616.815999999999</v>
      </c>
      <c r="K9" s="18" t="s">
        <v>43</v>
      </c>
      <c r="L9" s="18" t="s">
        <v>44</v>
      </c>
      <c r="M9" s="18" t="s">
        <v>24</v>
      </c>
      <c r="N9" s="22">
        <f t="shared" si="0"/>
        <v>0.95944503735325504</v>
      </c>
      <c r="O9" s="22">
        <f t="shared" si="1"/>
        <v>0.887708565072303</v>
      </c>
      <c r="P9" s="23">
        <f t="shared" si="2"/>
        <v>0.132488876529477</v>
      </c>
      <c r="Q9" s="23">
        <f t="shared" si="3"/>
        <v>0.14924816740805699</v>
      </c>
      <c r="R9" s="22">
        <f t="shared" si="4"/>
        <v>1.1798606301030601</v>
      </c>
      <c r="S9" s="22">
        <f t="shared" si="5"/>
        <v>2.1798606301030601</v>
      </c>
      <c r="U9" s="24"/>
      <c r="V9" s="24"/>
      <c r="W9" s="24"/>
      <c r="X9" s="24"/>
      <c r="Y9" s="24"/>
      <c r="Z9" s="24"/>
      <c r="AA9" s="25"/>
    </row>
    <row r="10" spans="1:27">
      <c r="A10" s="18" t="s">
        <v>45</v>
      </c>
      <c r="B10" s="18" t="s">
        <v>26</v>
      </c>
      <c r="C10" s="18" t="s">
        <v>41</v>
      </c>
      <c r="D10" s="19">
        <v>44942</v>
      </c>
      <c r="E10" s="20">
        <v>45569</v>
      </c>
      <c r="F10" s="21">
        <v>18625.599999999999</v>
      </c>
      <c r="G10" s="21">
        <v>11414.4</v>
      </c>
      <c r="H10" s="21">
        <v>7296</v>
      </c>
      <c r="I10" s="18">
        <v>2765.6320000000001</v>
      </c>
      <c r="J10" s="18">
        <v>9446.56</v>
      </c>
      <c r="K10" s="18" t="s">
        <v>30</v>
      </c>
      <c r="L10" s="18" t="s">
        <v>35</v>
      </c>
      <c r="M10" s="18" t="s">
        <v>32</v>
      </c>
      <c r="N10" s="22">
        <f t="shared" si="0"/>
        <v>0.612833948973456</v>
      </c>
      <c r="O10" s="22">
        <f t="shared" si="1"/>
        <v>0.63919259882253998</v>
      </c>
      <c r="P10" s="23">
        <f t="shared" si="2"/>
        <v>0.24229324362209101</v>
      </c>
      <c r="Q10" s="23">
        <f t="shared" si="3"/>
        <v>0.37906140350877199</v>
      </c>
      <c r="R10" s="22">
        <f t="shared" si="4"/>
        <v>2.41569666535533</v>
      </c>
      <c r="S10" s="22">
        <f t="shared" si="5"/>
        <v>3.41569666535533</v>
      </c>
    </row>
    <row r="11" spans="1:27">
      <c r="A11" s="18" t="s">
        <v>46</v>
      </c>
      <c r="B11" s="18" t="s">
        <v>47</v>
      </c>
      <c r="C11" s="18" t="s">
        <v>48</v>
      </c>
      <c r="D11" s="19">
        <v>44699</v>
      </c>
      <c r="E11" s="20">
        <v>45317</v>
      </c>
      <c r="F11" s="21">
        <v>67654.399999999994</v>
      </c>
      <c r="G11" s="21">
        <v>8792</v>
      </c>
      <c r="H11" s="21">
        <v>294.39999999999998</v>
      </c>
      <c r="I11" s="18">
        <v>1008.992</v>
      </c>
      <c r="J11" s="18">
        <v>3153.4879999999998</v>
      </c>
      <c r="K11" s="18" t="s">
        <v>43</v>
      </c>
      <c r="L11" s="18" t="s">
        <v>31</v>
      </c>
      <c r="M11" s="18" t="s">
        <v>32</v>
      </c>
      <c r="N11" s="22">
        <f t="shared" si="0"/>
        <v>0.12995459275376001</v>
      </c>
      <c r="O11" s="22">
        <f t="shared" si="1"/>
        <v>3.3484986351228402E-2</v>
      </c>
      <c r="P11" s="23">
        <f t="shared" si="2"/>
        <v>0.114762511373976</v>
      </c>
      <c r="Q11" s="23">
        <f t="shared" si="3"/>
        <v>3.4272826086956498</v>
      </c>
      <c r="R11" s="22">
        <f t="shared" si="4"/>
        <v>2.1253845421965698</v>
      </c>
      <c r="S11" s="22">
        <f t="shared" si="5"/>
        <v>3.1253845421965698</v>
      </c>
    </row>
    <row r="12" spans="1:27">
      <c r="A12" s="18" t="s">
        <v>49</v>
      </c>
      <c r="B12" s="18" t="s">
        <v>40</v>
      </c>
      <c r="C12" s="18" t="s">
        <v>21</v>
      </c>
      <c r="D12" s="19">
        <v>44832</v>
      </c>
      <c r="E12" s="20">
        <v>45435</v>
      </c>
      <c r="F12" s="21">
        <v>17712</v>
      </c>
      <c r="G12" s="21">
        <v>16457.599999999999</v>
      </c>
      <c r="H12" s="21">
        <v>12174.4</v>
      </c>
      <c r="I12" s="18">
        <v>7745.5360000000001</v>
      </c>
      <c r="J12" s="18">
        <v>28954</v>
      </c>
      <c r="K12" s="18" t="s">
        <v>30</v>
      </c>
      <c r="L12" s="18" t="s">
        <v>50</v>
      </c>
      <c r="M12" s="18" t="s">
        <v>24</v>
      </c>
      <c r="N12" s="22">
        <f t="shared" si="0"/>
        <v>0.92917795844625095</v>
      </c>
      <c r="O12" s="22">
        <f t="shared" si="1"/>
        <v>0.73974334046276502</v>
      </c>
      <c r="P12" s="23">
        <f t="shared" si="2"/>
        <v>0.47063581567178697</v>
      </c>
      <c r="Q12" s="23">
        <f t="shared" si="3"/>
        <v>0.636215008542515</v>
      </c>
      <c r="R12" s="22">
        <f t="shared" si="4"/>
        <v>2.7381531762295102</v>
      </c>
      <c r="S12" s="22">
        <f t="shared" si="5"/>
        <v>3.7381531762295102</v>
      </c>
    </row>
    <row r="13" spans="1:27">
      <c r="A13" s="18" t="s">
        <v>51</v>
      </c>
      <c r="B13" s="18" t="s">
        <v>28</v>
      </c>
      <c r="C13" s="18" t="s">
        <v>21</v>
      </c>
      <c r="D13" s="19">
        <v>44692</v>
      </c>
      <c r="E13" s="20">
        <v>45306</v>
      </c>
      <c r="F13" s="21">
        <v>68145.600000000006</v>
      </c>
      <c r="G13" s="21">
        <v>51972.800000000003</v>
      </c>
      <c r="H13" s="21">
        <v>46969.599999999999</v>
      </c>
      <c r="I13" s="18">
        <v>2790.0320000000002</v>
      </c>
      <c r="J13" s="18">
        <v>7765.0879999999997</v>
      </c>
      <c r="K13" s="18" t="s">
        <v>38</v>
      </c>
      <c r="L13" s="18" t="s">
        <v>44</v>
      </c>
      <c r="M13" s="18" t="s">
        <v>24</v>
      </c>
      <c r="N13" s="22">
        <f t="shared" si="0"/>
        <v>0.76267286515930599</v>
      </c>
      <c r="O13" s="22">
        <f t="shared" si="1"/>
        <v>0.90373426099805998</v>
      </c>
      <c r="P13" s="23">
        <f t="shared" si="2"/>
        <v>5.36825416371641E-2</v>
      </c>
      <c r="Q13" s="23">
        <f t="shared" si="3"/>
        <v>5.9400803924240402E-2</v>
      </c>
      <c r="R13" s="22">
        <f t="shared" si="4"/>
        <v>1.7831537416058301</v>
      </c>
      <c r="S13" s="22">
        <f t="shared" si="5"/>
        <v>2.7831537416058301</v>
      </c>
    </row>
    <row r="14" spans="1:27">
      <c r="A14" s="18" t="s">
        <v>52</v>
      </c>
      <c r="B14" s="18" t="s">
        <v>26</v>
      </c>
      <c r="C14" s="18" t="s">
        <v>21</v>
      </c>
      <c r="D14" s="19">
        <v>44972</v>
      </c>
      <c r="E14" s="20">
        <v>45601</v>
      </c>
      <c r="F14" s="21">
        <v>31806.400000000001</v>
      </c>
      <c r="G14" s="21">
        <v>2144</v>
      </c>
      <c r="H14" s="21">
        <v>902.4</v>
      </c>
      <c r="I14" s="18">
        <v>2035.2639999999999</v>
      </c>
      <c r="J14" s="18">
        <v>6360.4639999999999</v>
      </c>
      <c r="K14" s="18" t="s">
        <v>22</v>
      </c>
      <c r="L14" s="18" t="s">
        <v>50</v>
      </c>
      <c r="M14" s="18" t="s">
        <v>24</v>
      </c>
      <c r="N14" s="22">
        <f t="shared" si="0"/>
        <v>6.7407817294632494E-2</v>
      </c>
      <c r="O14" s="22">
        <f t="shared" si="1"/>
        <v>0.42089552238805999</v>
      </c>
      <c r="P14" s="23">
        <f t="shared" si="2"/>
        <v>0.94928358208955199</v>
      </c>
      <c r="Q14" s="23">
        <f t="shared" si="3"/>
        <v>2.2553900709219898</v>
      </c>
      <c r="R14" s="22">
        <f t="shared" si="4"/>
        <v>2.1251297129021101</v>
      </c>
      <c r="S14" s="22">
        <f t="shared" si="5"/>
        <v>3.1251297129021101</v>
      </c>
    </row>
    <row r="15" spans="1:27">
      <c r="A15" s="18" t="s">
        <v>53</v>
      </c>
      <c r="B15" s="18" t="s">
        <v>20</v>
      </c>
      <c r="C15" s="18" t="s">
        <v>21</v>
      </c>
      <c r="D15" s="19">
        <v>44932</v>
      </c>
      <c r="E15" s="20">
        <v>45558</v>
      </c>
      <c r="F15" s="21">
        <v>19315.2</v>
      </c>
      <c r="G15" s="21">
        <v>18401.599999999999</v>
      </c>
      <c r="H15" s="21">
        <v>16984</v>
      </c>
      <c r="I15" s="18">
        <v>2242.3519999999999</v>
      </c>
      <c r="J15" s="18">
        <v>8380.2240000000002</v>
      </c>
      <c r="K15" s="18" t="s">
        <v>22</v>
      </c>
      <c r="L15" s="18" t="s">
        <v>50</v>
      </c>
      <c r="M15" s="18" t="s">
        <v>32</v>
      </c>
      <c r="N15" s="22">
        <f t="shared" si="0"/>
        <v>0.95270046388336604</v>
      </c>
      <c r="O15" s="22">
        <f t="shared" si="1"/>
        <v>0.92296322058951397</v>
      </c>
      <c r="P15" s="23">
        <f t="shared" si="2"/>
        <v>0.12185636031649399</v>
      </c>
      <c r="Q15" s="23">
        <f t="shared" si="3"/>
        <v>0.13202731983042901</v>
      </c>
      <c r="R15" s="22">
        <f t="shared" si="4"/>
        <v>2.7372473188865998</v>
      </c>
      <c r="S15" s="22">
        <f t="shared" si="5"/>
        <v>3.7372473188865998</v>
      </c>
    </row>
    <row r="16" spans="1:27">
      <c r="A16" s="18" t="s">
        <v>54</v>
      </c>
      <c r="B16" s="18" t="s">
        <v>40</v>
      </c>
      <c r="C16" s="18" t="s">
        <v>41</v>
      </c>
      <c r="D16" s="19">
        <v>44795</v>
      </c>
      <c r="E16" s="20">
        <v>45403</v>
      </c>
      <c r="F16" s="21">
        <v>19691.2</v>
      </c>
      <c r="G16" s="21">
        <v>14049.6</v>
      </c>
      <c r="H16" s="21">
        <v>4806.3999999999996</v>
      </c>
      <c r="I16" s="18">
        <v>2096.944</v>
      </c>
      <c r="J16" s="18">
        <v>5969.6639999999998</v>
      </c>
      <c r="K16" s="18" t="s">
        <v>30</v>
      </c>
      <c r="L16" s="18" t="s">
        <v>31</v>
      </c>
      <c r="M16" s="18" t="s">
        <v>24</v>
      </c>
      <c r="N16" s="22">
        <f t="shared" si="0"/>
        <v>0.71349638417160999</v>
      </c>
      <c r="O16" s="22">
        <f t="shared" si="1"/>
        <v>0.34210226625669099</v>
      </c>
      <c r="P16" s="23">
        <f t="shared" si="2"/>
        <v>0.149252932467828</v>
      </c>
      <c r="Q16" s="23">
        <f t="shared" si="3"/>
        <v>0.43628162450066599</v>
      </c>
      <c r="R16" s="22">
        <f t="shared" si="4"/>
        <v>1.84683997283666</v>
      </c>
      <c r="S16" s="22">
        <f t="shared" si="5"/>
        <v>2.8468399728366598</v>
      </c>
    </row>
    <row r="17" spans="1:19">
      <c r="A17" s="18" t="s">
        <v>55</v>
      </c>
      <c r="B17" s="18" t="s">
        <v>28</v>
      </c>
      <c r="C17" s="18" t="s">
        <v>21</v>
      </c>
      <c r="D17" s="19">
        <v>44907</v>
      </c>
      <c r="E17" s="20">
        <v>45526</v>
      </c>
      <c r="F17" s="21">
        <v>7153.6</v>
      </c>
      <c r="G17" s="21">
        <v>4360</v>
      </c>
      <c r="H17" s="21">
        <v>20.8</v>
      </c>
      <c r="I17" s="18">
        <v>5106.6559999999999</v>
      </c>
      <c r="J17" s="18">
        <v>8717.1039999999994</v>
      </c>
      <c r="K17" s="18" t="s">
        <v>22</v>
      </c>
      <c r="L17" s="18" t="s">
        <v>31</v>
      </c>
      <c r="M17" s="18" t="s">
        <v>24</v>
      </c>
      <c r="N17" s="22">
        <f t="shared" si="0"/>
        <v>0.60948333706105995</v>
      </c>
      <c r="O17" s="22">
        <f t="shared" si="1"/>
        <v>4.7706422018348599E-3</v>
      </c>
      <c r="P17" s="23">
        <f t="shared" si="2"/>
        <v>1.17125137614679</v>
      </c>
      <c r="Q17" s="23">
        <f t="shared" si="3"/>
        <v>245.51230769230801</v>
      </c>
      <c r="R17" s="22">
        <f t="shared" si="4"/>
        <v>0.70700826529141603</v>
      </c>
      <c r="S17" s="22">
        <f t="shared" si="5"/>
        <v>1.70700826529142</v>
      </c>
    </row>
    <row r="18" spans="1:19">
      <c r="A18" s="18" t="s">
        <v>56</v>
      </c>
      <c r="B18" s="18" t="s">
        <v>47</v>
      </c>
      <c r="C18" s="18" t="s">
        <v>48</v>
      </c>
      <c r="D18" s="19">
        <v>44730</v>
      </c>
      <c r="E18" s="20">
        <v>45360</v>
      </c>
      <c r="F18" s="21">
        <v>79350.399999999994</v>
      </c>
      <c r="G18" s="21">
        <v>40524.800000000003</v>
      </c>
      <c r="H18" s="21">
        <v>36595.199999999997</v>
      </c>
      <c r="I18" s="18">
        <v>3631.5360000000001</v>
      </c>
      <c r="J18" s="18">
        <v>11076.592000000001</v>
      </c>
      <c r="K18" s="18" t="s">
        <v>38</v>
      </c>
      <c r="L18" s="18" t="s">
        <v>50</v>
      </c>
      <c r="M18" s="18" t="s">
        <v>32</v>
      </c>
      <c r="N18" s="22">
        <f t="shared" si="0"/>
        <v>0.51070694035568798</v>
      </c>
      <c r="O18" s="22">
        <f t="shared" si="1"/>
        <v>0.90303221730890704</v>
      </c>
      <c r="P18" s="23">
        <f t="shared" si="2"/>
        <v>8.9612681617182596E-2</v>
      </c>
      <c r="Q18" s="23">
        <f t="shared" si="3"/>
        <v>9.9235309548793296E-2</v>
      </c>
      <c r="R18" s="22">
        <f t="shared" si="4"/>
        <v>2.0501121288622799</v>
      </c>
      <c r="S18" s="22">
        <f t="shared" si="5"/>
        <v>3.0501121288622799</v>
      </c>
    </row>
    <row r="19" spans="1:19">
      <c r="A19" s="18" t="s">
        <v>57</v>
      </c>
      <c r="B19" s="18" t="s">
        <v>47</v>
      </c>
      <c r="C19" s="18" t="s">
        <v>48</v>
      </c>
      <c r="D19" s="19">
        <v>44859</v>
      </c>
      <c r="E19" s="20">
        <v>45486</v>
      </c>
      <c r="F19" s="21">
        <v>48793.599999999999</v>
      </c>
      <c r="G19" s="21">
        <v>30496</v>
      </c>
      <c r="H19" s="21">
        <v>3577.6</v>
      </c>
      <c r="I19" s="18">
        <v>6488.2879999999996</v>
      </c>
      <c r="J19" s="18">
        <v>19607.952000000001</v>
      </c>
      <c r="K19" s="18" t="s">
        <v>30</v>
      </c>
      <c r="L19" s="18" t="s">
        <v>44</v>
      </c>
      <c r="M19" s="18" t="s">
        <v>32</v>
      </c>
      <c r="N19" s="22">
        <f t="shared" si="0"/>
        <v>0.625</v>
      </c>
      <c r="O19" s="22">
        <f t="shared" si="1"/>
        <v>0.117313746065058</v>
      </c>
      <c r="P19" s="23">
        <f t="shared" si="2"/>
        <v>0.212758656873033</v>
      </c>
      <c r="Q19" s="23">
        <f t="shared" si="3"/>
        <v>1.81358676207513</v>
      </c>
      <c r="R19" s="22">
        <f t="shared" si="4"/>
        <v>2.0220532750703999</v>
      </c>
      <c r="S19" s="22">
        <f t="shared" si="5"/>
        <v>3.0220532750703999</v>
      </c>
    </row>
    <row r="20" spans="1:19">
      <c r="A20" s="18" t="s">
        <v>58</v>
      </c>
      <c r="B20" s="18" t="s">
        <v>34</v>
      </c>
      <c r="C20" s="18" t="s">
        <v>41</v>
      </c>
      <c r="D20" s="19">
        <v>44793</v>
      </c>
      <c r="E20" s="20">
        <v>45405</v>
      </c>
      <c r="F20" s="21">
        <v>52612.800000000003</v>
      </c>
      <c r="G20" s="21">
        <v>14624</v>
      </c>
      <c r="H20" s="21">
        <v>2571.1999999999998</v>
      </c>
      <c r="I20" s="18">
        <v>4529.3119999999999</v>
      </c>
      <c r="J20" s="18">
        <v>18104.72</v>
      </c>
      <c r="K20" s="18" t="s">
        <v>22</v>
      </c>
      <c r="L20" s="18" t="s">
        <v>31</v>
      </c>
      <c r="M20" s="18" t="s">
        <v>24</v>
      </c>
      <c r="N20" s="22">
        <f t="shared" si="0"/>
        <v>0.27795517440622802</v>
      </c>
      <c r="O20" s="22">
        <f t="shared" si="1"/>
        <v>0.17582056892778999</v>
      </c>
      <c r="P20" s="23">
        <f t="shared" si="2"/>
        <v>0.30971772428883998</v>
      </c>
      <c r="Q20" s="23">
        <f t="shared" si="3"/>
        <v>1.7615556938394501</v>
      </c>
      <c r="R20" s="22">
        <f t="shared" si="4"/>
        <v>2.9972340169986098</v>
      </c>
      <c r="S20" s="22">
        <f t="shared" si="5"/>
        <v>3.9972340169986098</v>
      </c>
    </row>
    <row r="21" spans="1:19">
      <c r="A21" s="18" t="s">
        <v>59</v>
      </c>
      <c r="B21" s="18" t="s">
        <v>34</v>
      </c>
      <c r="C21" s="18" t="s">
        <v>41</v>
      </c>
      <c r="D21" s="19">
        <v>44892</v>
      </c>
      <c r="E21" s="20">
        <v>45501</v>
      </c>
      <c r="F21" s="21">
        <v>71241.600000000006</v>
      </c>
      <c r="G21" s="21">
        <v>17339.2</v>
      </c>
      <c r="H21" s="21">
        <v>2238.4</v>
      </c>
      <c r="I21" s="18">
        <v>6193.2960000000003</v>
      </c>
      <c r="J21" s="18">
        <v>16694.144</v>
      </c>
      <c r="K21" s="18" t="s">
        <v>30</v>
      </c>
      <c r="L21" s="18" t="s">
        <v>31</v>
      </c>
      <c r="M21" s="18" t="s">
        <v>32</v>
      </c>
      <c r="N21" s="22">
        <f t="shared" si="0"/>
        <v>0.24338588689754301</v>
      </c>
      <c r="O21" s="22">
        <f t="shared" si="1"/>
        <v>0.12909476792470201</v>
      </c>
      <c r="P21" s="23">
        <f t="shared" si="2"/>
        <v>0.35718464519700999</v>
      </c>
      <c r="Q21" s="23">
        <f t="shared" si="3"/>
        <v>2.7668406004288801</v>
      </c>
      <c r="R21" s="22">
        <f t="shared" si="4"/>
        <v>1.6955185090459099</v>
      </c>
      <c r="S21" s="22">
        <f t="shared" si="5"/>
        <v>2.6955185090459102</v>
      </c>
    </row>
    <row r="22" spans="1:19">
      <c r="A22" s="18" t="s">
        <v>60</v>
      </c>
      <c r="B22" s="18" t="s">
        <v>26</v>
      </c>
      <c r="C22" s="18" t="s">
        <v>41</v>
      </c>
      <c r="D22" s="19">
        <v>44893</v>
      </c>
      <c r="E22" s="20">
        <v>45522</v>
      </c>
      <c r="F22" s="21">
        <v>62779.199999999997</v>
      </c>
      <c r="G22" s="21">
        <v>10782.4</v>
      </c>
      <c r="H22" s="21">
        <v>3782.4</v>
      </c>
      <c r="I22" s="18">
        <v>575.87199999999996</v>
      </c>
      <c r="J22" s="18">
        <v>1391.92</v>
      </c>
      <c r="K22" s="18" t="s">
        <v>43</v>
      </c>
      <c r="L22" s="18" t="s">
        <v>44</v>
      </c>
      <c r="M22" s="18" t="s">
        <v>24</v>
      </c>
      <c r="N22" s="22">
        <f t="shared" si="0"/>
        <v>0.17175115324821</v>
      </c>
      <c r="O22" s="22">
        <f t="shared" si="1"/>
        <v>0.35079388633328401</v>
      </c>
      <c r="P22" s="23">
        <f t="shared" si="2"/>
        <v>5.34085175842113E-2</v>
      </c>
      <c r="Q22" s="23">
        <f t="shared" si="3"/>
        <v>0.15225042301184399</v>
      </c>
      <c r="R22" s="22">
        <f t="shared" si="4"/>
        <v>1.4170649033118501</v>
      </c>
      <c r="S22" s="22">
        <f t="shared" si="5"/>
        <v>2.4170649033118501</v>
      </c>
    </row>
    <row r="23" spans="1:19">
      <c r="A23" s="18" t="s">
        <v>61</v>
      </c>
      <c r="B23" s="18" t="s">
        <v>28</v>
      </c>
      <c r="C23" s="18" t="s">
        <v>48</v>
      </c>
      <c r="D23" s="19">
        <v>44914</v>
      </c>
      <c r="E23" s="20">
        <v>45526</v>
      </c>
      <c r="F23" s="21">
        <v>56281.599999999999</v>
      </c>
      <c r="G23" s="21">
        <v>21192</v>
      </c>
      <c r="H23" s="21">
        <v>18920</v>
      </c>
      <c r="I23" s="18">
        <v>6141.2960000000003</v>
      </c>
      <c r="J23" s="18">
        <v>23638.799999999999</v>
      </c>
      <c r="K23" s="18" t="s">
        <v>22</v>
      </c>
      <c r="L23" s="18" t="s">
        <v>50</v>
      </c>
      <c r="M23" s="18" t="s">
        <v>32</v>
      </c>
      <c r="N23" s="22">
        <f t="shared" si="0"/>
        <v>0.37653513759381402</v>
      </c>
      <c r="O23" s="22">
        <f t="shared" si="1"/>
        <v>0.89278973197432998</v>
      </c>
      <c r="P23" s="23">
        <f t="shared" si="2"/>
        <v>0.28979312948282399</v>
      </c>
      <c r="Q23" s="23">
        <f t="shared" si="3"/>
        <v>0.32459281183932298</v>
      </c>
      <c r="R23" s="22">
        <f t="shared" si="4"/>
        <v>2.84915496663896</v>
      </c>
      <c r="S23" s="22">
        <f t="shared" si="5"/>
        <v>3.84915496663896</v>
      </c>
    </row>
    <row r="24" spans="1:19">
      <c r="A24" s="18" t="s">
        <v>62</v>
      </c>
      <c r="B24" s="18" t="s">
        <v>34</v>
      </c>
      <c r="C24" s="18" t="s">
        <v>29</v>
      </c>
      <c r="D24" s="19">
        <v>44861</v>
      </c>
      <c r="E24" s="20">
        <v>45468</v>
      </c>
      <c r="F24" s="21">
        <v>45427.199999999997</v>
      </c>
      <c r="G24" s="21">
        <v>20198.400000000001</v>
      </c>
      <c r="H24" s="21">
        <v>764.8</v>
      </c>
      <c r="I24" s="18">
        <v>274.03199999999998</v>
      </c>
      <c r="J24" s="18">
        <v>932.06399999999996</v>
      </c>
      <c r="K24" s="18" t="s">
        <v>43</v>
      </c>
      <c r="L24" s="18" t="s">
        <v>50</v>
      </c>
      <c r="M24" s="18" t="s">
        <v>24</v>
      </c>
      <c r="N24" s="22">
        <f t="shared" si="0"/>
        <v>0.44463229078613697</v>
      </c>
      <c r="O24" s="22">
        <f t="shared" si="1"/>
        <v>3.7864385297845402E-2</v>
      </c>
      <c r="P24" s="23">
        <f t="shared" si="2"/>
        <v>1.35670152091255E-2</v>
      </c>
      <c r="Q24" s="23">
        <f t="shared" si="3"/>
        <v>0.35830543933054398</v>
      </c>
      <c r="R24" s="22">
        <f t="shared" si="4"/>
        <v>2.4012961989840602</v>
      </c>
      <c r="S24" s="22">
        <f t="shared" si="5"/>
        <v>3.4012961989840602</v>
      </c>
    </row>
    <row r="25" spans="1:19">
      <c r="A25" s="18" t="s">
        <v>63</v>
      </c>
      <c r="B25" s="18" t="s">
        <v>28</v>
      </c>
      <c r="C25" s="18" t="s">
        <v>29</v>
      </c>
      <c r="D25" s="19">
        <v>44946</v>
      </c>
      <c r="E25" s="20">
        <v>45555</v>
      </c>
      <c r="F25" s="21">
        <v>22196.799999999999</v>
      </c>
      <c r="G25" s="21">
        <v>20416</v>
      </c>
      <c r="H25" s="21">
        <v>15408</v>
      </c>
      <c r="I25" s="18">
        <v>3144.0639999999999</v>
      </c>
      <c r="J25" s="18">
        <v>11309.744000000001</v>
      </c>
      <c r="K25" s="18" t="s">
        <v>22</v>
      </c>
      <c r="L25" s="18" t="s">
        <v>50</v>
      </c>
      <c r="M25" s="18" t="s">
        <v>24</v>
      </c>
      <c r="N25" s="22">
        <f t="shared" si="0"/>
        <v>0.91977221941901499</v>
      </c>
      <c r="O25" s="22">
        <f t="shared" si="1"/>
        <v>0.75470219435736696</v>
      </c>
      <c r="P25" s="23">
        <f t="shared" si="2"/>
        <v>0.154</v>
      </c>
      <c r="Q25" s="23">
        <f t="shared" si="3"/>
        <v>0.20405399792315701</v>
      </c>
      <c r="R25" s="22">
        <f t="shared" si="4"/>
        <v>2.5971735944306502</v>
      </c>
      <c r="S25" s="22">
        <f t="shared" si="5"/>
        <v>3.5971735944306502</v>
      </c>
    </row>
    <row r="26" spans="1:19">
      <c r="A26" s="18" t="s">
        <v>64</v>
      </c>
      <c r="B26" s="18" t="s">
        <v>26</v>
      </c>
      <c r="C26" s="18" t="s">
        <v>21</v>
      </c>
      <c r="D26" s="19">
        <v>44976</v>
      </c>
      <c r="E26" s="20">
        <v>45603</v>
      </c>
      <c r="F26" s="21">
        <v>54289.599999999999</v>
      </c>
      <c r="G26" s="21">
        <v>33793.599999999999</v>
      </c>
      <c r="H26" s="21">
        <v>19043.2</v>
      </c>
      <c r="I26" s="18">
        <v>3723.9360000000001</v>
      </c>
      <c r="J26" s="18">
        <v>14057.808000000001</v>
      </c>
      <c r="K26" s="18" t="s">
        <v>65</v>
      </c>
      <c r="L26" s="18" t="s">
        <v>35</v>
      </c>
      <c r="M26" s="18" t="s">
        <v>24</v>
      </c>
      <c r="N26" s="22">
        <f t="shared" si="0"/>
        <v>0.62246912852553704</v>
      </c>
      <c r="O26" s="22">
        <f t="shared" si="1"/>
        <v>0.56351498508593301</v>
      </c>
      <c r="P26" s="23">
        <f t="shared" si="2"/>
        <v>0.110196486908764</v>
      </c>
      <c r="Q26" s="23">
        <f t="shared" si="3"/>
        <v>0.195552008065871</v>
      </c>
      <c r="R26" s="22">
        <f t="shared" si="4"/>
        <v>2.7749864659328201</v>
      </c>
      <c r="S26" s="22">
        <f t="shared" si="5"/>
        <v>3.7749864659328201</v>
      </c>
    </row>
    <row r="27" spans="1:19">
      <c r="A27" s="18" t="s">
        <v>66</v>
      </c>
      <c r="B27" s="18" t="s">
        <v>26</v>
      </c>
      <c r="C27" s="18" t="s">
        <v>29</v>
      </c>
      <c r="D27" s="19">
        <v>44749</v>
      </c>
      <c r="E27" s="20">
        <v>45358</v>
      </c>
      <c r="F27" s="21">
        <v>55606.400000000001</v>
      </c>
      <c r="G27" s="21">
        <v>7427.2</v>
      </c>
      <c r="H27" s="21">
        <v>2193.6</v>
      </c>
      <c r="I27" s="18">
        <v>6996.7359999999999</v>
      </c>
      <c r="J27" s="18">
        <v>14646.368</v>
      </c>
      <c r="K27" s="18" t="s">
        <v>30</v>
      </c>
      <c r="L27" s="18" t="s">
        <v>44</v>
      </c>
      <c r="M27" s="18" t="s">
        <v>32</v>
      </c>
      <c r="N27" s="22">
        <f t="shared" si="0"/>
        <v>0.13356735915290299</v>
      </c>
      <c r="O27" s="22">
        <f t="shared" si="1"/>
        <v>0.295346833261525</v>
      </c>
      <c r="P27" s="23">
        <f t="shared" si="2"/>
        <v>0.94204222317966402</v>
      </c>
      <c r="Q27" s="23">
        <f t="shared" si="3"/>
        <v>3.1896134208606899</v>
      </c>
      <c r="R27" s="22">
        <f t="shared" si="4"/>
        <v>1.0933143682997299</v>
      </c>
      <c r="S27" s="22">
        <f t="shared" si="5"/>
        <v>2.0933143682997302</v>
      </c>
    </row>
    <row r="28" spans="1:19">
      <c r="A28" s="18" t="s">
        <v>67</v>
      </c>
      <c r="B28" s="18" t="s">
        <v>26</v>
      </c>
      <c r="C28" s="18" t="s">
        <v>41</v>
      </c>
      <c r="D28" s="19">
        <v>44986</v>
      </c>
      <c r="E28" s="20">
        <v>45593</v>
      </c>
      <c r="F28" s="21">
        <v>73024</v>
      </c>
      <c r="G28" s="21">
        <v>70976</v>
      </c>
      <c r="H28" s="21">
        <v>68337.600000000006</v>
      </c>
      <c r="I28" s="18">
        <v>2101.4560000000001</v>
      </c>
      <c r="J28" s="18">
        <v>3769.68</v>
      </c>
      <c r="K28" s="18" t="s">
        <v>30</v>
      </c>
      <c r="L28" s="18" t="s">
        <v>23</v>
      </c>
      <c r="M28" s="18" t="s">
        <v>32</v>
      </c>
      <c r="N28" s="22">
        <f t="shared" si="0"/>
        <v>0.97195442594215598</v>
      </c>
      <c r="O28" s="22">
        <f t="shared" si="1"/>
        <v>0.96282687105500497</v>
      </c>
      <c r="P28" s="23">
        <f t="shared" si="2"/>
        <v>2.9607980162308398E-2</v>
      </c>
      <c r="Q28" s="23">
        <f t="shared" si="3"/>
        <v>3.0751094565802699E-2</v>
      </c>
      <c r="R28" s="22">
        <f t="shared" si="4"/>
        <v>0.79384198384358295</v>
      </c>
      <c r="S28" s="22">
        <f t="shared" si="5"/>
        <v>1.79384198384358</v>
      </c>
    </row>
    <row r="29" spans="1:19">
      <c r="A29" s="18" t="s">
        <v>68</v>
      </c>
      <c r="B29" s="18" t="s">
        <v>47</v>
      </c>
      <c r="C29" s="18" t="s">
        <v>48</v>
      </c>
      <c r="D29" s="19">
        <v>44920</v>
      </c>
      <c r="E29" s="20">
        <v>45534</v>
      </c>
      <c r="F29" s="21">
        <v>40072</v>
      </c>
      <c r="G29" s="21">
        <v>5265.6</v>
      </c>
      <c r="H29" s="21">
        <v>3145.6</v>
      </c>
      <c r="I29" s="18">
        <v>1856.912</v>
      </c>
      <c r="J29" s="18">
        <v>2793.712</v>
      </c>
      <c r="K29" s="18" t="s">
        <v>43</v>
      </c>
      <c r="L29" s="18" t="s">
        <v>44</v>
      </c>
      <c r="M29" s="18" t="s">
        <v>24</v>
      </c>
      <c r="N29" s="22">
        <f t="shared" si="0"/>
        <v>0.131403473747255</v>
      </c>
      <c r="O29" s="22">
        <f t="shared" si="1"/>
        <v>0.59738681251899095</v>
      </c>
      <c r="P29" s="23">
        <f t="shared" si="2"/>
        <v>0.35264965056213898</v>
      </c>
      <c r="Q29" s="23">
        <f t="shared" si="3"/>
        <v>0.59032044760935898</v>
      </c>
      <c r="R29" s="22">
        <f t="shared" si="4"/>
        <v>0.50449348165125796</v>
      </c>
      <c r="S29" s="22">
        <f t="shared" si="5"/>
        <v>1.5044934816512601</v>
      </c>
    </row>
    <row r="30" spans="1:19">
      <c r="A30" s="18" t="s">
        <v>69</v>
      </c>
      <c r="B30" s="18" t="s">
        <v>28</v>
      </c>
      <c r="C30" s="18" t="s">
        <v>29</v>
      </c>
      <c r="D30" s="19">
        <v>44758</v>
      </c>
      <c r="E30" s="20">
        <v>45372</v>
      </c>
      <c r="F30" s="21">
        <v>79264</v>
      </c>
      <c r="G30" s="21">
        <v>29158.400000000001</v>
      </c>
      <c r="H30" s="21">
        <v>17120</v>
      </c>
      <c r="I30" s="18">
        <v>6980.9440000000004</v>
      </c>
      <c r="J30" s="18">
        <v>17293.088</v>
      </c>
      <c r="K30" s="18" t="s">
        <v>38</v>
      </c>
      <c r="L30" s="18" t="s">
        <v>50</v>
      </c>
      <c r="M30" s="18" t="s">
        <v>32</v>
      </c>
      <c r="N30" s="22">
        <f t="shared" si="0"/>
        <v>0.367864352038757</v>
      </c>
      <c r="O30" s="22">
        <f t="shared" si="1"/>
        <v>0.58713784021071103</v>
      </c>
      <c r="P30" s="23">
        <f t="shared" si="2"/>
        <v>0.23941450834065001</v>
      </c>
      <c r="Q30" s="23">
        <f t="shared" si="3"/>
        <v>0.40776542056074799</v>
      </c>
      <c r="R30" s="22">
        <f t="shared" si="4"/>
        <v>1.47718474750693</v>
      </c>
      <c r="S30" s="22">
        <f t="shared" si="5"/>
        <v>2.47718474750693</v>
      </c>
    </row>
    <row r="31" spans="1:19">
      <c r="A31" s="18" t="s">
        <v>70</v>
      </c>
      <c r="B31" s="18" t="s">
        <v>34</v>
      </c>
      <c r="C31" s="18" t="s">
        <v>41</v>
      </c>
      <c r="D31" s="19">
        <v>44722</v>
      </c>
      <c r="E31" s="20">
        <v>45338</v>
      </c>
      <c r="F31" s="21">
        <v>58644.800000000003</v>
      </c>
      <c r="G31" s="21">
        <v>45990.400000000001</v>
      </c>
      <c r="H31" s="21">
        <v>37137.599999999999</v>
      </c>
      <c r="I31" s="18">
        <v>3485.4079999999999</v>
      </c>
      <c r="J31" s="18">
        <v>10232.656000000001</v>
      </c>
      <c r="K31" s="18" t="s">
        <v>22</v>
      </c>
      <c r="L31" s="18" t="s">
        <v>23</v>
      </c>
      <c r="M31" s="18" t="s">
        <v>24</v>
      </c>
      <c r="N31" s="22">
        <f t="shared" si="0"/>
        <v>0.784219572749843</v>
      </c>
      <c r="O31" s="22">
        <f t="shared" si="1"/>
        <v>0.80750765377122202</v>
      </c>
      <c r="P31" s="23">
        <f t="shared" si="2"/>
        <v>7.5785555246312294E-2</v>
      </c>
      <c r="Q31" s="23">
        <f t="shared" si="3"/>
        <v>9.3851191245530097E-2</v>
      </c>
      <c r="R31" s="22">
        <f t="shared" si="4"/>
        <v>1.9358560030848599</v>
      </c>
      <c r="S31" s="22">
        <f t="shared" si="5"/>
        <v>2.9358560030848602</v>
      </c>
    </row>
    <row r="32" spans="1:19">
      <c r="A32" s="18" t="s">
        <v>71</v>
      </c>
      <c r="B32" s="18" t="s">
        <v>26</v>
      </c>
      <c r="C32" s="18" t="s">
        <v>48</v>
      </c>
      <c r="D32" s="19">
        <v>44964</v>
      </c>
      <c r="E32" s="20">
        <v>45587</v>
      </c>
      <c r="F32" s="21">
        <v>32249.599999999999</v>
      </c>
      <c r="G32" s="21">
        <v>22425.599999999999</v>
      </c>
      <c r="H32" s="21">
        <v>5841.6</v>
      </c>
      <c r="I32" s="18">
        <v>4420.9279999999999</v>
      </c>
      <c r="J32" s="18">
        <v>9654.2880000000005</v>
      </c>
      <c r="K32" s="18" t="s">
        <v>65</v>
      </c>
      <c r="L32" s="18" t="s">
        <v>35</v>
      </c>
      <c r="M32" s="18" t="s">
        <v>24</v>
      </c>
      <c r="N32" s="22">
        <f t="shared" si="0"/>
        <v>0.69537606667989704</v>
      </c>
      <c r="O32" s="22">
        <f t="shared" si="1"/>
        <v>0.26048801369863001</v>
      </c>
      <c r="P32" s="23">
        <f t="shared" si="2"/>
        <v>0.19713755707762601</v>
      </c>
      <c r="Q32" s="23">
        <f t="shared" si="3"/>
        <v>0.75680087647219896</v>
      </c>
      <c r="R32" s="22">
        <f t="shared" si="4"/>
        <v>1.1837695615038299</v>
      </c>
      <c r="S32" s="22">
        <f t="shared" si="5"/>
        <v>2.1837695615038299</v>
      </c>
    </row>
    <row r="33" spans="1:19">
      <c r="A33" s="18" t="s">
        <v>72</v>
      </c>
      <c r="B33" s="18" t="s">
        <v>47</v>
      </c>
      <c r="C33" s="18" t="s">
        <v>29</v>
      </c>
      <c r="D33" s="19">
        <v>44902</v>
      </c>
      <c r="E33" s="20">
        <v>45511</v>
      </c>
      <c r="F33" s="21">
        <v>42822.400000000001</v>
      </c>
      <c r="G33" s="21">
        <v>34635.199999999997</v>
      </c>
      <c r="H33" s="21">
        <v>33246.400000000001</v>
      </c>
      <c r="I33" s="18">
        <v>4084.48</v>
      </c>
      <c r="J33" s="18">
        <v>15225.328</v>
      </c>
      <c r="K33" s="18" t="s">
        <v>30</v>
      </c>
      <c r="L33" s="18" t="s">
        <v>23</v>
      </c>
      <c r="M33" s="18" t="s">
        <v>24</v>
      </c>
      <c r="N33" s="22">
        <f t="shared" si="0"/>
        <v>0.80881034225078496</v>
      </c>
      <c r="O33" s="22">
        <f t="shared" si="1"/>
        <v>0.95990206495126396</v>
      </c>
      <c r="P33" s="23">
        <f t="shared" si="2"/>
        <v>0.117928581327667</v>
      </c>
      <c r="Q33" s="23">
        <f t="shared" si="3"/>
        <v>0.122854805332307</v>
      </c>
      <c r="R33" s="22">
        <f t="shared" si="4"/>
        <v>2.7276049827640199</v>
      </c>
      <c r="S33" s="22">
        <f t="shared" si="5"/>
        <v>3.7276049827640199</v>
      </c>
    </row>
    <row r="34" spans="1:19">
      <c r="A34" s="18" t="s">
        <v>73</v>
      </c>
      <c r="B34" s="18" t="s">
        <v>26</v>
      </c>
      <c r="C34" s="18" t="s">
        <v>21</v>
      </c>
      <c r="D34" s="19">
        <v>44979</v>
      </c>
      <c r="E34" s="20">
        <v>45609</v>
      </c>
      <c r="F34" s="21">
        <v>9080</v>
      </c>
      <c r="G34" s="21">
        <v>4478.3999999999996</v>
      </c>
      <c r="H34" s="21">
        <v>1833.6</v>
      </c>
      <c r="I34" s="18">
        <v>4510.7359999999999</v>
      </c>
      <c r="J34" s="18">
        <v>5924.9120000000003</v>
      </c>
      <c r="K34" s="18" t="s">
        <v>22</v>
      </c>
      <c r="L34" s="18" t="s">
        <v>44</v>
      </c>
      <c r="M34" s="18" t="s">
        <v>32</v>
      </c>
      <c r="N34" s="22">
        <f t="shared" si="0"/>
        <v>0.49321585903083698</v>
      </c>
      <c r="O34" s="22">
        <f t="shared" si="1"/>
        <v>0.40943193997856397</v>
      </c>
      <c r="P34" s="23">
        <f t="shared" si="2"/>
        <v>1.0072204358699499</v>
      </c>
      <c r="Q34" s="23">
        <f t="shared" si="3"/>
        <v>2.46004363001745</v>
      </c>
      <c r="R34" s="22">
        <f t="shared" si="4"/>
        <v>0.31351336012570902</v>
      </c>
      <c r="S34" s="22">
        <f t="shared" si="5"/>
        <v>1.3135133601257101</v>
      </c>
    </row>
    <row r="35" spans="1:19">
      <c r="A35" s="18" t="s">
        <v>74</v>
      </c>
      <c r="B35" s="18" t="s">
        <v>47</v>
      </c>
      <c r="C35" s="18" t="s">
        <v>21</v>
      </c>
      <c r="D35" s="19">
        <v>44696</v>
      </c>
      <c r="E35" s="20">
        <v>45318</v>
      </c>
      <c r="F35" s="21">
        <v>44702.400000000001</v>
      </c>
      <c r="G35" s="21">
        <v>17478.400000000001</v>
      </c>
      <c r="H35" s="21">
        <v>790.4</v>
      </c>
      <c r="I35" s="18">
        <v>2041.5840000000001</v>
      </c>
      <c r="J35" s="18">
        <v>4426.8320000000003</v>
      </c>
      <c r="K35" s="18" t="s">
        <v>30</v>
      </c>
      <c r="L35" s="18" t="s">
        <v>50</v>
      </c>
      <c r="M35" s="18" t="s">
        <v>24</v>
      </c>
      <c r="N35" s="22">
        <f t="shared" si="0"/>
        <v>0.390994666953005</v>
      </c>
      <c r="O35" s="22">
        <f t="shared" si="1"/>
        <v>4.5221530574881E-2</v>
      </c>
      <c r="P35" s="23">
        <f t="shared" si="2"/>
        <v>0.116806114976199</v>
      </c>
      <c r="Q35" s="23">
        <f t="shared" si="3"/>
        <v>2.58297570850202</v>
      </c>
      <c r="R35" s="22">
        <f t="shared" si="4"/>
        <v>1.1683320402197499</v>
      </c>
      <c r="S35" s="22">
        <f t="shared" si="5"/>
        <v>2.1683320402197501</v>
      </c>
    </row>
    <row r="36" spans="1:19">
      <c r="A36" s="18" t="s">
        <v>75</v>
      </c>
      <c r="B36" s="18" t="s">
        <v>40</v>
      </c>
      <c r="C36" s="18" t="s">
        <v>48</v>
      </c>
      <c r="D36" s="19">
        <v>44840</v>
      </c>
      <c r="E36" s="20">
        <v>45467</v>
      </c>
      <c r="F36" s="21">
        <v>3960</v>
      </c>
      <c r="G36" s="21">
        <v>3411.2</v>
      </c>
      <c r="H36" s="21">
        <v>2888</v>
      </c>
      <c r="I36" s="18">
        <v>3153.3119999999999</v>
      </c>
      <c r="J36" s="18">
        <v>11242.832</v>
      </c>
      <c r="K36" s="18" t="s">
        <v>22</v>
      </c>
      <c r="L36" s="18" t="s">
        <v>31</v>
      </c>
      <c r="M36" s="18" t="s">
        <v>32</v>
      </c>
      <c r="N36" s="22">
        <f t="shared" si="0"/>
        <v>0.86141414141414097</v>
      </c>
      <c r="O36" s="22">
        <f t="shared" si="1"/>
        <v>0.84662288930581597</v>
      </c>
      <c r="P36" s="23">
        <f t="shared" si="2"/>
        <v>0.92439962476547799</v>
      </c>
      <c r="Q36" s="23">
        <f t="shared" si="3"/>
        <v>1.09186703601108</v>
      </c>
      <c r="R36" s="22">
        <f t="shared" si="4"/>
        <v>2.5654042479779999</v>
      </c>
      <c r="S36" s="22">
        <f t="shared" si="5"/>
        <v>3.5654042479779999</v>
      </c>
    </row>
    <row r="37" spans="1:19">
      <c r="A37" s="18" t="s">
        <v>76</v>
      </c>
      <c r="B37" s="18" t="s">
        <v>40</v>
      </c>
      <c r="C37" s="18" t="s">
        <v>48</v>
      </c>
      <c r="D37" s="19">
        <v>44797</v>
      </c>
      <c r="E37" s="20">
        <v>45423</v>
      </c>
      <c r="F37" s="21">
        <v>11288</v>
      </c>
      <c r="G37" s="21">
        <v>4686.3999999999996</v>
      </c>
      <c r="H37" s="21">
        <v>1595.2</v>
      </c>
      <c r="I37" s="18">
        <v>1040.3040000000001</v>
      </c>
      <c r="J37" s="18">
        <v>2510.96</v>
      </c>
      <c r="K37" s="18" t="s">
        <v>22</v>
      </c>
      <c r="L37" s="18" t="s">
        <v>50</v>
      </c>
      <c r="M37" s="18" t="s">
        <v>24</v>
      </c>
      <c r="N37" s="22">
        <f t="shared" si="0"/>
        <v>0.41516654854712998</v>
      </c>
      <c r="O37" s="22">
        <f t="shared" si="1"/>
        <v>0.340389211334927</v>
      </c>
      <c r="P37" s="23">
        <f t="shared" si="2"/>
        <v>0.221983612154319</v>
      </c>
      <c r="Q37" s="23">
        <f t="shared" si="3"/>
        <v>0.65214643931795402</v>
      </c>
      <c r="R37" s="22">
        <f t="shared" si="4"/>
        <v>1.41367907842323</v>
      </c>
      <c r="S37" s="22">
        <f t="shared" si="5"/>
        <v>2.4136790784232298</v>
      </c>
    </row>
    <row r="38" spans="1:19">
      <c r="A38" s="18" t="s">
        <v>77</v>
      </c>
      <c r="B38" s="18" t="s">
        <v>34</v>
      </c>
      <c r="C38" s="18" t="s">
        <v>48</v>
      </c>
      <c r="D38" s="19">
        <v>44978</v>
      </c>
      <c r="E38" s="20">
        <v>45591</v>
      </c>
      <c r="F38" s="21">
        <v>44769.599999999999</v>
      </c>
      <c r="G38" s="21">
        <v>7913.6</v>
      </c>
      <c r="H38" s="21">
        <v>7825.6</v>
      </c>
      <c r="I38" s="18">
        <v>2948.7040000000002</v>
      </c>
      <c r="J38" s="18">
        <v>9967.4879999999994</v>
      </c>
      <c r="K38" s="18" t="s">
        <v>43</v>
      </c>
      <c r="L38" s="18" t="s">
        <v>44</v>
      </c>
      <c r="M38" s="18" t="s">
        <v>24</v>
      </c>
      <c r="N38" s="22">
        <f t="shared" si="0"/>
        <v>0.176762803330832</v>
      </c>
      <c r="O38" s="22">
        <f t="shared" si="1"/>
        <v>0.98887990295188</v>
      </c>
      <c r="P38" s="23">
        <f t="shared" si="2"/>
        <v>0.372612211888395</v>
      </c>
      <c r="Q38" s="23">
        <f t="shared" si="3"/>
        <v>0.37680228992026199</v>
      </c>
      <c r="R38" s="22">
        <f t="shared" si="4"/>
        <v>2.3802945293932498</v>
      </c>
      <c r="S38" s="22">
        <f t="shared" si="5"/>
        <v>3.3802945293932498</v>
      </c>
    </row>
    <row r="39" spans="1:19">
      <c r="A39" s="18" t="s">
        <v>78</v>
      </c>
      <c r="B39" s="18" t="s">
        <v>28</v>
      </c>
      <c r="C39" s="18" t="s">
        <v>41</v>
      </c>
      <c r="D39" s="19">
        <v>44704</v>
      </c>
      <c r="E39" s="20">
        <v>45322</v>
      </c>
      <c r="F39" s="21">
        <v>59278.400000000001</v>
      </c>
      <c r="G39" s="21">
        <v>45878.400000000001</v>
      </c>
      <c r="H39" s="21">
        <v>10750.4</v>
      </c>
      <c r="I39" s="18">
        <v>4452.4639999999999</v>
      </c>
      <c r="J39" s="18">
        <v>14085.04</v>
      </c>
      <c r="K39" s="18" t="s">
        <v>65</v>
      </c>
      <c r="L39" s="18" t="s">
        <v>35</v>
      </c>
      <c r="M39" s="18" t="s">
        <v>32</v>
      </c>
      <c r="N39" s="22">
        <f t="shared" si="0"/>
        <v>0.77394801479122199</v>
      </c>
      <c r="O39" s="22">
        <f t="shared" si="1"/>
        <v>0.234323777638279</v>
      </c>
      <c r="P39" s="23">
        <f t="shared" si="2"/>
        <v>9.7049243216851502E-2</v>
      </c>
      <c r="Q39" s="23">
        <f t="shared" si="3"/>
        <v>0.41416728679863102</v>
      </c>
      <c r="R39" s="22">
        <f t="shared" si="4"/>
        <v>2.1634259142802699</v>
      </c>
      <c r="S39" s="22">
        <f t="shared" si="5"/>
        <v>3.1634259142802699</v>
      </c>
    </row>
    <row r="40" spans="1:19">
      <c r="A40" s="18" t="s">
        <v>79</v>
      </c>
      <c r="B40" s="18" t="s">
        <v>20</v>
      </c>
      <c r="C40" s="18" t="s">
        <v>21</v>
      </c>
      <c r="D40" s="19">
        <v>44983</v>
      </c>
      <c r="E40" s="20">
        <v>45586</v>
      </c>
      <c r="F40" s="21">
        <v>6028.8</v>
      </c>
      <c r="G40" s="21">
        <v>3998.4</v>
      </c>
      <c r="H40" s="21">
        <v>2931.2</v>
      </c>
      <c r="I40" s="18">
        <v>5464.1120000000001</v>
      </c>
      <c r="J40" s="18">
        <v>19566.464</v>
      </c>
      <c r="K40" s="18" t="s">
        <v>65</v>
      </c>
      <c r="L40" s="18" t="s">
        <v>23</v>
      </c>
      <c r="M40" s="18" t="s">
        <v>32</v>
      </c>
      <c r="N40" s="22">
        <f t="shared" si="0"/>
        <v>0.66321656050955402</v>
      </c>
      <c r="O40" s="22">
        <f t="shared" si="1"/>
        <v>0.73309323729491804</v>
      </c>
      <c r="P40" s="23">
        <f t="shared" si="2"/>
        <v>1.3665746298519399</v>
      </c>
      <c r="Q40" s="23">
        <f t="shared" si="3"/>
        <v>1.8641211790393</v>
      </c>
      <c r="R40" s="22">
        <f t="shared" si="4"/>
        <v>2.5809046373866402</v>
      </c>
      <c r="S40" s="22">
        <f t="shared" si="5"/>
        <v>3.5809046373866402</v>
      </c>
    </row>
    <row r="41" spans="1:19">
      <c r="A41" s="18" t="s">
        <v>80</v>
      </c>
      <c r="B41" s="18" t="s">
        <v>28</v>
      </c>
      <c r="C41" s="18" t="s">
        <v>21</v>
      </c>
      <c r="D41" s="19">
        <v>44925</v>
      </c>
      <c r="E41" s="20">
        <v>45550</v>
      </c>
      <c r="F41" s="21">
        <v>61148.800000000003</v>
      </c>
      <c r="G41" s="21">
        <v>13182.4</v>
      </c>
      <c r="H41" s="21">
        <v>10878.4</v>
      </c>
      <c r="I41" s="18">
        <v>4695.6959999999999</v>
      </c>
      <c r="J41" s="18">
        <v>15960.544</v>
      </c>
      <c r="K41" s="18" t="s">
        <v>43</v>
      </c>
      <c r="L41" s="18" t="s">
        <v>23</v>
      </c>
      <c r="M41" s="18" t="s">
        <v>24</v>
      </c>
      <c r="N41" s="22">
        <f t="shared" si="0"/>
        <v>0.215579046522581</v>
      </c>
      <c r="O41" s="22">
        <f t="shared" si="1"/>
        <v>0.82522150746449796</v>
      </c>
      <c r="P41" s="23">
        <f t="shared" si="2"/>
        <v>0.35620949144313602</v>
      </c>
      <c r="Q41" s="23">
        <f t="shared" si="3"/>
        <v>0.43165318429180799</v>
      </c>
      <c r="R41" s="22">
        <f t="shared" si="4"/>
        <v>2.39897301699258</v>
      </c>
      <c r="S41" s="22">
        <f t="shared" si="5"/>
        <v>3.39897301699258</v>
      </c>
    </row>
    <row r="42" spans="1:19">
      <c r="A42" s="18" t="s">
        <v>81</v>
      </c>
      <c r="B42" s="18" t="s">
        <v>26</v>
      </c>
      <c r="C42" s="18" t="s">
        <v>48</v>
      </c>
      <c r="D42" s="19">
        <v>44809</v>
      </c>
      <c r="E42" s="20">
        <v>45430</v>
      </c>
      <c r="F42" s="21">
        <v>21875.200000000001</v>
      </c>
      <c r="G42" s="21">
        <v>8385.6</v>
      </c>
      <c r="H42" s="21">
        <v>819.2</v>
      </c>
      <c r="I42" s="18">
        <v>7198.8639999999996</v>
      </c>
      <c r="J42" s="18">
        <v>20943.952000000001</v>
      </c>
      <c r="K42" s="18" t="s">
        <v>65</v>
      </c>
      <c r="L42" s="18" t="s">
        <v>50</v>
      </c>
      <c r="M42" s="18" t="s">
        <v>32</v>
      </c>
      <c r="N42" s="22">
        <f t="shared" si="0"/>
        <v>0.38333820947922798</v>
      </c>
      <c r="O42" s="22">
        <f t="shared" si="1"/>
        <v>9.7691280290020999E-2</v>
      </c>
      <c r="P42" s="23">
        <f t="shared" si="2"/>
        <v>0.85847929784392296</v>
      </c>
      <c r="Q42" s="23">
        <f t="shared" si="3"/>
        <v>8.7876757812499999</v>
      </c>
      <c r="R42" s="22">
        <f t="shared" si="4"/>
        <v>1.9093412516196999</v>
      </c>
      <c r="S42" s="22">
        <f t="shared" si="5"/>
        <v>2.9093412516197001</v>
      </c>
    </row>
    <row r="43" spans="1:19">
      <c r="A43" s="18" t="s">
        <v>82</v>
      </c>
      <c r="B43" s="18" t="s">
        <v>34</v>
      </c>
      <c r="C43" s="18" t="s">
        <v>29</v>
      </c>
      <c r="D43" s="19">
        <v>44707</v>
      </c>
      <c r="E43" s="20">
        <v>45337</v>
      </c>
      <c r="F43" s="21">
        <v>59494.400000000001</v>
      </c>
      <c r="G43" s="21">
        <v>45912</v>
      </c>
      <c r="H43" s="21">
        <v>993.6</v>
      </c>
      <c r="I43" s="18">
        <v>6182.4960000000001</v>
      </c>
      <c r="J43" s="18">
        <v>21350.031999999999</v>
      </c>
      <c r="K43" s="18" t="s">
        <v>22</v>
      </c>
      <c r="L43" s="18" t="s">
        <v>31</v>
      </c>
      <c r="M43" s="18" t="s">
        <v>32</v>
      </c>
      <c r="N43" s="22">
        <f t="shared" si="0"/>
        <v>0.77170288296041301</v>
      </c>
      <c r="O43" s="22">
        <f t="shared" si="1"/>
        <v>2.1641400940930498E-2</v>
      </c>
      <c r="P43" s="23">
        <f t="shared" si="2"/>
        <v>0.134659696811291</v>
      </c>
      <c r="Q43" s="23">
        <f t="shared" si="3"/>
        <v>6.2223188405797103</v>
      </c>
      <c r="R43" s="22">
        <f t="shared" si="4"/>
        <v>2.4533030025413698</v>
      </c>
      <c r="S43" s="22">
        <f t="shared" si="5"/>
        <v>3.4533030025413698</v>
      </c>
    </row>
    <row r="44" spans="1:19">
      <c r="A44" s="18" t="s">
        <v>83</v>
      </c>
      <c r="B44" s="18" t="s">
        <v>40</v>
      </c>
      <c r="C44" s="18" t="s">
        <v>41</v>
      </c>
      <c r="D44" s="19">
        <v>44957</v>
      </c>
      <c r="E44" s="20">
        <v>45563</v>
      </c>
      <c r="F44" s="21">
        <v>31840</v>
      </c>
      <c r="G44" s="21">
        <v>2931.2</v>
      </c>
      <c r="H44" s="21">
        <v>601.6</v>
      </c>
      <c r="I44" s="18">
        <v>6666.9440000000004</v>
      </c>
      <c r="J44" s="18">
        <v>20824.016</v>
      </c>
      <c r="K44" s="18" t="s">
        <v>30</v>
      </c>
      <c r="L44" s="18" t="s">
        <v>23</v>
      </c>
      <c r="M44" s="18" t="s">
        <v>24</v>
      </c>
      <c r="N44" s="22">
        <f t="shared" si="0"/>
        <v>9.2060301507537703E-2</v>
      </c>
      <c r="O44" s="22">
        <f t="shared" si="1"/>
        <v>0.20524017467248901</v>
      </c>
      <c r="P44" s="23">
        <f t="shared" si="2"/>
        <v>2.2744759825327501</v>
      </c>
      <c r="Q44" s="23">
        <f t="shared" si="3"/>
        <v>11.0820212765957</v>
      </c>
      <c r="R44" s="22">
        <f t="shared" si="4"/>
        <v>2.1234724635455202</v>
      </c>
      <c r="S44" s="22">
        <f t="shared" si="5"/>
        <v>3.1234724635455202</v>
      </c>
    </row>
    <row r="45" spans="1:19">
      <c r="A45" s="18" t="s">
        <v>84</v>
      </c>
      <c r="B45" s="18" t="s">
        <v>34</v>
      </c>
      <c r="C45" s="18" t="s">
        <v>48</v>
      </c>
      <c r="D45" s="19">
        <v>44781</v>
      </c>
      <c r="E45" s="20">
        <v>45403</v>
      </c>
      <c r="F45" s="21">
        <v>79616</v>
      </c>
      <c r="G45" s="21">
        <v>44310.400000000001</v>
      </c>
      <c r="H45" s="21">
        <v>39454.400000000001</v>
      </c>
      <c r="I45" s="18">
        <v>6912.8959999999997</v>
      </c>
      <c r="J45" s="18">
        <v>14296.128000000001</v>
      </c>
      <c r="K45" s="18" t="s">
        <v>30</v>
      </c>
      <c r="L45" s="18" t="s">
        <v>35</v>
      </c>
      <c r="M45" s="18" t="s">
        <v>24</v>
      </c>
      <c r="N45" s="22">
        <f t="shared" si="0"/>
        <v>0.55655144694533798</v>
      </c>
      <c r="O45" s="22">
        <f t="shared" si="1"/>
        <v>0.890409474976529</v>
      </c>
      <c r="P45" s="23">
        <f t="shared" si="2"/>
        <v>0.15601068823571901</v>
      </c>
      <c r="Q45" s="23">
        <f t="shared" si="3"/>
        <v>0.175212295713533</v>
      </c>
      <c r="R45" s="22">
        <f t="shared" si="4"/>
        <v>1.0680374766234</v>
      </c>
      <c r="S45" s="22">
        <f t="shared" si="5"/>
        <v>2.0680374766234002</v>
      </c>
    </row>
    <row r="46" spans="1:19">
      <c r="A46" s="18" t="s">
        <v>85</v>
      </c>
      <c r="B46" s="18" t="s">
        <v>28</v>
      </c>
      <c r="C46" s="18" t="s">
        <v>48</v>
      </c>
      <c r="D46" s="19">
        <v>44743</v>
      </c>
      <c r="E46" s="20">
        <v>45367</v>
      </c>
      <c r="F46" s="21">
        <v>55009.599999999999</v>
      </c>
      <c r="G46" s="21">
        <v>29523.200000000001</v>
      </c>
      <c r="H46" s="21">
        <v>13841.6</v>
      </c>
      <c r="I46" s="18">
        <v>624.96</v>
      </c>
      <c r="J46" s="18">
        <v>1763.328</v>
      </c>
      <c r="K46" s="18" t="s">
        <v>22</v>
      </c>
      <c r="L46" s="18" t="s">
        <v>50</v>
      </c>
      <c r="M46" s="18" t="s">
        <v>24</v>
      </c>
      <c r="N46" s="22">
        <f t="shared" si="0"/>
        <v>0.53669177743521101</v>
      </c>
      <c r="O46" s="22">
        <f t="shared" si="1"/>
        <v>0.468838066334273</v>
      </c>
      <c r="P46" s="23">
        <f t="shared" si="2"/>
        <v>2.11684370257967E-2</v>
      </c>
      <c r="Q46" s="23">
        <f t="shared" si="3"/>
        <v>4.5150849612761501E-2</v>
      </c>
      <c r="R46" s="22">
        <f t="shared" si="4"/>
        <v>1.82150537634409</v>
      </c>
      <c r="S46" s="22">
        <f t="shared" si="5"/>
        <v>2.8215053763440898</v>
      </c>
    </row>
    <row r="47" spans="1:19">
      <c r="A47" s="18" t="s">
        <v>86</v>
      </c>
      <c r="B47" s="18" t="s">
        <v>34</v>
      </c>
      <c r="C47" s="18" t="s">
        <v>21</v>
      </c>
      <c r="D47" s="19">
        <v>44935</v>
      </c>
      <c r="E47" s="20">
        <v>45539</v>
      </c>
      <c r="F47" s="21">
        <v>38636.800000000003</v>
      </c>
      <c r="G47" s="21">
        <v>10345.6</v>
      </c>
      <c r="H47" s="21">
        <v>2990.4</v>
      </c>
      <c r="I47" s="18">
        <v>554.16</v>
      </c>
      <c r="J47" s="18">
        <v>888.49599999999998</v>
      </c>
      <c r="K47" s="18" t="s">
        <v>65</v>
      </c>
      <c r="L47" s="18" t="s">
        <v>31</v>
      </c>
      <c r="M47" s="18" t="s">
        <v>24</v>
      </c>
      <c r="N47" s="22">
        <f t="shared" si="0"/>
        <v>0.26776544641378203</v>
      </c>
      <c r="O47" s="22">
        <f t="shared" si="1"/>
        <v>0.28905041756882199</v>
      </c>
      <c r="P47" s="23">
        <f t="shared" si="2"/>
        <v>5.3564800494896397E-2</v>
      </c>
      <c r="Q47" s="23">
        <f t="shared" si="3"/>
        <v>0.185313001605136</v>
      </c>
      <c r="R47" s="22">
        <f t="shared" si="4"/>
        <v>0.60332034069582796</v>
      </c>
      <c r="S47" s="22">
        <f t="shared" si="5"/>
        <v>1.6033203406958301</v>
      </c>
    </row>
    <row r="48" spans="1:19">
      <c r="A48" s="18" t="s">
        <v>87</v>
      </c>
      <c r="B48" s="18" t="s">
        <v>20</v>
      </c>
      <c r="C48" s="18" t="s">
        <v>21</v>
      </c>
      <c r="D48" s="19">
        <v>44850</v>
      </c>
      <c r="E48" s="20">
        <v>45454</v>
      </c>
      <c r="F48" s="21">
        <v>60272</v>
      </c>
      <c r="G48" s="21">
        <v>33368</v>
      </c>
      <c r="H48" s="21">
        <v>10921.6</v>
      </c>
      <c r="I48" s="18">
        <v>4179.0079999999998</v>
      </c>
      <c r="J48" s="18">
        <v>11902.624</v>
      </c>
      <c r="K48" s="18" t="s">
        <v>65</v>
      </c>
      <c r="L48" s="18" t="s">
        <v>50</v>
      </c>
      <c r="M48" s="18" t="s">
        <v>24</v>
      </c>
      <c r="N48" s="22">
        <f t="shared" si="0"/>
        <v>0.55362357313512101</v>
      </c>
      <c r="O48" s="22">
        <f t="shared" si="1"/>
        <v>0.32730760009589999</v>
      </c>
      <c r="P48" s="23">
        <f t="shared" si="2"/>
        <v>0.12523999040997399</v>
      </c>
      <c r="Q48" s="23">
        <f t="shared" si="3"/>
        <v>0.38263697626721399</v>
      </c>
      <c r="R48" s="22">
        <f t="shared" si="4"/>
        <v>1.84819363829885</v>
      </c>
      <c r="S48" s="22">
        <f t="shared" si="5"/>
        <v>2.84819363829885</v>
      </c>
    </row>
    <row r="49" spans="1:19">
      <c r="A49" s="18" t="s">
        <v>88</v>
      </c>
      <c r="B49" s="18" t="s">
        <v>40</v>
      </c>
      <c r="C49" s="18" t="s">
        <v>21</v>
      </c>
      <c r="D49" s="19">
        <v>44826</v>
      </c>
      <c r="E49" s="20">
        <v>45444</v>
      </c>
      <c r="F49" s="21">
        <v>21476.799999999999</v>
      </c>
      <c r="G49" s="21">
        <v>17140.8</v>
      </c>
      <c r="H49" s="21">
        <v>12424</v>
      </c>
      <c r="I49" s="18">
        <v>5163.2640000000001</v>
      </c>
      <c r="J49" s="18">
        <v>7496.1440000000002</v>
      </c>
      <c r="K49" s="18" t="s">
        <v>65</v>
      </c>
      <c r="L49" s="18" t="s">
        <v>44</v>
      </c>
      <c r="M49" s="18" t="s">
        <v>32</v>
      </c>
      <c r="N49" s="22">
        <f t="shared" si="0"/>
        <v>0.79810772554570497</v>
      </c>
      <c r="O49" s="22">
        <f t="shared" si="1"/>
        <v>0.72482031177074602</v>
      </c>
      <c r="P49" s="23">
        <f t="shared" si="2"/>
        <v>0.301226547185662</v>
      </c>
      <c r="Q49" s="23">
        <f t="shared" si="3"/>
        <v>0.41558789439793897</v>
      </c>
      <c r="R49" s="22">
        <f t="shared" si="4"/>
        <v>0.45182272299072801</v>
      </c>
      <c r="S49" s="22">
        <f t="shared" si="5"/>
        <v>1.4518227229907299</v>
      </c>
    </row>
    <row r="50" spans="1:19">
      <c r="A50" s="18" t="s">
        <v>89</v>
      </c>
      <c r="B50" s="18" t="s">
        <v>28</v>
      </c>
      <c r="C50" s="18" t="s">
        <v>41</v>
      </c>
      <c r="D50" s="19">
        <v>44699</v>
      </c>
      <c r="E50" s="20">
        <v>45300</v>
      </c>
      <c r="F50" s="21">
        <v>70920</v>
      </c>
      <c r="G50" s="21">
        <v>9288</v>
      </c>
      <c r="H50" s="21">
        <v>3756.8</v>
      </c>
      <c r="I50" s="18">
        <v>6028.48</v>
      </c>
      <c r="J50" s="18">
        <v>14868.415999999999</v>
      </c>
      <c r="K50" s="18" t="s">
        <v>38</v>
      </c>
      <c r="L50" s="18" t="s">
        <v>44</v>
      </c>
      <c r="M50" s="18" t="s">
        <v>24</v>
      </c>
      <c r="N50" s="22">
        <f t="shared" si="0"/>
        <v>0.130964467005076</v>
      </c>
      <c r="O50" s="22">
        <f t="shared" si="1"/>
        <v>0.40447889750215299</v>
      </c>
      <c r="P50" s="23">
        <f t="shared" si="2"/>
        <v>0.64906115417743304</v>
      </c>
      <c r="Q50" s="23">
        <f t="shared" si="3"/>
        <v>1.60468483816014</v>
      </c>
      <c r="R50" s="22">
        <f t="shared" si="4"/>
        <v>1.46636233345719</v>
      </c>
      <c r="S50" s="22">
        <f t="shared" si="5"/>
        <v>2.46636233345719</v>
      </c>
    </row>
    <row r="51" spans="1:19">
      <c r="A51" s="18" t="s">
        <v>90</v>
      </c>
      <c r="B51" s="18" t="s">
        <v>20</v>
      </c>
      <c r="C51" s="18" t="s">
        <v>29</v>
      </c>
      <c r="D51" s="19">
        <v>44833</v>
      </c>
      <c r="E51" s="20">
        <v>45447</v>
      </c>
      <c r="F51" s="21">
        <v>8694.4</v>
      </c>
      <c r="G51" s="21">
        <v>3724.8</v>
      </c>
      <c r="H51" s="21">
        <v>2020.8</v>
      </c>
      <c r="I51" s="18">
        <v>503.74400000000003</v>
      </c>
      <c r="J51" s="18">
        <v>1726.3040000000001</v>
      </c>
      <c r="K51" s="18" t="s">
        <v>30</v>
      </c>
      <c r="L51" s="18" t="s">
        <v>35</v>
      </c>
      <c r="M51" s="18" t="s">
        <v>24</v>
      </c>
      <c r="N51" s="22">
        <f t="shared" si="0"/>
        <v>0.42841369157158599</v>
      </c>
      <c r="O51" s="22">
        <f t="shared" si="1"/>
        <v>0.54252577319587603</v>
      </c>
      <c r="P51" s="23">
        <f t="shared" si="2"/>
        <v>0.13524054982817901</v>
      </c>
      <c r="Q51" s="23">
        <f t="shared" si="3"/>
        <v>0.24927949326999199</v>
      </c>
      <c r="R51" s="22">
        <f t="shared" si="4"/>
        <v>2.4269470207089299</v>
      </c>
      <c r="S51" s="22">
        <f t="shared" si="5"/>
        <v>3.4269470207089299</v>
      </c>
    </row>
    <row r="52" spans="1:19">
      <c r="A52" s="18" t="s">
        <v>91</v>
      </c>
      <c r="B52" s="18" t="s">
        <v>47</v>
      </c>
      <c r="C52" s="18" t="s">
        <v>48</v>
      </c>
      <c r="D52" s="19">
        <v>44749</v>
      </c>
      <c r="E52" s="20">
        <v>45359</v>
      </c>
      <c r="F52" s="21">
        <v>36246.400000000001</v>
      </c>
      <c r="G52" s="21">
        <v>18328</v>
      </c>
      <c r="H52" s="21">
        <v>1284.8</v>
      </c>
      <c r="I52" s="18">
        <v>3681.424</v>
      </c>
      <c r="J52" s="18">
        <v>9090.5439999999999</v>
      </c>
      <c r="K52" s="18" t="s">
        <v>43</v>
      </c>
      <c r="L52" s="18" t="s">
        <v>50</v>
      </c>
      <c r="M52" s="18" t="s">
        <v>32</v>
      </c>
      <c r="N52" s="22">
        <f t="shared" si="0"/>
        <v>0.50565021629734297</v>
      </c>
      <c r="O52" s="22">
        <f t="shared" si="1"/>
        <v>7.0100392841553893E-2</v>
      </c>
      <c r="P52" s="23">
        <f t="shared" si="2"/>
        <v>0.20086337843736399</v>
      </c>
      <c r="Q52" s="23">
        <f t="shared" si="3"/>
        <v>2.8653673723536701</v>
      </c>
      <c r="R52" s="22">
        <f t="shared" si="4"/>
        <v>1.46930100960933</v>
      </c>
      <c r="S52" s="22">
        <f t="shared" si="5"/>
        <v>2.4693010096093202</v>
      </c>
    </row>
    <row r="53" spans="1:19">
      <c r="A53" s="18" t="s">
        <v>92</v>
      </c>
      <c r="B53" s="18" t="s">
        <v>40</v>
      </c>
      <c r="C53" s="18" t="s">
        <v>29</v>
      </c>
      <c r="D53" s="19">
        <v>44911</v>
      </c>
      <c r="E53" s="20">
        <v>45537</v>
      </c>
      <c r="F53" s="21">
        <v>45992</v>
      </c>
      <c r="G53" s="21">
        <v>40001.599999999999</v>
      </c>
      <c r="H53" s="21">
        <v>26392</v>
      </c>
      <c r="I53" s="18">
        <v>4945.1040000000003</v>
      </c>
      <c r="J53" s="18">
        <v>16891.151999999998</v>
      </c>
      <c r="K53" s="18" t="s">
        <v>38</v>
      </c>
      <c r="L53" s="18" t="s">
        <v>31</v>
      </c>
      <c r="M53" s="18" t="s">
        <v>24</v>
      </c>
      <c r="N53" s="22">
        <f t="shared" si="0"/>
        <v>0.86975126108888501</v>
      </c>
      <c r="O53" s="22">
        <f t="shared" si="1"/>
        <v>0.65977360905563798</v>
      </c>
      <c r="P53" s="23">
        <f t="shared" si="2"/>
        <v>0.123622655093796</v>
      </c>
      <c r="Q53" s="23">
        <f t="shared" si="3"/>
        <v>0.18737132464383099</v>
      </c>
      <c r="R53" s="22">
        <f t="shared" si="4"/>
        <v>2.4157324092678301</v>
      </c>
      <c r="S53" s="22">
        <f t="shared" si="5"/>
        <v>3.4157324092678301</v>
      </c>
    </row>
    <row r="54" spans="1:19">
      <c r="A54" s="18" t="s">
        <v>93</v>
      </c>
      <c r="B54" s="18" t="s">
        <v>28</v>
      </c>
      <c r="C54" s="18" t="s">
        <v>48</v>
      </c>
      <c r="D54" s="19">
        <v>44744</v>
      </c>
      <c r="E54" s="20">
        <v>45365</v>
      </c>
      <c r="F54" s="21">
        <v>11459.2</v>
      </c>
      <c r="G54" s="21">
        <v>8475.2000000000007</v>
      </c>
      <c r="H54" s="21">
        <v>22.4</v>
      </c>
      <c r="I54" s="18">
        <v>7412.1120000000001</v>
      </c>
      <c r="J54" s="18">
        <v>10573.52</v>
      </c>
      <c r="K54" s="18" t="s">
        <v>43</v>
      </c>
      <c r="L54" s="18" t="s">
        <v>35</v>
      </c>
      <c r="M54" s="18" t="s">
        <v>24</v>
      </c>
      <c r="N54" s="22">
        <f t="shared" si="0"/>
        <v>0.73959787768779695</v>
      </c>
      <c r="O54" s="22">
        <f t="shared" si="1"/>
        <v>2.6430054747970501E-3</v>
      </c>
      <c r="P54" s="23">
        <f t="shared" si="2"/>
        <v>0.87456484802718504</v>
      </c>
      <c r="Q54" s="23">
        <f t="shared" si="3"/>
        <v>330.89785714285699</v>
      </c>
      <c r="R54" s="22">
        <f t="shared" si="4"/>
        <v>0.42651918913259801</v>
      </c>
      <c r="S54" s="22">
        <f t="shared" si="5"/>
        <v>1.4265191891325999</v>
      </c>
    </row>
    <row r="55" spans="1:19">
      <c r="A55" s="18" t="s">
        <v>94</v>
      </c>
      <c r="B55" s="18" t="s">
        <v>26</v>
      </c>
      <c r="C55" s="18" t="s">
        <v>48</v>
      </c>
      <c r="D55" s="19">
        <v>44843</v>
      </c>
      <c r="E55" s="20">
        <v>45468</v>
      </c>
      <c r="F55" s="21">
        <v>8267.2000000000007</v>
      </c>
      <c r="G55" s="21">
        <v>5008</v>
      </c>
      <c r="H55" s="21">
        <v>651.20000000000005</v>
      </c>
      <c r="I55" s="18">
        <v>5518.3040000000001</v>
      </c>
      <c r="J55" s="18">
        <v>15205.328</v>
      </c>
      <c r="K55" s="18" t="s">
        <v>22</v>
      </c>
      <c r="L55" s="18" t="s">
        <v>50</v>
      </c>
      <c r="M55" s="18" t="s">
        <v>32</v>
      </c>
      <c r="N55" s="22">
        <f t="shared" si="0"/>
        <v>0.605767369847107</v>
      </c>
      <c r="O55" s="22">
        <f t="shared" si="1"/>
        <v>0.13003194888178901</v>
      </c>
      <c r="P55" s="23">
        <f t="shared" si="2"/>
        <v>1.1018977635782701</v>
      </c>
      <c r="Q55" s="23">
        <f t="shared" si="3"/>
        <v>8.4740540540540508</v>
      </c>
      <c r="R55" s="22">
        <f t="shared" si="4"/>
        <v>1.7554350032183801</v>
      </c>
      <c r="S55" s="22">
        <f t="shared" si="5"/>
        <v>2.7554350032183801</v>
      </c>
    </row>
    <row r="56" spans="1:19">
      <c r="A56" s="18" t="s">
        <v>95</v>
      </c>
      <c r="B56" s="18" t="s">
        <v>28</v>
      </c>
      <c r="C56" s="18" t="s">
        <v>21</v>
      </c>
      <c r="D56" s="19">
        <v>44921</v>
      </c>
      <c r="E56" s="20">
        <v>45540</v>
      </c>
      <c r="F56" s="21">
        <v>20596.8</v>
      </c>
      <c r="G56" s="21">
        <v>7659.2</v>
      </c>
      <c r="H56" s="21">
        <v>2545.6</v>
      </c>
      <c r="I56" s="18">
        <v>251.77600000000001</v>
      </c>
      <c r="J56" s="18">
        <v>708.28800000000001</v>
      </c>
      <c r="K56" s="18" t="s">
        <v>30</v>
      </c>
      <c r="L56" s="18" t="s">
        <v>23</v>
      </c>
      <c r="M56" s="18" t="s">
        <v>24</v>
      </c>
      <c r="N56" s="22">
        <f t="shared" si="0"/>
        <v>0.37186359046065398</v>
      </c>
      <c r="O56" s="22">
        <f t="shared" si="1"/>
        <v>0.33235847085857501</v>
      </c>
      <c r="P56" s="23">
        <f t="shared" si="2"/>
        <v>3.2872362648840601E-2</v>
      </c>
      <c r="Q56" s="23">
        <f t="shared" si="3"/>
        <v>9.8906348208673805E-2</v>
      </c>
      <c r="R56" s="22">
        <f t="shared" si="4"/>
        <v>1.8131672597864801</v>
      </c>
      <c r="S56" s="22">
        <f t="shared" si="5"/>
        <v>2.8131672597864799</v>
      </c>
    </row>
    <row r="57" spans="1:19">
      <c r="A57" s="18" t="s">
        <v>96</v>
      </c>
      <c r="B57" s="18" t="s">
        <v>40</v>
      </c>
      <c r="C57" s="18" t="s">
        <v>41</v>
      </c>
      <c r="D57" s="19">
        <v>44706</v>
      </c>
      <c r="E57" s="20">
        <v>45317</v>
      </c>
      <c r="F57" s="21">
        <v>25542.400000000001</v>
      </c>
      <c r="G57" s="21">
        <v>9393.6</v>
      </c>
      <c r="H57" s="21">
        <v>4537.6000000000004</v>
      </c>
      <c r="I57" s="18">
        <v>5560.8159999999998</v>
      </c>
      <c r="J57" s="18">
        <v>21179.583999999999</v>
      </c>
      <c r="K57" s="18" t="s">
        <v>30</v>
      </c>
      <c r="L57" s="18" t="s">
        <v>23</v>
      </c>
      <c r="M57" s="18" t="s">
        <v>24</v>
      </c>
      <c r="N57" s="22">
        <f t="shared" si="0"/>
        <v>0.36776497118516699</v>
      </c>
      <c r="O57" s="22">
        <f t="shared" si="1"/>
        <v>0.483052290921478</v>
      </c>
      <c r="P57" s="23">
        <f t="shared" si="2"/>
        <v>0.59197921989439595</v>
      </c>
      <c r="Q57" s="23">
        <f t="shared" si="3"/>
        <v>1.22549717912553</v>
      </c>
      <c r="R57" s="22">
        <f t="shared" si="4"/>
        <v>2.80871872041801</v>
      </c>
      <c r="S57" s="22">
        <f t="shared" si="5"/>
        <v>3.80871872041801</v>
      </c>
    </row>
    <row r="58" spans="1:19">
      <c r="A58" s="18" t="s">
        <v>97</v>
      </c>
      <c r="B58" s="18" t="s">
        <v>20</v>
      </c>
      <c r="C58" s="18" t="s">
        <v>48</v>
      </c>
      <c r="D58" s="19">
        <v>44989</v>
      </c>
      <c r="E58" s="20">
        <v>45612</v>
      </c>
      <c r="F58" s="21">
        <v>39273.599999999999</v>
      </c>
      <c r="G58" s="21">
        <v>29331.200000000001</v>
      </c>
      <c r="H58" s="21">
        <v>238.4</v>
      </c>
      <c r="I58" s="18">
        <v>5795.6</v>
      </c>
      <c r="J58" s="18">
        <v>11529.328</v>
      </c>
      <c r="K58" s="18" t="s">
        <v>43</v>
      </c>
      <c r="L58" s="18" t="s">
        <v>50</v>
      </c>
      <c r="M58" s="18" t="s">
        <v>32</v>
      </c>
      <c r="N58" s="22">
        <f t="shared" si="0"/>
        <v>0.74684266275564204</v>
      </c>
      <c r="O58" s="22">
        <f t="shared" si="1"/>
        <v>8.1278638446432502E-3</v>
      </c>
      <c r="P58" s="23">
        <f t="shared" si="2"/>
        <v>0.19759164302858401</v>
      </c>
      <c r="Q58" s="23">
        <f t="shared" si="3"/>
        <v>24.310402684563801</v>
      </c>
      <c r="R58" s="22">
        <f t="shared" si="4"/>
        <v>0.989324314997584</v>
      </c>
      <c r="S58" s="22">
        <f t="shared" si="5"/>
        <v>1.9893243149975799</v>
      </c>
    </row>
    <row r="59" spans="1:19">
      <c r="A59" s="18" t="s">
        <v>98</v>
      </c>
      <c r="B59" s="18" t="s">
        <v>47</v>
      </c>
      <c r="C59" s="18" t="s">
        <v>21</v>
      </c>
      <c r="D59" s="19">
        <v>44851</v>
      </c>
      <c r="E59" s="20">
        <v>45463</v>
      </c>
      <c r="F59" s="21">
        <v>20720</v>
      </c>
      <c r="G59" s="21">
        <v>2643.2</v>
      </c>
      <c r="H59" s="21">
        <v>2129.6</v>
      </c>
      <c r="I59" s="18">
        <v>5311.3119999999999</v>
      </c>
      <c r="J59" s="18">
        <v>20086.831999999999</v>
      </c>
      <c r="K59" s="18" t="s">
        <v>30</v>
      </c>
      <c r="L59" s="18" t="s">
        <v>31</v>
      </c>
      <c r="M59" s="18" t="s">
        <v>24</v>
      </c>
      <c r="N59" s="22">
        <f t="shared" si="0"/>
        <v>0.12756756756756801</v>
      </c>
      <c r="O59" s="22">
        <f t="shared" si="1"/>
        <v>0.80569007263922499</v>
      </c>
      <c r="P59" s="23">
        <f t="shared" si="2"/>
        <v>2.0094249394673098</v>
      </c>
      <c r="Q59" s="23">
        <f t="shared" si="3"/>
        <v>2.49404207362885</v>
      </c>
      <c r="R59" s="22">
        <f t="shared" si="4"/>
        <v>2.7818964504438801</v>
      </c>
      <c r="S59" s="22">
        <f t="shared" si="5"/>
        <v>3.7818964504438801</v>
      </c>
    </row>
    <row r="60" spans="1:19">
      <c r="A60" s="18" t="s">
        <v>99</v>
      </c>
      <c r="B60" s="18" t="s">
        <v>47</v>
      </c>
      <c r="C60" s="18" t="s">
        <v>41</v>
      </c>
      <c r="D60" s="19">
        <v>44830</v>
      </c>
      <c r="E60" s="20">
        <v>45454</v>
      </c>
      <c r="F60" s="21">
        <v>44851.199999999997</v>
      </c>
      <c r="G60" s="21">
        <v>6600</v>
      </c>
      <c r="H60" s="21">
        <v>1470.4</v>
      </c>
      <c r="I60" s="18">
        <v>1078.528</v>
      </c>
      <c r="J60" s="18">
        <v>2127.8879999999999</v>
      </c>
      <c r="K60" s="18" t="s">
        <v>22</v>
      </c>
      <c r="L60" s="18" t="s">
        <v>31</v>
      </c>
      <c r="M60" s="18" t="s">
        <v>24</v>
      </c>
      <c r="N60" s="22">
        <f t="shared" si="0"/>
        <v>0.14715325342465799</v>
      </c>
      <c r="O60" s="22">
        <f t="shared" si="1"/>
        <v>0.22278787878787901</v>
      </c>
      <c r="P60" s="23">
        <f t="shared" si="2"/>
        <v>0.16341333333333299</v>
      </c>
      <c r="Q60" s="23">
        <f t="shared" si="3"/>
        <v>0.73349292709466796</v>
      </c>
      <c r="R60" s="22">
        <f t="shared" si="4"/>
        <v>0.97295573225729903</v>
      </c>
      <c r="S60" s="22">
        <f t="shared" si="5"/>
        <v>1.9729557322572999</v>
      </c>
    </row>
    <row r="61" spans="1:19">
      <c r="A61" s="18" t="s">
        <v>100</v>
      </c>
      <c r="B61" s="18" t="s">
        <v>40</v>
      </c>
      <c r="C61" s="18" t="s">
        <v>41</v>
      </c>
      <c r="D61" s="19">
        <v>44900</v>
      </c>
      <c r="E61" s="20">
        <v>45529</v>
      </c>
      <c r="F61" s="21">
        <v>44569.599999999999</v>
      </c>
      <c r="G61" s="21">
        <v>39780.800000000003</v>
      </c>
      <c r="H61" s="21">
        <v>23590.400000000001</v>
      </c>
      <c r="I61" s="18">
        <v>5372.848</v>
      </c>
      <c r="J61" s="18">
        <v>17645.407999999999</v>
      </c>
      <c r="K61" s="18" t="s">
        <v>65</v>
      </c>
      <c r="L61" s="18" t="s">
        <v>31</v>
      </c>
      <c r="M61" s="18" t="s">
        <v>24</v>
      </c>
      <c r="N61" s="22">
        <f t="shared" si="0"/>
        <v>0.89255456634118302</v>
      </c>
      <c r="O61" s="22">
        <f t="shared" si="1"/>
        <v>0.59300969311828799</v>
      </c>
      <c r="P61" s="23">
        <f t="shared" si="2"/>
        <v>0.13506133612194801</v>
      </c>
      <c r="Q61" s="23">
        <f t="shared" si="3"/>
        <v>0.227755697232773</v>
      </c>
      <c r="R61" s="22">
        <f t="shared" si="4"/>
        <v>2.2841814992718898</v>
      </c>
      <c r="S61" s="22">
        <f t="shared" si="5"/>
        <v>3.2841814992718898</v>
      </c>
    </row>
    <row r="62" spans="1:19">
      <c r="A62" s="18" t="s">
        <v>101</v>
      </c>
      <c r="B62" s="18" t="s">
        <v>47</v>
      </c>
      <c r="C62" s="18" t="s">
        <v>48</v>
      </c>
      <c r="D62" s="19">
        <v>44696</v>
      </c>
      <c r="E62" s="20">
        <v>45323</v>
      </c>
      <c r="F62" s="21">
        <v>23411.200000000001</v>
      </c>
      <c r="G62" s="21">
        <v>17531.2</v>
      </c>
      <c r="H62" s="21">
        <v>14062.4</v>
      </c>
      <c r="I62" s="18">
        <v>3368.4639999999999</v>
      </c>
      <c r="J62" s="18">
        <v>4092.1120000000001</v>
      </c>
      <c r="K62" s="18" t="s">
        <v>65</v>
      </c>
      <c r="L62" s="18" t="s">
        <v>23</v>
      </c>
      <c r="M62" s="18" t="s">
        <v>32</v>
      </c>
      <c r="N62" s="22">
        <f t="shared" si="0"/>
        <v>0.74883816293056304</v>
      </c>
      <c r="O62" s="22">
        <f t="shared" si="1"/>
        <v>0.80213562106416003</v>
      </c>
      <c r="P62" s="23">
        <f t="shared" si="2"/>
        <v>0.192141097015606</v>
      </c>
      <c r="Q62" s="23">
        <f t="shared" si="3"/>
        <v>0.23953692115143899</v>
      </c>
      <c r="R62" s="22">
        <f t="shared" si="4"/>
        <v>0.21483026091417301</v>
      </c>
      <c r="S62" s="22">
        <f t="shared" si="5"/>
        <v>1.2148302609141699</v>
      </c>
    </row>
    <row r="63" spans="1:19">
      <c r="A63" s="18" t="s">
        <v>102</v>
      </c>
      <c r="B63" s="18" t="s">
        <v>28</v>
      </c>
      <c r="C63" s="18" t="s">
        <v>21</v>
      </c>
      <c r="D63" s="19">
        <v>44952</v>
      </c>
      <c r="E63" s="20">
        <v>45579</v>
      </c>
      <c r="F63" s="21">
        <v>79411.199999999997</v>
      </c>
      <c r="G63" s="21">
        <v>8710.4</v>
      </c>
      <c r="H63" s="21">
        <v>3376</v>
      </c>
      <c r="I63" s="18">
        <v>4245.0240000000003</v>
      </c>
      <c r="J63" s="18">
        <v>12052.704</v>
      </c>
      <c r="K63" s="18" t="s">
        <v>30</v>
      </c>
      <c r="L63" s="18" t="s">
        <v>44</v>
      </c>
      <c r="M63" s="18" t="s">
        <v>24</v>
      </c>
      <c r="N63" s="22">
        <f t="shared" si="0"/>
        <v>0.109687298517086</v>
      </c>
      <c r="O63" s="22">
        <f t="shared" si="1"/>
        <v>0.387582659808964</v>
      </c>
      <c r="P63" s="23">
        <f t="shared" si="2"/>
        <v>0.48735121234386503</v>
      </c>
      <c r="Q63" s="23">
        <f t="shared" si="3"/>
        <v>1.2574123222748801</v>
      </c>
      <c r="R63" s="22">
        <f t="shared" si="4"/>
        <v>1.83925461905516</v>
      </c>
      <c r="S63" s="22">
        <f t="shared" si="5"/>
        <v>2.83925461905516</v>
      </c>
    </row>
    <row r="64" spans="1:19">
      <c r="A64" s="18" t="s">
        <v>103</v>
      </c>
      <c r="B64" s="18" t="s">
        <v>47</v>
      </c>
      <c r="C64" s="18" t="s">
        <v>41</v>
      </c>
      <c r="D64" s="19">
        <v>44962</v>
      </c>
      <c r="E64" s="20">
        <v>45589</v>
      </c>
      <c r="F64" s="21">
        <v>13120</v>
      </c>
      <c r="G64" s="21">
        <v>3486.4</v>
      </c>
      <c r="H64" s="21">
        <v>1056</v>
      </c>
      <c r="I64" s="18">
        <v>1823.328</v>
      </c>
      <c r="J64" s="18">
        <v>2396.8159999999998</v>
      </c>
      <c r="K64" s="18" t="s">
        <v>65</v>
      </c>
      <c r="L64" s="18" t="s">
        <v>31</v>
      </c>
      <c r="M64" s="18" t="s">
        <v>32</v>
      </c>
      <c r="N64" s="22">
        <f t="shared" si="0"/>
        <v>0.26573170731707302</v>
      </c>
      <c r="O64" s="22">
        <f t="shared" si="1"/>
        <v>0.302891234511244</v>
      </c>
      <c r="P64" s="23">
        <f t="shared" si="2"/>
        <v>0.522983019733823</v>
      </c>
      <c r="Q64" s="23">
        <f t="shared" si="3"/>
        <v>1.72663636363636</v>
      </c>
      <c r="R64" s="22">
        <f t="shared" si="4"/>
        <v>0.31452815949735902</v>
      </c>
      <c r="S64" s="22">
        <f t="shared" si="5"/>
        <v>1.3145281594973599</v>
      </c>
    </row>
    <row r="65" spans="1:19">
      <c r="A65" s="18" t="s">
        <v>104</v>
      </c>
      <c r="B65" s="18" t="s">
        <v>26</v>
      </c>
      <c r="C65" s="18" t="s">
        <v>29</v>
      </c>
      <c r="D65" s="19">
        <v>44988</v>
      </c>
      <c r="E65" s="20">
        <v>45613</v>
      </c>
      <c r="F65" s="21">
        <v>34080</v>
      </c>
      <c r="G65" s="21">
        <v>30784</v>
      </c>
      <c r="H65" s="21">
        <v>16448</v>
      </c>
      <c r="I65" s="18">
        <v>5055.808</v>
      </c>
      <c r="J65" s="18">
        <v>11400.255999999999</v>
      </c>
      <c r="K65" s="18" t="s">
        <v>22</v>
      </c>
      <c r="L65" s="18" t="s">
        <v>23</v>
      </c>
      <c r="M65" s="18" t="s">
        <v>32</v>
      </c>
      <c r="N65" s="22">
        <f t="shared" si="0"/>
        <v>0.90328638497652602</v>
      </c>
      <c r="O65" s="22">
        <f t="shared" si="1"/>
        <v>0.53430353430353394</v>
      </c>
      <c r="P65" s="23">
        <f t="shared" si="2"/>
        <v>0.164234927234927</v>
      </c>
      <c r="Q65" s="23">
        <f t="shared" si="3"/>
        <v>0.307381322957198</v>
      </c>
      <c r="R65" s="22">
        <f t="shared" si="4"/>
        <v>1.2548830968264599</v>
      </c>
      <c r="S65" s="22">
        <f t="shared" si="5"/>
        <v>2.2548830968264602</v>
      </c>
    </row>
    <row r="66" spans="1:19">
      <c r="A66" s="18" t="s">
        <v>105</v>
      </c>
      <c r="B66" s="18" t="s">
        <v>20</v>
      </c>
      <c r="C66" s="18" t="s">
        <v>29</v>
      </c>
      <c r="D66" s="19">
        <v>44801</v>
      </c>
      <c r="E66" s="20">
        <v>45430</v>
      </c>
      <c r="F66" s="21">
        <v>47889.599999999999</v>
      </c>
      <c r="G66" s="21">
        <v>24296</v>
      </c>
      <c r="H66" s="21">
        <v>21137.599999999999</v>
      </c>
      <c r="I66" s="18">
        <v>5872.4960000000001</v>
      </c>
      <c r="J66" s="18">
        <v>7368.9440000000004</v>
      </c>
      <c r="K66" s="18" t="s">
        <v>65</v>
      </c>
      <c r="L66" s="18" t="s">
        <v>44</v>
      </c>
      <c r="M66" s="18" t="s">
        <v>24</v>
      </c>
      <c r="N66" s="22">
        <f t="shared" ref="N66:N129" si="6">G66/F66</f>
        <v>0.50733353379439405</v>
      </c>
      <c r="O66" s="22">
        <f t="shared" ref="O66:O129" si="7">H66/G66</f>
        <v>0.87000329272308197</v>
      </c>
      <c r="P66" s="23">
        <f t="shared" ref="P66:P129" si="8">I66/G66</f>
        <v>0.24170628910108699</v>
      </c>
      <c r="Q66" s="23">
        <f t="shared" ref="Q66:Q129" si="9">I66/H66</f>
        <v>0.27782226932102</v>
      </c>
      <c r="R66" s="22">
        <f t="shared" ref="R66:R129" si="10">(J66-I66)/I66</f>
        <v>0.25482316207622802</v>
      </c>
      <c r="S66" s="22">
        <f t="shared" ref="S66:S129" si="11">J66/I66</f>
        <v>1.25482316207623</v>
      </c>
    </row>
    <row r="67" spans="1:19">
      <c r="A67" s="18" t="s">
        <v>106</v>
      </c>
      <c r="B67" s="18" t="s">
        <v>40</v>
      </c>
      <c r="C67" s="18" t="s">
        <v>29</v>
      </c>
      <c r="D67" s="19">
        <v>44934</v>
      </c>
      <c r="E67" s="20">
        <v>45538</v>
      </c>
      <c r="F67" s="21">
        <v>75641.600000000006</v>
      </c>
      <c r="G67" s="21">
        <v>22774.400000000001</v>
      </c>
      <c r="H67" s="21">
        <v>377.6</v>
      </c>
      <c r="I67" s="18">
        <v>7021.36</v>
      </c>
      <c r="J67" s="18">
        <v>13144.208000000001</v>
      </c>
      <c r="K67" s="18" t="s">
        <v>30</v>
      </c>
      <c r="L67" s="18" t="s">
        <v>50</v>
      </c>
      <c r="M67" s="18" t="s">
        <v>32</v>
      </c>
      <c r="N67" s="22">
        <f t="shared" si="6"/>
        <v>0.301083001946019</v>
      </c>
      <c r="O67" s="22">
        <f t="shared" si="7"/>
        <v>1.6580019671209801E-2</v>
      </c>
      <c r="P67" s="23">
        <f t="shared" si="8"/>
        <v>0.30830054798370099</v>
      </c>
      <c r="Q67" s="23">
        <f t="shared" si="9"/>
        <v>18.594703389830499</v>
      </c>
      <c r="R67" s="22">
        <f t="shared" si="10"/>
        <v>0.87203162920004096</v>
      </c>
      <c r="S67" s="22">
        <f t="shared" si="11"/>
        <v>1.8720316292000401</v>
      </c>
    </row>
    <row r="68" spans="1:19">
      <c r="A68" s="18" t="s">
        <v>107</v>
      </c>
      <c r="B68" s="18" t="s">
        <v>40</v>
      </c>
      <c r="C68" s="18" t="s">
        <v>41</v>
      </c>
      <c r="D68" s="19">
        <v>44733</v>
      </c>
      <c r="E68" s="20">
        <v>45340</v>
      </c>
      <c r="F68" s="21">
        <v>18787.2</v>
      </c>
      <c r="G68" s="21">
        <v>13897.6</v>
      </c>
      <c r="H68" s="21">
        <v>2268.8000000000002</v>
      </c>
      <c r="I68" s="18">
        <v>7290.1279999999997</v>
      </c>
      <c r="J68" s="18">
        <v>22887.968000000001</v>
      </c>
      <c r="K68" s="18" t="s">
        <v>30</v>
      </c>
      <c r="L68" s="18" t="s">
        <v>31</v>
      </c>
      <c r="M68" s="18" t="s">
        <v>24</v>
      </c>
      <c r="N68" s="22">
        <f t="shared" si="6"/>
        <v>0.73973769374893505</v>
      </c>
      <c r="O68" s="22">
        <f t="shared" si="7"/>
        <v>0.16325120884181399</v>
      </c>
      <c r="P68" s="23">
        <f t="shared" si="8"/>
        <v>0.52456021183513701</v>
      </c>
      <c r="Q68" s="23">
        <f t="shared" si="9"/>
        <v>3.2132087447108599</v>
      </c>
      <c r="R68" s="22">
        <f t="shared" si="10"/>
        <v>2.1395838317242202</v>
      </c>
      <c r="S68" s="22">
        <f t="shared" si="11"/>
        <v>3.1395838317242202</v>
      </c>
    </row>
    <row r="69" spans="1:19">
      <c r="A69" s="18" t="s">
        <v>108</v>
      </c>
      <c r="B69" s="18" t="s">
        <v>40</v>
      </c>
      <c r="C69" s="18" t="s">
        <v>29</v>
      </c>
      <c r="D69" s="19">
        <v>44780</v>
      </c>
      <c r="E69" s="20">
        <v>45393</v>
      </c>
      <c r="F69" s="21">
        <v>31948.799999999999</v>
      </c>
      <c r="G69" s="21">
        <v>12446.4</v>
      </c>
      <c r="H69" s="21">
        <v>1216</v>
      </c>
      <c r="I69" s="18">
        <v>3223.28</v>
      </c>
      <c r="J69" s="18">
        <v>8304.8639999999996</v>
      </c>
      <c r="K69" s="18" t="s">
        <v>38</v>
      </c>
      <c r="L69" s="18" t="s">
        <v>23</v>
      </c>
      <c r="M69" s="18" t="s">
        <v>24</v>
      </c>
      <c r="N69" s="22">
        <f t="shared" si="6"/>
        <v>0.38957331730769201</v>
      </c>
      <c r="O69" s="22">
        <f t="shared" si="7"/>
        <v>9.7698933024810405E-2</v>
      </c>
      <c r="P69" s="23">
        <f t="shared" si="8"/>
        <v>0.258972875690963</v>
      </c>
      <c r="Q69" s="23">
        <f t="shared" si="9"/>
        <v>2.6507236842105302</v>
      </c>
      <c r="R69" s="22">
        <f t="shared" si="10"/>
        <v>1.5765257749869701</v>
      </c>
      <c r="S69" s="22">
        <f t="shared" si="11"/>
        <v>2.5765257749869699</v>
      </c>
    </row>
    <row r="70" spans="1:19">
      <c r="A70" s="18" t="s">
        <v>109</v>
      </c>
      <c r="B70" s="18" t="s">
        <v>40</v>
      </c>
      <c r="C70" s="18" t="s">
        <v>21</v>
      </c>
      <c r="D70" s="19">
        <v>44844</v>
      </c>
      <c r="E70" s="20">
        <v>45470</v>
      </c>
      <c r="F70" s="21">
        <v>54358.400000000001</v>
      </c>
      <c r="G70" s="21">
        <v>27353.599999999999</v>
      </c>
      <c r="H70" s="21">
        <v>12755.2</v>
      </c>
      <c r="I70" s="18">
        <v>2913.5360000000001</v>
      </c>
      <c r="J70" s="18">
        <v>9402.24</v>
      </c>
      <c r="K70" s="18" t="s">
        <v>65</v>
      </c>
      <c r="L70" s="18" t="s">
        <v>23</v>
      </c>
      <c r="M70" s="18" t="s">
        <v>32</v>
      </c>
      <c r="N70" s="22">
        <f t="shared" si="6"/>
        <v>0.50320833578618895</v>
      </c>
      <c r="O70" s="22">
        <f t="shared" si="7"/>
        <v>0.46630790828263902</v>
      </c>
      <c r="P70" s="23">
        <f t="shared" si="8"/>
        <v>0.10651380439869</v>
      </c>
      <c r="Q70" s="23">
        <f t="shared" si="9"/>
        <v>0.22841946813848499</v>
      </c>
      <c r="R70" s="22">
        <f t="shared" si="10"/>
        <v>2.2270890079957799</v>
      </c>
      <c r="S70" s="22">
        <f t="shared" si="11"/>
        <v>3.2270890079957799</v>
      </c>
    </row>
    <row r="71" spans="1:19">
      <c r="A71" s="18" t="s">
        <v>110</v>
      </c>
      <c r="B71" s="18" t="s">
        <v>34</v>
      </c>
      <c r="C71" s="18" t="s">
        <v>41</v>
      </c>
      <c r="D71" s="19">
        <v>44739</v>
      </c>
      <c r="E71" s="20">
        <v>45364</v>
      </c>
      <c r="F71" s="21">
        <v>16987.2</v>
      </c>
      <c r="G71" s="21">
        <v>9499.2000000000007</v>
      </c>
      <c r="H71" s="21">
        <v>1694.4</v>
      </c>
      <c r="I71" s="18">
        <v>2429.5520000000001</v>
      </c>
      <c r="J71" s="18">
        <v>6394.6880000000001</v>
      </c>
      <c r="K71" s="18" t="s">
        <v>65</v>
      </c>
      <c r="L71" s="18" t="s">
        <v>50</v>
      </c>
      <c r="M71" s="18" t="s">
        <v>24</v>
      </c>
      <c r="N71" s="22">
        <f t="shared" si="6"/>
        <v>0.55919751342187096</v>
      </c>
      <c r="O71" s="22">
        <f t="shared" si="7"/>
        <v>0.178372915613946</v>
      </c>
      <c r="P71" s="23">
        <f t="shared" si="8"/>
        <v>0.25576385379821498</v>
      </c>
      <c r="Q71" s="23">
        <f t="shared" si="9"/>
        <v>1.4338715769593999</v>
      </c>
      <c r="R71" s="22">
        <f t="shared" si="10"/>
        <v>1.63204409701871</v>
      </c>
      <c r="S71" s="22">
        <f t="shared" si="11"/>
        <v>2.63204409701871</v>
      </c>
    </row>
    <row r="72" spans="1:19">
      <c r="A72" s="18" t="s">
        <v>111</v>
      </c>
      <c r="B72" s="18" t="s">
        <v>47</v>
      </c>
      <c r="C72" s="18" t="s">
        <v>48</v>
      </c>
      <c r="D72" s="19">
        <v>44757</v>
      </c>
      <c r="E72" s="20">
        <v>45370</v>
      </c>
      <c r="F72" s="21">
        <v>48096</v>
      </c>
      <c r="G72" s="21">
        <v>44819.199999999997</v>
      </c>
      <c r="H72" s="21">
        <v>21297.599999999999</v>
      </c>
      <c r="I72" s="18">
        <v>7853.3280000000004</v>
      </c>
      <c r="J72" s="18">
        <v>30497.583999999999</v>
      </c>
      <c r="K72" s="18" t="s">
        <v>30</v>
      </c>
      <c r="L72" s="18" t="s">
        <v>44</v>
      </c>
      <c r="M72" s="18" t="s">
        <v>24</v>
      </c>
      <c r="N72" s="22">
        <f t="shared" si="6"/>
        <v>0.931869594145043</v>
      </c>
      <c r="O72" s="22">
        <f t="shared" si="7"/>
        <v>0.47518920462658898</v>
      </c>
      <c r="P72" s="23">
        <f t="shared" si="8"/>
        <v>0.17522240468370701</v>
      </c>
      <c r="Q72" s="23">
        <f t="shared" si="9"/>
        <v>0.36874239350912802</v>
      </c>
      <c r="R72" s="22">
        <f t="shared" si="10"/>
        <v>2.8833961856680399</v>
      </c>
      <c r="S72" s="22">
        <f t="shared" si="11"/>
        <v>3.8833961856680399</v>
      </c>
    </row>
    <row r="73" spans="1:19">
      <c r="A73" s="18" t="s">
        <v>112</v>
      </c>
      <c r="B73" s="18" t="s">
        <v>28</v>
      </c>
      <c r="C73" s="18" t="s">
        <v>29</v>
      </c>
      <c r="D73" s="19">
        <v>44730</v>
      </c>
      <c r="E73" s="20">
        <v>45347</v>
      </c>
      <c r="F73" s="21">
        <v>7985.6</v>
      </c>
      <c r="G73" s="21">
        <v>2928</v>
      </c>
      <c r="H73" s="21">
        <v>1273.5999999999999</v>
      </c>
      <c r="I73" s="18">
        <v>3104.848</v>
      </c>
      <c r="J73" s="18">
        <v>12219.696</v>
      </c>
      <c r="K73" s="18" t="s">
        <v>30</v>
      </c>
      <c r="L73" s="18" t="s">
        <v>50</v>
      </c>
      <c r="M73" s="18" t="s">
        <v>32</v>
      </c>
      <c r="N73" s="22">
        <f t="shared" si="6"/>
        <v>0.36665998797836102</v>
      </c>
      <c r="O73" s="22">
        <f t="shared" si="7"/>
        <v>0.43497267759562802</v>
      </c>
      <c r="P73" s="23">
        <f t="shared" si="8"/>
        <v>1.06039890710383</v>
      </c>
      <c r="Q73" s="23">
        <f t="shared" si="9"/>
        <v>2.4378517587939701</v>
      </c>
      <c r="R73" s="22">
        <f t="shared" si="10"/>
        <v>2.93568251972399</v>
      </c>
      <c r="S73" s="22">
        <f t="shared" si="11"/>
        <v>3.93568251972399</v>
      </c>
    </row>
    <row r="74" spans="1:19">
      <c r="A74" s="18" t="s">
        <v>113</v>
      </c>
      <c r="B74" s="18" t="s">
        <v>26</v>
      </c>
      <c r="C74" s="18" t="s">
        <v>29</v>
      </c>
      <c r="D74" s="19">
        <v>44984</v>
      </c>
      <c r="E74" s="20">
        <v>45600</v>
      </c>
      <c r="F74" s="21">
        <v>56998.400000000001</v>
      </c>
      <c r="G74" s="21">
        <v>9363.2000000000007</v>
      </c>
      <c r="H74" s="21">
        <v>950.4</v>
      </c>
      <c r="I74" s="18">
        <v>3770.6239999999998</v>
      </c>
      <c r="J74" s="18">
        <v>9570.6080000000002</v>
      </c>
      <c r="K74" s="18" t="s">
        <v>65</v>
      </c>
      <c r="L74" s="18" t="s">
        <v>31</v>
      </c>
      <c r="M74" s="18" t="s">
        <v>24</v>
      </c>
      <c r="N74" s="22">
        <f t="shared" si="6"/>
        <v>0.16427127779025399</v>
      </c>
      <c r="O74" s="22">
        <f t="shared" si="7"/>
        <v>0.101503759398496</v>
      </c>
      <c r="P74" s="23">
        <f t="shared" si="8"/>
        <v>0.40270676691729301</v>
      </c>
      <c r="Q74" s="23">
        <f t="shared" si="9"/>
        <v>3.9674074074074102</v>
      </c>
      <c r="R74" s="22">
        <f t="shared" si="10"/>
        <v>1.53820269536289</v>
      </c>
      <c r="S74" s="22">
        <f t="shared" si="11"/>
        <v>2.53820269536289</v>
      </c>
    </row>
    <row r="75" spans="1:19">
      <c r="A75" s="18" t="s">
        <v>114</v>
      </c>
      <c r="B75" s="18" t="s">
        <v>26</v>
      </c>
      <c r="C75" s="18" t="s">
        <v>21</v>
      </c>
      <c r="D75" s="19">
        <v>44790</v>
      </c>
      <c r="E75" s="20">
        <v>45396</v>
      </c>
      <c r="F75" s="21">
        <v>44379.199999999997</v>
      </c>
      <c r="G75" s="21">
        <v>12782.4</v>
      </c>
      <c r="H75" s="21">
        <v>6790.4</v>
      </c>
      <c r="I75" s="18">
        <v>2069.5360000000001</v>
      </c>
      <c r="J75" s="18">
        <v>3148.9760000000001</v>
      </c>
      <c r="K75" s="18" t="s">
        <v>30</v>
      </c>
      <c r="L75" s="18" t="s">
        <v>44</v>
      </c>
      <c r="M75" s="18" t="s">
        <v>24</v>
      </c>
      <c r="N75" s="22">
        <f t="shared" si="6"/>
        <v>0.28802682337671698</v>
      </c>
      <c r="O75" s="22">
        <f t="shared" si="7"/>
        <v>0.53123044185755397</v>
      </c>
      <c r="P75" s="23">
        <f t="shared" si="8"/>
        <v>0.16190511953936701</v>
      </c>
      <c r="Q75" s="23">
        <f t="shared" si="9"/>
        <v>0.304773798303487</v>
      </c>
      <c r="R75" s="22">
        <f t="shared" si="10"/>
        <v>0.52158551482071303</v>
      </c>
      <c r="S75" s="22">
        <f t="shared" si="11"/>
        <v>1.52158551482071</v>
      </c>
    </row>
    <row r="76" spans="1:19">
      <c r="A76" s="18" t="s">
        <v>115</v>
      </c>
      <c r="B76" s="18" t="s">
        <v>40</v>
      </c>
      <c r="C76" s="18" t="s">
        <v>41</v>
      </c>
      <c r="D76" s="19">
        <v>44777</v>
      </c>
      <c r="E76" s="20">
        <v>45402</v>
      </c>
      <c r="F76" s="21">
        <v>78080</v>
      </c>
      <c r="G76" s="21">
        <v>65792</v>
      </c>
      <c r="H76" s="21">
        <v>24940.799999999999</v>
      </c>
      <c r="I76" s="18">
        <v>3560.8319999999999</v>
      </c>
      <c r="J76" s="18">
        <v>12793.072</v>
      </c>
      <c r="K76" s="18" t="s">
        <v>65</v>
      </c>
      <c r="L76" s="18" t="s">
        <v>23</v>
      </c>
      <c r="M76" s="18" t="s">
        <v>24</v>
      </c>
      <c r="N76" s="22">
        <f t="shared" si="6"/>
        <v>0.84262295081967198</v>
      </c>
      <c r="O76" s="22">
        <f t="shared" si="7"/>
        <v>0.37908560311284001</v>
      </c>
      <c r="P76" s="23">
        <f t="shared" si="8"/>
        <v>5.4122568093385198E-2</v>
      </c>
      <c r="Q76" s="23">
        <f t="shared" si="9"/>
        <v>0.142771362586605</v>
      </c>
      <c r="R76" s="22">
        <f t="shared" si="10"/>
        <v>2.5927199036629598</v>
      </c>
      <c r="S76" s="22">
        <f t="shared" si="11"/>
        <v>3.5927199036629598</v>
      </c>
    </row>
    <row r="77" spans="1:19">
      <c r="A77" s="18" t="s">
        <v>116</v>
      </c>
      <c r="B77" s="18" t="s">
        <v>28</v>
      </c>
      <c r="C77" s="18" t="s">
        <v>21</v>
      </c>
      <c r="D77" s="19">
        <v>44990</v>
      </c>
      <c r="E77" s="20">
        <v>45591</v>
      </c>
      <c r="F77" s="21">
        <v>42163.199999999997</v>
      </c>
      <c r="G77" s="21">
        <v>36440</v>
      </c>
      <c r="H77" s="21">
        <v>7358.4</v>
      </c>
      <c r="I77" s="18">
        <v>5052.3519999999999</v>
      </c>
      <c r="J77" s="18">
        <v>14856.544</v>
      </c>
      <c r="K77" s="18" t="s">
        <v>65</v>
      </c>
      <c r="L77" s="18" t="s">
        <v>31</v>
      </c>
      <c r="M77" s="18" t="s">
        <v>24</v>
      </c>
      <c r="N77" s="22">
        <f t="shared" si="6"/>
        <v>0.864260777170613</v>
      </c>
      <c r="O77" s="22">
        <f t="shared" si="7"/>
        <v>0.20193194291986799</v>
      </c>
      <c r="P77" s="23">
        <f t="shared" si="8"/>
        <v>0.13864851811196499</v>
      </c>
      <c r="Q77" s="23">
        <f t="shared" si="9"/>
        <v>0.68661013263753001</v>
      </c>
      <c r="R77" s="22">
        <f t="shared" si="10"/>
        <v>1.94052037546078</v>
      </c>
      <c r="S77" s="22">
        <f t="shared" si="11"/>
        <v>2.94052037546078</v>
      </c>
    </row>
    <row r="78" spans="1:19">
      <c r="A78" s="18" t="s">
        <v>117</v>
      </c>
      <c r="B78" s="18" t="s">
        <v>28</v>
      </c>
      <c r="C78" s="18" t="s">
        <v>21</v>
      </c>
      <c r="D78" s="19">
        <v>44770</v>
      </c>
      <c r="E78" s="20">
        <v>45400</v>
      </c>
      <c r="F78" s="21">
        <v>22734.400000000001</v>
      </c>
      <c r="G78" s="21">
        <v>19936</v>
      </c>
      <c r="H78" s="21">
        <v>3859.2</v>
      </c>
      <c r="I78" s="18">
        <v>4861.8720000000003</v>
      </c>
      <c r="J78" s="18">
        <v>19308.016</v>
      </c>
      <c r="K78" s="18" t="s">
        <v>65</v>
      </c>
      <c r="L78" s="18" t="s">
        <v>50</v>
      </c>
      <c r="M78" s="18" t="s">
        <v>24</v>
      </c>
      <c r="N78" s="22">
        <f t="shared" si="6"/>
        <v>0.87690900133718097</v>
      </c>
      <c r="O78" s="22">
        <f t="shared" si="7"/>
        <v>0.193579454253612</v>
      </c>
      <c r="P78" s="23">
        <f t="shared" si="8"/>
        <v>0.24387399678972699</v>
      </c>
      <c r="Q78" s="23">
        <f t="shared" si="9"/>
        <v>1.2598134328358199</v>
      </c>
      <c r="R78" s="22">
        <f t="shared" si="10"/>
        <v>2.9713131073792098</v>
      </c>
      <c r="S78" s="22">
        <f t="shared" si="11"/>
        <v>3.9713131073792098</v>
      </c>
    </row>
    <row r="79" spans="1:19">
      <c r="A79" s="18" t="s">
        <v>118</v>
      </c>
      <c r="B79" s="18" t="s">
        <v>34</v>
      </c>
      <c r="C79" s="18" t="s">
        <v>48</v>
      </c>
      <c r="D79" s="19">
        <v>44860</v>
      </c>
      <c r="E79" s="20">
        <v>45462</v>
      </c>
      <c r="F79" s="21">
        <v>25409.599999999999</v>
      </c>
      <c r="G79" s="21">
        <v>10139.200000000001</v>
      </c>
      <c r="H79" s="21">
        <v>6958.4</v>
      </c>
      <c r="I79" s="18">
        <v>7234.4160000000002</v>
      </c>
      <c r="J79" s="18">
        <v>17080.544000000002</v>
      </c>
      <c r="K79" s="18" t="s">
        <v>30</v>
      </c>
      <c r="L79" s="18" t="s">
        <v>35</v>
      </c>
      <c r="M79" s="18" t="s">
        <v>24</v>
      </c>
      <c r="N79" s="22">
        <f t="shared" si="6"/>
        <v>0.39903028776525401</v>
      </c>
      <c r="O79" s="22">
        <f t="shared" si="7"/>
        <v>0.68628688653937198</v>
      </c>
      <c r="P79" s="23">
        <f t="shared" si="8"/>
        <v>0.71350954710430803</v>
      </c>
      <c r="Q79" s="23">
        <f t="shared" si="9"/>
        <v>1.0396665900206901</v>
      </c>
      <c r="R79" s="22">
        <f t="shared" si="10"/>
        <v>1.3610121397497701</v>
      </c>
      <c r="S79" s="22">
        <f t="shared" si="11"/>
        <v>2.3610121397497701</v>
      </c>
    </row>
    <row r="80" spans="1:19">
      <c r="A80" s="18" t="s">
        <v>119</v>
      </c>
      <c r="B80" s="18" t="s">
        <v>20</v>
      </c>
      <c r="C80" s="18" t="s">
        <v>41</v>
      </c>
      <c r="D80" s="19">
        <v>44889</v>
      </c>
      <c r="E80" s="20">
        <v>45499</v>
      </c>
      <c r="F80" s="21">
        <v>18918.400000000001</v>
      </c>
      <c r="G80" s="21">
        <v>2984</v>
      </c>
      <c r="H80" s="21">
        <v>1112</v>
      </c>
      <c r="I80" s="18">
        <v>5787.1040000000003</v>
      </c>
      <c r="J80" s="18">
        <v>14901.152</v>
      </c>
      <c r="K80" s="18" t="s">
        <v>43</v>
      </c>
      <c r="L80" s="18" t="s">
        <v>50</v>
      </c>
      <c r="M80" s="18" t="s">
        <v>32</v>
      </c>
      <c r="N80" s="22">
        <f t="shared" si="6"/>
        <v>0.157730040595399</v>
      </c>
      <c r="O80" s="22">
        <f t="shared" si="7"/>
        <v>0.37265415549597902</v>
      </c>
      <c r="P80" s="23">
        <f t="shared" si="8"/>
        <v>1.9393780160857901</v>
      </c>
      <c r="Q80" s="23">
        <f t="shared" si="9"/>
        <v>5.2042302158273399</v>
      </c>
      <c r="R80" s="22">
        <f t="shared" si="10"/>
        <v>1.5748892710412701</v>
      </c>
      <c r="S80" s="22">
        <f t="shared" si="11"/>
        <v>2.5748892710412701</v>
      </c>
    </row>
    <row r="81" spans="1:19">
      <c r="A81" s="18" t="s">
        <v>120</v>
      </c>
      <c r="B81" s="18" t="s">
        <v>20</v>
      </c>
      <c r="C81" s="18" t="s">
        <v>48</v>
      </c>
      <c r="D81" s="19">
        <v>44975</v>
      </c>
      <c r="E81" s="20">
        <v>45592</v>
      </c>
      <c r="F81" s="21">
        <v>43420.800000000003</v>
      </c>
      <c r="G81" s="21">
        <v>36108.800000000003</v>
      </c>
      <c r="H81" s="21">
        <v>8996.7999999999993</v>
      </c>
      <c r="I81" s="18">
        <v>6136.08</v>
      </c>
      <c r="J81" s="18">
        <v>13819.68</v>
      </c>
      <c r="K81" s="18" t="s">
        <v>22</v>
      </c>
      <c r="L81" s="18" t="s">
        <v>31</v>
      </c>
      <c r="M81" s="18" t="s">
        <v>32</v>
      </c>
      <c r="N81" s="22">
        <f t="shared" si="6"/>
        <v>0.83160144446900996</v>
      </c>
      <c r="O81" s="22">
        <f t="shared" si="7"/>
        <v>0.24915809996455199</v>
      </c>
      <c r="P81" s="23">
        <f t="shared" si="8"/>
        <v>0.169933091102446</v>
      </c>
      <c r="Q81" s="23">
        <f t="shared" si="9"/>
        <v>0.68202916592566298</v>
      </c>
      <c r="R81" s="22">
        <f t="shared" si="10"/>
        <v>1.25220010169359</v>
      </c>
      <c r="S81" s="22">
        <f t="shared" si="11"/>
        <v>2.2522001016935902</v>
      </c>
    </row>
    <row r="82" spans="1:19">
      <c r="A82" s="18" t="s">
        <v>121</v>
      </c>
      <c r="B82" s="18" t="s">
        <v>20</v>
      </c>
      <c r="C82" s="18" t="s">
        <v>41</v>
      </c>
      <c r="D82" s="19">
        <v>44872</v>
      </c>
      <c r="E82" s="20">
        <v>45476</v>
      </c>
      <c r="F82" s="21">
        <v>62304</v>
      </c>
      <c r="G82" s="21">
        <v>3755.2</v>
      </c>
      <c r="H82" s="21">
        <v>537.6</v>
      </c>
      <c r="I82" s="18">
        <v>6057.1679999999997</v>
      </c>
      <c r="J82" s="18">
        <v>7809.0079999999998</v>
      </c>
      <c r="K82" s="18" t="s">
        <v>43</v>
      </c>
      <c r="L82" s="18" t="s">
        <v>31</v>
      </c>
      <c r="M82" s="18" t="s">
        <v>24</v>
      </c>
      <c r="N82" s="22">
        <f t="shared" si="6"/>
        <v>6.0272213662044202E-2</v>
      </c>
      <c r="O82" s="22">
        <f t="shared" si="7"/>
        <v>0.14316148274392801</v>
      </c>
      <c r="P82" s="23">
        <f t="shared" si="8"/>
        <v>1.61300809544099</v>
      </c>
      <c r="Q82" s="23">
        <f t="shared" si="9"/>
        <v>11.267053571428599</v>
      </c>
      <c r="R82" s="22">
        <f t="shared" si="10"/>
        <v>0.28921766739836202</v>
      </c>
      <c r="S82" s="22">
        <f t="shared" si="11"/>
        <v>1.28921766739836</v>
      </c>
    </row>
    <row r="83" spans="1:19">
      <c r="A83" s="18" t="s">
        <v>122</v>
      </c>
      <c r="B83" s="18" t="s">
        <v>34</v>
      </c>
      <c r="C83" s="18" t="s">
        <v>29</v>
      </c>
      <c r="D83" s="19">
        <v>44920</v>
      </c>
      <c r="E83" s="20">
        <v>45546</v>
      </c>
      <c r="F83" s="21">
        <v>78168</v>
      </c>
      <c r="G83" s="21">
        <v>38168</v>
      </c>
      <c r="H83" s="21">
        <v>2283.1999999999998</v>
      </c>
      <c r="I83" s="18">
        <v>4801.28</v>
      </c>
      <c r="J83" s="18">
        <v>12214.08</v>
      </c>
      <c r="K83" s="18" t="s">
        <v>30</v>
      </c>
      <c r="L83" s="18" t="s">
        <v>44</v>
      </c>
      <c r="M83" s="18" t="s">
        <v>24</v>
      </c>
      <c r="N83" s="22">
        <f t="shared" si="6"/>
        <v>0.48828164977996102</v>
      </c>
      <c r="O83" s="22">
        <f t="shared" si="7"/>
        <v>5.9819744288409103E-2</v>
      </c>
      <c r="P83" s="23">
        <f t="shared" si="8"/>
        <v>0.12579333473066401</v>
      </c>
      <c r="Q83" s="23">
        <f t="shared" si="9"/>
        <v>2.1028731604765198</v>
      </c>
      <c r="R83" s="22">
        <f t="shared" si="10"/>
        <v>1.54392162090109</v>
      </c>
      <c r="S83" s="22">
        <f t="shared" si="11"/>
        <v>2.5439216209010902</v>
      </c>
    </row>
    <row r="84" spans="1:19">
      <c r="A84" s="18" t="s">
        <v>123</v>
      </c>
      <c r="B84" s="18" t="s">
        <v>20</v>
      </c>
      <c r="C84" s="18" t="s">
        <v>29</v>
      </c>
      <c r="D84" s="19">
        <v>44801</v>
      </c>
      <c r="E84" s="20">
        <v>45417</v>
      </c>
      <c r="F84" s="21">
        <v>52144</v>
      </c>
      <c r="G84" s="21">
        <v>31788.799999999999</v>
      </c>
      <c r="H84" s="21">
        <v>18432</v>
      </c>
      <c r="I84" s="18">
        <v>4831.2640000000001</v>
      </c>
      <c r="J84" s="18">
        <v>19119.856</v>
      </c>
      <c r="K84" s="18" t="s">
        <v>22</v>
      </c>
      <c r="L84" s="18" t="s">
        <v>23</v>
      </c>
      <c r="M84" s="18" t="s">
        <v>32</v>
      </c>
      <c r="N84" s="22">
        <f t="shared" si="6"/>
        <v>0.609634857318196</v>
      </c>
      <c r="O84" s="22">
        <f t="shared" si="7"/>
        <v>0.57982685725790195</v>
      </c>
      <c r="P84" s="23">
        <f t="shared" si="8"/>
        <v>0.151980068451782</v>
      </c>
      <c r="Q84" s="23">
        <f t="shared" si="9"/>
        <v>0.262112847222222</v>
      </c>
      <c r="R84" s="22">
        <f t="shared" si="10"/>
        <v>2.9575266431310698</v>
      </c>
      <c r="S84" s="22">
        <f t="shared" si="11"/>
        <v>3.9575266431310698</v>
      </c>
    </row>
    <row r="85" spans="1:19">
      <c r="A85" s="18" t="s">
        <v>124</v>
      </c>
      <c r="B85" s="18" t="s">
        <v>20</v>
      </c>
      <c r="C85" s="18" t="s">
        <v>21</v>
      </c>
      <c r="D85" s="19">
        <v>44966</v>
      </c>
      <c r="E85" s="20">
        <v>45593</v>
      </c>
      <c r="F85" s="21">
        <v>12747.2</v>
      </c>
      <c r="G85" s="21">
        <v>6064</v>
      </c>
      <c r="H85" s="21">
        <v>2462.4</v>
      </c>
      <c r="I85" s="18">
        <v>1511.568</v>
      </c>
      <c r="J85" s="18">
        <v>3944.1759999999999</v>
      </c>
      <c r="K85" s="18" t="s">
        <v>43</v>
      </c>
      <c r="L85" s="18" t="s">
        <v>31</v>
      </c>
      <c r="M85" s="18" t="s">
        <v>24</v>
      </c>
      <c r="N85" s="22">
        <f t="shared" si="6"/>
        <v>0.47571231329233099</v>
      </c>
      <c r="O85" s="22">
        <f t="shared" si="7"/>
        <v>0.40606860158311298</v>
      </c>
      <c r="P85" s="23">
        <f t="shared" si="8"/>
        <v>0.24926912928759901</v>
      </c>
      <c r="Q85" s="23">
        <f t="shared" si="9"/>
        <v>0.61385964912280699</v>
      </c>
      <c r="R85" s="22">
        <f t="shared" si="10"/>
        <v>1.60932753273422</v>
      </c>
      <c r="S85" s="22">
        <f t="shared" si="11"/>
        <v>2.6093275327342198</v>
      </c>
    </row>
    <row r="86" spans="1:19">
      <c r="A86" s="18" t="s">
        <v>125</v>
      </c>
      <c r="B86" s="18" t="s">
        <v>40</v>
      </c>
      <c r="C86" s="18" t="s">
        <v>29</v>
      </c>
      <c r="D86" s="19">
        <v>44960</v>
      </c>
      <c r="E86" s="20">
        <v>45586</v>
      </c>
      <c r="F86" s="21">
        <v>46932.800000000003</v>
      </c>
      <c r="G86" s="21">
        <v>19675.2</v>
      </c>
      <c r="H86" s="21">
        <v>6928</v>
      </c>
      <c r="I86" s="18">
        <v>2874.864</v>
      </c>
      <c r="J86" s="18">
        <v>4970.7839999999997</v>
      </c>
      <c r="K86" s="18" t="s">
        <v>22</v>
      </c>
      <c r="L86" s="18" t="s">
        <v>35</v>
      </c>
      <c r="M86" s="18" t="s">
        <v>24</v>
      </c>
      <c r="N86" s="22">
        <f t="shared" si="6"/>
        <v>0.41922067296219301</v>
      </c>
      <c r="O86" s="22">
        <f t="shared" si="7"/>
        <v>0.35211840286248702</v>
      </c>
      <c r="P86" s="23">
        <f t="shared" si="8"/>
        <v>0.14611612588436201</v>
      </c>
      <c r="Q86" s="23">
        <f t="shared" si="9"/>
        <v>0.41496304849884502</v>
      </c>
      <c r="R86" s="22">
        <f t="shared" si="10"/>
        <v>0.72905013941529095</v>
      </c>
      <c r="S86" s="22">
        <f t="shared" si="11"/>
        <v>1.72905013941529</v>
      </c>
    </row>
    <row r="87" spans="1:19">
      <c r="A87" s="18" t="s">
        <v>126</v>
      </c>
      <c r="B87" s="18" t="s">
        <v>26</v>
      </c>
      <c r="C87" s="18" t="s">
        <v>41</v>
      </c>
      <c r="D87" s="19">
        <v>44759</v>
      </c>
      <c r="E87" s="20">
        <v>45360</v>
      </c>
      <c r="F87" s="21">
        <v>54475.199999999997</v>
      </c>
      <c r="G87" s="21">
        <v>14777.6</v>
      </c>
      <c r="H87" s="21">
        <v>8174.4</v>
      </c>
      <c r="I87" s="18">
        <v>7531.2160000000003</v>
      </c>
      <c r="J87" s="18">
        <v>19521.407999999999</v>
      </c>
      <c r="K87" s="18" t="s">
        <v>65</v>
      </c>
      <c r="L87" s="18" t="s">
        <v>50</v>
      </c>
      <c r="M87" s="18" t="s">
        <v>32</v>
      </c>
      <c r="N87" s="22">
        <f t="shared" si="6"/>
        <v>0.27127206508649798</v>
      </c>
      <c r="O87" s="22">
        <f t="shared" si="7"/>
        <v>0.55316154179298405</v>
      </c>
      <c r="P87" s="23">
        <f t="shared" si="8"/>
        <v>0.50963728886964099</v>
      </c>
      <c r="Q87" s="23">
        <f t="shared" si="9"/>
        <v>0.92131728322567996</v>
      </c>
      <c r="R87" s="22">
        <f t="shared" si="10"/>
        <v>1.59206587621441</v>
      </c>
      <c r="S87" s="22">
        <f t="shared" si="11"/>
        <v>2.5920658762144102</v>
      </c>
    </row>
    <row r="88" spans="1:19">
      <c r="A88" s="18" t="s">
        <v>127</v>
      </c>
      <c r="B88" s="18" t="s">
        <v>34</v>
      </c>
      <c r="C88" s="18" t="s">
        <v>21</v>
      </c>
      <c r="D88" s="19">
        <v>44930</v>
      </c>
      <c r="E88" s="20">
        <v>45531</v>
      </c>
      <c r="F88" s="21">
        <v>45742.400000000001</v>
      </c>
      <c r="G88" s="21">
        <v>308.8</v>
      </c>
      <c r="H88" s="21">
        <v>118.4</v>
      </c>
      <c r="I88" s="18">
        <v>2108.8960000000002</v>
      </c>
      <c r="J88" s="18">
        <v>7506.8320000000003</v>
      </c>
      <c r="K88" s="18" t="s">
        <v>30</v>
      </c>
      <c r="L88" s="18" t="s">
        <v>31</v>
      </c>
      <c r="M88" s="18" t="s">
        <v>24</v>
      </c>
      <c r="N88" s="22">
        <f t="shared" si="6"/>
        <v>6.7508482283395697E-3</v>
      </c>
      <c r="O88" s="22">
        <f t="shared" si="7"/>
        <v>0.38341968911917101</v>
      </c>
      <c r="P88" s="23">
        <f t="shared" si="8"/>
        <v>6.8293264248704704</v>
      </c>
      <c r="Q88" s="23">
        <f t="shared" si="9"/>
        <v>17.811621621621601</v>
      </c>
      <c r="R88" s="22">
        <f t="shared" si="10"/>
        <v>2.5596027494954701</v>
      </c>
      <c r="S88" s="22">
        <f t="shared" si="11"/>
        <v>3.5596027494954701</v>
      </c>
    </row>
    <row r="89" spans="1:19">
      <c r="A89" s="18" t="s">
        <v>128</v>
      </c>
      <c r="B89" s="18" t="s">
        <v>20</v>
      </c>
      <c r="C89" s="18" t="s">
        <v>41</v>
      </c>
      <c r="D89" s="19">
        <v>44853</v>
      </c>
      <c r="E89" s="20">
        <v>45472</v>
      </c>
      <c r="F89" s="21">
        <v>21352</v>
      </c>
      <c r="G89" s="21">
        <v>3310.4</v>
      </c>
      <c r="H89" s="21">
        <v>1020.8</v>
      </c>
      <c r="I89" s="18">
        <v>904.81600000000003</v>
      </c>
      <c r="J89" s="18">
        <v>1432.48</v>
      </c>
      <c r="K89" s="18" t="s">
        <v>38</v>
      </c>
      <c r="L89" s="18" t="s">
        <v>35</v>
      </c>
      <c r="M89" s="18" t="s">
        <v>24</v>
      </c>
      <c r="N89" s="22">
        <f t="shared" si="6"/>
        <v>0.15503934057699501</v>
      </c>
      <c r="O89" s="22">
        <f t="shared" si="7"/>
        <v>0.30836152730787803</v>
      </c>
      <c r="P89" s="23">
        <f t="shared" si="8"/>
        <v>0.27332527791203498</v>
      </c>
      <c r="Q89" s="23">
        <f t="shared" si="9"/>
        <v>0.88637931034482798</v>
      </c>
      <c r="R89" s="22">
        <f t="shared" si="10"/>
        <v>0.58317271135788895</v>
      </c>
      <c r="S89" s="22">
        <f t="shared" si="11"/>
        <v>1.58317271135789</v>
      </c>
    </row>
    <row r="90" spans="1:19">
      <c r="A90" s="18" t="s">
        <v>129</v>
      </c>
      <c r="B90" s="18" t="s">
        <v>20</v>
      </c>
      <c r="C90" s="18" t="s">
        <v>29</v>
      </c>
      <c r="D90" s="19">
        <v>44985</v>
      </c>
      <c r="E90" s="20">
        <v>45614</v>
      </c>
      <c r="F90" s="21">
        <v>55739.199999999997</v>
      </c>
      <c r="G90" s="21">
        <v>49657.599999999999</v>
      </c>
      <c r="H90" s="21">
        <v>21342.400000000001</v>
      </c>
      <c r="I90" s="18">
        <v>3393.0880000000002</v>
      </c>
      <c r="J90" s="18">
        <v>12190.768</v>
      </c>
      <c r="K90" s="18" t="s">
        <v>30</v>
      </c>
      <c r="L90" s="18" t="s">
        <v>31</v>
      </c>
      <c r="M90" s="18" t="s">
        <v>24</v>
      </c>
      <c r="N90" s="22">
        <f t="shared" si="6"/>
        <v>0.89089186784166297</v>
      </c>
      <c r="O90" s="22">
        <f t="shared" si="7"/>
        <v>0.429791210207501</v>
      </c>
      <c r="P90" s="23">
        <f t="shared" si="8"/>
        <v>6.8329681660007704E-2</v>
      </c>
      <c r="Q90" s="23">
        <f t="shared" si="9"/>
        <v>0.15898343204138199</v>
      </c>
      <c r="R90" s="22">
        <f t="shared" si="10"/>
        <v>2.5928239998491001</v>
      </c>
      <c r="S90" s="22">
        <f t="shared" si="11"/>
        <v>3.5928239998491001</v>
      </c>
    </row>
    <row r="91" spans="1:19">
      <c r="A91" s="18" t="s">
        <v>130</v>
      </c>
      <c r="B91" s="18" t="s">
        <v>26</v>
      </c>
      <c r="C91" s="18" t="s">
        <v>48</v>
      </c>
      <c r="D91" s="19">
        <v>44928</v>
      </c>
      <c r="E91" s="20">
        <v>45555</v>
      </c>
      <c r="F91" s="21">
        <v>31265.599999999999</v>
      </c>
      <c r="G91" s="21">
        <v>10481.6</v>
      </c>
      <c r="H91" s="21">
        <v>6766.4</v>
      </c>
      <c r="I91" s="18">
        <v>6539.5039999999999</v>
      </c>
      <c r="J91" s="18">
        <v>11561.2</v>
      </c>
      <c r="K91" s="18" t="s">
        <v>22</v>
      </c>
      <c r="L91" s="18" t="s">
        <v>31</v>
      </c>
      <c r="M91" s="18" t="s">
        <v>24</v>
      </c>
      <c r="N91" s="22">
        <f t="shared" si="6"/>
        <v>0.33524384627194098</v>
      </c>
      <c r="O91" s="22">
        <f t="shared" si="7"/>
        <v>0.64555029766447902</v>
      </c>
      <c r="P91" s="23">
        <f t="shared" si="8"/>
        <v>0.62390322088230799</v>
      </c>
      <c r="Q91" s="23">
        <f t="shared" si="9"/>
        <v>0.96646724994088395</v>
      </c>
      <c r="R91" s="22">
        <f t="shared" si="10"/>
        <v>0.76790166349007505</v>
      </c>
      <c r="S91" s="22">
        <f t="shared" si="11"/>
        <v>1.7679016634900799</v>
      </c>
    </row>
    <row r="92" spans="1:19">
      <c r="A92" s="18" t="s">
        <v>131</v>
      </c>
      <c r="B92" s="18" t="s">
        <v>40</v>
      </c>
      <c r="C92" s="18" t="s">
        <v>41</v>
      </c>
      <c r="D92" s="19">
        <v>44693</v>
      </c>
      <c r="E92" s="20">
        <v>45309</v>
      </c>
      <c r="F92" s="21">
        <v>77721.600000000006</v>
      </c>
      <c r="G92" s="21">
        <v>29940.799999999999</v>
      </c>
      <c r="H92" s="21">
        <v>2846.4</v>
      </c>
      <c r="I92" s="18">
        <v>7171.0879999999997</v>
      </c>
      <c r="J92" s="18">
        <v>12262.704</v>
      </c>
      <c r="K92" s="18" t="s">
        <v>65</v>
      </c>
      <c r="L92" s="18" t="s">
        <v>23</v>
      </c>
      <c r="M92" s="18" t="s">
        <v>32</v>
      </c>
      <c r="N92" s="22">
        <f t="shared" si="6"/>
        <v>0.38523138998682499</v>
      </c>
      <c r="O92" s="22">
        <f t="shared" si="7"/>
        <v>9.5067600064126595E-2</v>
      </c>
      <c r="P92" s="23">
        <f t="shared" si="8"/>
        <v>0.23950889755784699</v>
      </c>
      <c r="Q92" s="23">
        <f t="shared" si="9"/>
        <v>2.5193535694210198</v>
      </c>
      <c r="R92" s="22">
        <f t="shared" si="10"/>
        <v>0.710020013699455</v>
      </c>
      <c r="S92" s="22">
        <f t="shared" si="11"/>
        <v>1.7100200136994601</v>
      </c>
    </row>
    <row r="93" spans="1:19">
      <c r="A93" s="18" t="s">
        <v>132</v>
      </c>
      <c r="B93" s="18" t="s">
        <v>34</v>
      </c>
      <c r="C93" s="18" t="s">
        <v>21</v>
      </c>
      <c r="D93" s="19">
        <v>44909</v>
      </c>
      <c r="E93" s="20">
        <v>45512</v>
      </c>
      <c r="F93" s="21">
        <v>3780.8</v>
      </c>
      <c r="G93" s="21">
        <v>2443.1999999999998</v>
      </c>
      <c r="H93" s="21">
        <v>822.4</v>
      </c>
      <c r="I93" s="18">
        <v>931.47199999999998</v>
      </c>
      <c r="J93" s="18">
        <v>2357.4720000000002</v>
      </c>
      <c r="K93" s="18" t="s">
        <v>43</v>
      </c>
      <c r="L93" s="18" t="s">
        <v>44</v>
      </c>
      <c r="M93" s="18" t="s">
        <v>32</v>
      </c>
      <c r="N93" s="22">
        <f t="shared" si="6"/>
        <v>0.64621244181125703</v>
      </c>
      <c r="O93" s="22">
        <f t="shared" si="7"/>
        <v>0.33660772757039897</v>
      </c>
      <c r="P93" s="23">
        <f t="shared" si="8"/>
        <v>0.38125081859855903</v>
      </c>
      <c r="Q93" s="23">
        <f t="shared" si="9"/>
        <v>1.1326264591439701</v>
      </c>
      <c r="R93" s="22">
        <f t="shared" si="10"/>
        <v>1.53091021522923</v>
      </c>
      <c r="S93" s="22">
        <f t="shared" si="11"/>
        <v>2.53091021522923</v>
      </c>
    </row>
    <row r="94" spans="1:19">
      <c r="A94" s="18" t="s">
        <v>133</v>
      </c>
      <c r="B94" s="18" t="s">
        <v>47</v>
      </c>
      <c r="C94" s="18" t="s">
        <v>29</v>
      </c>
      <c r="D94" s="19">
        <v>44876</v>
      </c>
      <c r="E94" s="20">
        <v>45487</v>
      </c>
      <c r="F94" s="21">
        <v>17217.599999999999</v>
      </c>
      <c r="G94" s="21">
        <v>15728</v>
      </c>
      <c r="H94" s="21">
        <v>2636.8</v>
      </c>
      <c r="I94" s="18">
        <v>1985.9680000000001</v>
      </c>
      <c r="J94" s="18">
        <v>2679.3760000000002</v>
      </c>
      <c r="K94" s="18" t="s">
        <v>30</v>
      </c>
      <c r="L94" s="18" t="s">
        <v>23</v>
      </c>
      <c r="M94" s="18" t="s">
        <v>24</v>
      </c>
      <c r="N94" s="22">
        <f t="shared" si="6"/>
        <v>0.91348387696310795</v>
      </c>
      <c r="O94" s="22">
        <f t="shared" si="7"/>
        <v>0.1676500508647</v>
      </c>
      <c r="P94" s="23">
        <f t="shared" si="8"/>
        <v>0.126269582909461</v>
      </c>
      <c r="Q94" s="23">
        <f t="shared" si="9"/>
        <v>0.75317354368931999</v>
      </c>
      <c r="R94" s="22">
        <f t="shared" si="10"/>
        <v>0.349153662093246</v>
      </c>
      <c r="S94" s="22">
        <f t="shared" si="11"/>
        <v>1.3491536620932501</v>
      </c>
    </row>
    <row r="95" spans="1:19">
      <c r="A95" s="18" t="s">
        <v>134</v>
      </c>
      <c r="B95" s="18" t="s">
        <v>34</v>
      </c>
      <c r="C95" s="18" t="s">
        <v>21</v>
      </c>
      <c r="D95" s="19">
        <v>44855</v>
      </c>
      <c r="E95" s="20">
        <v>45484</v>
      </c>
      <c r="F95" s="21">
        <v>75099.199999999997</v>
      </c>
      <c r="G95" s="21">
        <v>53721.599999999999</v>
      </c>
      <c r="H95" s="21">
        <v>14304</v>
      </c>
      <c r="I95" s="18">
        <v>7961.0720000000001</v>
      </c>
      <c r="J95" s="18">
        <v>28582.063999999998</v>
      </c>
      <c r="K95" s="18" t="s">
        <v>30</v>
      </c>
      <c r="L95" s="18" t="s">
        <v>31</v>
      </c>
      <c r="M95" s="18" t="s">
        <v>32</v>
      </c>
      <c r="N95" s="22">
        <f t="shared" si="6"/>
        <v>0.715341841191384</v>
      </c>
      <c r="O95" s="22">
        <f t="shared" si="7"/>
        <v>0.26626161543959997</v>
      </c>
      <c r="P95" s="23">
        <f t="shared" si="8"/>
        <v>0.14819126757207499</v>
      </c>
      <c r="Q95" s="23">
        <f t="shared" si="9"/>
        <v>0.55656263982102905</v>
      </c>
      <c r="R95" s="22">
        <f t="shared" si="10"/>
        <v>2.5902280496897898</v>
      </c>
      <c r="S95" s="22">
        <f t="shared" si="11"/>
        <v>3.5902280496897898</v>
      </c>
    </row>
    <row r="96" spans="1:19">
      <c r="A96" s="18" t="s">
        <v>135</v>
      </c>
      <c r="B96" s="18" t="s">
        <v>20</v>
      </c>
      <c r="C96" s="18" t="s">
        <v>41</v>
      </c>
      <c r="D96" s="19">
        <v>44891</v>
      </c>
      <c r="E96" s="20">
        <v>45512</v>
      </c>
      <c r="F96" s="21">
        <v>39576</v>
      </c>
      <c r="G96" s="21">
        <v>7590.4</v>
      </c>
      <c r="H96" s="21">
        <v>6464</v>
      </c>
      <c r="I96" s="18">
        <v>5860.0479999999998</v>
      </c>
      <c r="J96" s="18">
        <v>14745.263999999999</v>
      </c>
      <c r="K96" s="18" t="s">
        <v>30</v>
      </c>
      <c r="L96" s="18" t="s">
        <v>35</v>
      </c>
      <c r="M96" s="18" t="s">
        <v>32</v>
      </c>
      <c r="N96" s="22">
        <f t="shared" si="6"/>
        <v>0.19179300586213899</v>
      </c>
      <c r="O96" s="22">
        <f t="shared" si="7"/>
        <v>0.85160202360876902</v>
      </c>
      <c r="P96" s="23">
        <f t="shared" si="8"/>
        <v>0.77203414839797602</v>
      </c>
      <c r="Q96" s="23">
        <f t="shared" si="9"/>
        <v>0.90656683168316798</v>
      </c>
      <c r="R96" s="22">
        <f t="shared" si="10"/>
        <v>1.5162360444829099</v>
      </c>
      <c r="S96" s="22">
        <f t="shared" si="11"/>
        <v>2.5162360444829099</v>
      </c>
    </row>
    <row r="97" spans="1:19">
      <c r="A97" s="18" t="s">
        <v>136</v>
      </c>
      <c r="B97" s="18" t="s">
        <v>40</v>
      </c>
      <c r="C97" s="18" t="s">
        <v>21</v>
      </c>
      <c r="D97" s="19">
        <v>44927</v>
      </c>
      <c r="E97" s="20">
        <v>45530</v>
      </c>
      <c r="F97" s="21">
        <v>76529.600000000006</v>
      </c>
      <c r="G97" s="21">
        <v>59977.599999999999</v>
      </c>
      <c r="H97" s="21">
        <v>12396.8</v>
      </c>
      <c r="I97" s="18">
        <v>1351.44</v>
      </c>
      <c r="J97" s="18">
        <v>1668.624</v>
      </c>
      <c r="K97" s="18" t="s">
        <v>43</v>
      </c>
      <c r="L97" s="18" t="s">
        <v>23</v>
      </c>
      <c r="M97" s="18" t="s">
        <v>24</v>
      </c>
      <c r="N97" s="22">
        <f t="shared" si="6"/>
        <v>0.78371767263908299</v>
      </c>
      <c r="O97" s="22">
        <f t="shared" si="7"/>
        <v>0.20669049778584</v>
      </c>
      <c r="P97" s="23">
        <f t="shared" si="8"/>
        <v>2.2532412100517499E-2</v>
      </c>
      <c r="Q97" s="23">
        <f t="shared" si="9"/>
        <v>0.10901522973670601</v>
      </c>
      <c r="R97" s="22">
        <f t="shared" si="10"/>
        <v>0.234700763629906</v>
      </c>
      <c r="S97" s="22">
        <f t="shared" si="11"/>
        <v>1.2347007636299101</v>
      </c>
    </row>
    <row r="98" spans="1:19">
      <c r="A98" s="18" t="s">
        <v>137</v>
      </c>
      <c r="B98" s="18" t="s">
        <v>47</v>
      </c>
      <c r="C98" s="18" t="s">
        <v>29</v>
      </c>
      <c r="D98" s="19">
        <v>44727</v>
      </c>
      <c r="E98" s="20">
        <v>45357</v>
      </c>
      <c r="F98" s="21">
        <v>69201.600000000006</v>
      </c>
      <c r="G98" s="21">
        <v>48073.599999999999</v>
      </c>
      <c r="H98" s="21">
        <v>16912</v>
      </c>
      <c r="I98" s="18">
        <v>7676.7520000000004</v>
      </c>
      <c r="J98" s="18">
        <v>17207.824000000001</v>
      </c>
      <c r="K98" s="18" t="s">
        <v>30</v>
      </c>
      <c r="L98" s="18" t="s">
        <v>50</v>
      </c>
      <c r="M98" s="18" t="s">
        <v>32</v>
      </c>
      <c r="N98" s="22">
        <f t="shared" si="6"/>
        <v>0.69468914013548799</v>
      </c>
      <c r="O98" s="22">
        <f t="shared" si="7"/>
        <v>0.35179391599547399</v>
      </c>
      <c r="P98" s="23">
        <f t="shared" si="8"/>
        <v>0.15968747919856199</v>
      </c>
      <c r="Q98" s="23">
        <f t="shared" si="9"/>
        <v>0.453923368022706</v>
      </c>
      <c r="R98" s="22">
        <f t="shared" si="10"/>
        <v>1.2415500722180399</v>
      </c>
      <c r="S98" s="22">
        <f t="shared" si="11"/>
        <v>2.2415500722180401</v>
      </c>
    </row>
    <row r="99" spans="1:19">
      <c r="A99" s="18" t="s">
        <v>138</v>
      </c>
      <c r="B99" s="18" t="s">
        <v>34</v>
      </c>
      <c r="C99" s="18" t="s">
        <v>21</v>
      </c>
      <c r="D99" s="19">
        <v>44965</v>
      </c>
      <c r="E99" s="20">
        <v>45587</v>
      </c>
      <c r="F99" s="21">
        <v>52396.800000000003</v>
      </c>
      <c r="G99" s="21">
        <v>12156.8</v>
      </c>
      <c r="H99" s="21">
        <v>11579.2</v>
      </c>
      <c r="I99" s="18">
        <v>4499.232</v>
      </c>
      <c r="J99" s="18">
        <v>14719.984</v>
      </c>
      <c r="K99" s="18" t="s">
        <v>38</v>
      </c>
      <c r="L99" s="18" t="s">
        <v>31</v>
      </c>
      <c r="M99" s="18" t="s">
        <v>32</v>
      </c>
      <c r="N99" s="22">
        <f t="shared" si="6"/>
        <v>0.232014168804202</v>
      </c>
      <c r="O99" s="22">
        <f t="shared" si="7"/>
        <v>0.95248749670966104</v>
      </c>
      <c r="P99" s="23">
        <f t="shared" si="8"/>
        <v>0.37010002632271699</v>
      </c>
      <c r="Q99" s="23">
        <f t="shared" si="9"/>
        <v>0.38856155865690201</v>
      </c>
      <c r="R99" s="22">
        <f t="shared" si="10"/>
        <v>2.2716659198725502</v>
      </c>
      <c r="S99" s="22">
        <f t="shared" si="11"/>
        <v>3.2716659198725502</v>
      </c>
    </row>
    <row r="100" spans="1:19">
      <c r="A100" s="18" t="s">
        <v>139</v>
      </c>
      <c r="B100" s="18" t="s">
        <v>40</v>
      </c>
      <c r="C100" s="18" t="s">
        <v>21</v>
      </c>
      <c r="D100" s="19">
        <v>44729</v>
      </c>
      <c r="E100" s="20">
        <v>45355</v>
      </c>
      <c r="F100" s="21">
        <v>44478.400000000001</v>
      </c>
      <c r="G100" s="21">
        <v>1926.4</v>
      </c>
      <c r="H100" s="21">
        <v>441.6</v>
      </c>
      <c r="I100" s="18">
        <v>1380.816</v>
      </c>
      <c r="J100" s="18">
        <v>2468.48</v>
      </c>
      <c r="K100" s="18" t="s">
        <v>65</v>
      </c>
      <c r="L100" s="18" t="s">
        <v>23</v>
      </c>
      <c r="M100" s="18" t="s">
        <v>32</v>
      </c>
      <c r="N100" s="22">
        <f t="shared" si="6"/>
        <v>4.3310910464405203E-2</v>
      </c>
      <c r="O100" s="22">
        <f t="shared" si="7"/>
        <v>0.22923588039867099</v>
      </c>
      <c r="P100" s="23">
        <f t="shared" si="8"/>
        <v>0.71678571428571403</v>
      </c>
      <c r="Q100" s="23">
        <f t="shared" si="9"/>
        <v>3.1268478260869599</v>
      </c>
      <c r="R100" s="22">
        <f t="shared" si="10"/>
        <v>0.78769655044553399</v>
      </c>
      <c r="S100" s="22">
        <f t="shared" si="11"/>
        <v>1.78769655044553</v>
      </c>
    </row>
    <row r="101" spans="1:19">
      <c r="A101" s="18" t="s">
        <v>140</v>
      </c>
      <c r="B101" s="18" t="s">
        <v>28</v>
      </c>
      <c r="C101" s="18" t="s">
        <v>21</v>
      </c>
      <c r="D101" s="19">
        <v>44895</v>
      </c>
      <c r="E101" s="20">
        <v>45499</v>
      </c>
      <c r="F101" s="21">
        <v>6945.6</v>
      </c>
      <c r="G101" s="21">
        <v>2128</v>
      </c>
      <c r="H101" s="21">
        <v>2028.8</v>
      </c>
      <c r="I101" s="18">
        <v>3509.5039999999999</v>
      </c>
      <c r="J101" s="18">
        <v>7428.7839999999997</v>
      </c>
      <c r="K101" s="18" t="s">
        <v>38</v>
      </c>
      <c r="L101" s="18" t="s">
        <v>50</v>
      </c>
      <c r="M101" s="18" t="s">
        <v>24</v>
      </c>
      <c r="N101" s="22">
        <f t="shared" si="6"/>
        <v>0.306381018198572</v>
      </c>
      <c r="O101" s="22">
        <f t="shared" si="7"/>
        <v>0.953383458646617</v>
      </c>
      <c r="P101" s="23">
        <f t="shared" si="8"/>
        <v>1.6492030075188</v>
      </c>
      <c r="Q101" s="23">
        <f t="shared" si="9"/>
        <v>1.7298422712933801</v>
      </c>
      <c r="R101" s="22">
        <f t="shared" si="10"/>
        <v>1.1167617988182901</v>
      </c>
      <c r="S101" s="22">
        <f t="shared" si="11"/>
        <v>2.1167617988182901</v>
      </c>
    </row>
    <row r="102" spans="1:19">
      <c r="A102" s="18" t="s">
        <v>141</v>
      </c>
      <c r="B102" s="18" t="s">
        <v>28</v>
      </c>
      <c r="C102" s="18" t="s">
        <v>29</v>
      </c>
      <c r="D102" s="19">
        <v>44846</v>
      </c>
      <c r="E102" s="20">
        <v>45449</v>
      </c>
      <c r="F102" s="21">
        <v>5004.8</v>
      </c>
      <c r="G102" s="21">
        <v>2182.4</v>
      </c>
      <c r="H102" s="21">
        <v>19.2</v>
      </c>
      <c r="I102" s="18">
        <v>2551.4879999999998</v>
      </c>
      <c r="J102" s="18">
        <v>7986.8959999999997</v>
      </c>
      <c r="K102" s="18" t="s">
        <v>38</v>
      </c>
      <c r="L102" s="18" t="s">
        <v>44</v>
      </c>
      <c r="M102" s="18" t="s">
        <v>32</v>
      </c>
      <c r="N102" s="22">
        <f t="shared" si="6"/>
        <v>0.43606138107416897</v>
      </c>
      <c r="O102" s="22">
        <f t="shared" si="7"/>
        <v>8.7976539589442806E-3</v>
      </c>
      <c r="P102" s="23">
        <f t="shared" si="8"/>
        <v>1.1691202346041101</v>
      </c>
      <c r="Q102" s="23">
        <f t="shared" si="9"/>
        <v>132.88999999999999</v>
      </c>
      <c r="R102" s="22">
        <f t="shared" si="10"/>
        <v>2.1302894624626898</v>
      </c>
      <c r="S102" s="22">
        <f t="shared" si="11"/>
        <v>3.1302894624626898</v>
      </c>
    </row>
    <row r="103" spans="1:19">
      <c r="A103" s="18" t="s">
        <v>142</v>
      </c>
      <c r="B103" s="18" t="s">
        <v>47</v>
      </c>
      <c r="C103" s="18" t="s">
        <v>21</v>
      </c>
      <c r="D103" s="19">
        <v>44907</v>
      </c>
      <c r="E103" s="20">
        <v>45532</v>
      </c>
      <c r="F103" s="21">
        <v>19878.400000000001</v>
      </c>
      <c r="G103" s="21">
        <v>14368</v>
      </c>
      <c r="H103" s="21">
        <v>4857.6000000000004</v>
      </c>
      <c r="I103" s="18">
        <v>7174.8</v>
      </c>
      <c r="J103" s="18">
        <v>28108.576000000001</v>
      </c>
      <c r="K103" s="18" t="s">
        <v>43</v>
      </c>
      <c r="L103" s="18" t="s">
        <v>31</v>
      </c>
      <c r="M103" s="18" t="s">
        <v>24</v>
      </c>
      <c r="N103" s="22">
        <f t="shared" si="6"/>
        <v>0.72279459111397304</v>
      </c>
      <c r="O103" s="22">
        <f t="shared" si="7"/>
        <v>0.33808463251670401</v>
      </c>
      <c r="P103" s="23">
        <f t="shared" si="8"/>
        <v>0.49935968819599102</v>
      </c>
      <c r="Q103" s="23">
        <f t="shared" si="9"/>
        <v>1.4770256916996001</v>
      </c>
      <c r="R103" s="22">
        <f t="shared" si="10"/>
        <v>2.9176807715894499</v>
      </c>
      <c r="S103" s="22">
        <f t="shared" si="11"/>
        <v>3.9176807715894499</v>
      </c>
    </row>
    <row r="104" spans="1:19">
      <c r="A104" s="18" t="s">
        <v>143</v>
      </c>
      <c r="B104" s="18" t="s">
        <v>34</v>
      </c>
      <c r="C104" s="18" t="s">
        <v>41</v>
      </c>
      <c r="D104" s="19">
        <v>44892</v>
      </c>
      <c r="E104" s="20">
        <v>45514</v>
      </c>
      <c r="F104" s="21">
        <v>63246.400000000001</v>
      </c>
      <c r="G104" s="21">
        <v>33163.199999999997</v>
      </c>
      <c r="H104" s="21">
        <v>18712</v>
      </c>
      <c r="I104" s="18">
        <v>5816.3360000000002</v>
      </c>
      <c r="J104" s="18">
        <v>12764.048000000001</v>
      </c>
      <c r="K104" s="18" t="s">
        <v>22</v>
      </c>
      <c r="L104" s="18" t="s">
        <v>44</v>
      </c>
      <c r="M104" s="18" t="s">
        <v>24</v>
      </c>
      <c r="N104" s="22">
        <f t="shared" si="6"/>
        <v>0.52434921197095796</v>
      </c>
      <c r="O104" s="22">
        <f t="shared" si="7"/>
        <v>0.56423988034930295</v>
      </c>
      <c r="P104" s="23">
        <f t="shared" si="8"/>
        <v>0.17538524629710001</v>
      </c>
      <c r="Q104" s="23">
        <f t="shared" si="9"/>
        <v>0.310834544677212</v>
      </c>
      <c r="R104" s="22">
        <f t="shared" si="10"/>
        <v>1.19451696050572</v>
      </c>
      <c r="S104" s="22">
        <f t="shared" si="11"/>
        <v>2.19451696050572</v>
      </c>
    </row>
    <row r="105" spans="1:19">
      <c r="A105" s="18" t="s">
        <v>144</v>
      </c>
      <c r="B105" s="18" t="s">
        <v>34</v>
      </c>
      <c r="C105" s="18" t="s">
        <v>41</v>
      </c>
      <c r="D105" s="19">
        <v>44863</v>
      </c>
      <c r="E105" s="20">
        <v>45466</v>
      </c>
      <c r="F105" s="21">
        <v>48364.800000000003</v>
      </c>
      <c r="G105" s="21">
        <v>20800</v>
      </c>
      <c r="H105" s="21">
        <v>13102.4</v>
      </c>
      <c r="I105" s="18">
        <v>324.86399999999998</v>
      </c>
      <c r="J105" s="18">
        <v>632.89599999999996</v>
      </c>
      <c r="K105" s="18" t="s">
        <v>65</v>
      </c>
      <c r="L105" s="18" t="s">
        <v>50</v>
      </c>
      <c r="M105" s="18" t="s">
        <v>24</v>
      </c>
      <c r="N105" s="22">
        <f t="shared" si="6"/>
        <v>0.43006484054519001</v>
      </c>
      <c r="O105" s="22">
        <f t="shared" si="7"/>
        <v>0.62992307692307703</v>
      </c>
      <c r="P105" s="23">
        <f t="shared" si="8"/>
        <v>1.5618461538461499E-2</v>
      </c>
      <c r="Q105" s="23">
        <f t="shared" si="9"/>
        <v>2.4794236170472599E-2</v>
      </c>
      <c r="R105" s="22">
        <f t="shared" si="10"/>
        <v>0.94818754925137905</v>
      </c>
      <c r="S105" s="22">
        <f t="shared" si="11"/>
        <v>1.94818754925138</v>
      </c>
    </row>
    <row r="106" spans="1:19">
      <c r="A106" s="18" t="s">
        <v>145</v>
      </c>
      <c r="B106" s="18" t="s">
        <v>34</v>
      </c>
      <c r="C106" s="18" t="s">
        <v>41</v>
      </c>
      <c r="D106" s="19">
        <v>44785</v>
      </c>
      <c r="E106" s="20">
        <v>45406</v>
      </c>
      <c r="F106" s="21">
        <v>39297.599999999999</v>
      </c>
      <c r="G106" s="21">
        <v>33660.800000000003</v>
      </c>
      <c r="H106" s="21">
        <v>13484.8</v>
      </c>
      <c r="I106" s="18">
        <v>3494.7359999999999</v>
      </c>
      <c r="J106" s="18">
        <v>12373.68</v>
      </c>
      <c r="K106" s="18" t="s">
        <v>22</v>
      </c>
      <c r="L106" s="18" t="s">
        <v>23</v>
      </c>
      <c r="M106" s="18" t="s">
        <v>24</v>
      </c>
      <c r="N106" s="22">
        <f t="shared" si="6"/>
        <v>0.85656121493424497</v>
      </c>
      <c r="O106" s="22">
        <f t="shared" si="7"/>
        <v>0.40060842285388298</v>
      </c>
      <c r="P106" s="23">
        <f t="shared" si="8"/>
        <v>0.10382213138131</v>
      </c>
      <c r="Q106" s="23">
        <f t="shared" si="9"/>
        <v>0.259161129568106</v>
      </c>
      <c r="R106" s="22">
        <f t="shared" si="10"/>
        <v>2.54066229895477</v>
      </c>
      <c r="S106" s="22">
        <f t="shared" si="11"/>
        <v>3.54066229895477</v>
      </c>
    </row>
    <row r="107" spans="1:19">
      <c r="A107" s="18" t="s">
        <v>146</v>
      </c>
      <c r="B107" s="18" t="s">
        <v>40</v>
      </c>
      <c r="C107" s="18" t="s">
        <v>41</v>
      </c>
      <c r="D107" s="19">
        <v>44699</v>
      </c>
      <c r="E107" s="20">
        <v>45300</v>
      </c>
      <c r="F107" s="21">
        <v>30819.200000000001</v>
      </c>
      <c r="G107" s="21">
        <v>22252.799999999999</v>
      </c>
      <c r="H107" s="21">
        <v>17608</v>
      </c>
      <c r="I107" s="18">
        <v>1890.6880000000001</v>
      </c>
      <c r="J107" s="18">
        <v>5092.8320000000003</v>
      </c>
      <c r="K107" s="18" t="s">
        <v>65</v>
      </c>
      <c r="L107" s="18" t="s">
        <v>35</v>
      </c>
      <c r="M107" s="18" t="s">
        <v>24</v>
      </c>
      <c r="N107" s="22">
        <f t="shared" si="6"/>
        <v>0.72204340151593804</v>
      </c>
      <c r="O107" s="22">
        <f t="shared" si="7"/>
        <v>0.79127121081392005</v>
      </c>
      <c r="P107" s="23">
        <f t="shared" si="8"/>
        <v>8.4964049467932096E-2</v>
      </c>
      <c r="Q107" s="23">
        <f t="shared" si="9"/>
        <v>0.107376646978646</v>
      </c>
      <c r="R107" s="22">
        <f t="shared" si="10"/>
        <v>1.6936395640105599</v>
      </c>
      <c r="S107" s="22">
        <f t="shared" si="11"/>
        <v>2.6936395640105602</v>
      </c>
    </row>
    <row r="108" spans="1:19">
      <c r="A108" s="18" t="s">
        <v>147</v>
      </c>
      <c r="B108" s="18" t="s">
        <v>40</v>
      </c>
      <c r="C108" s="18" t="s">
        <v>21</v>
      </c>
      <c r="D108" s="19">
        <v>44803</v>
      </c>
      <c r="E108" s="20">
        <v>45431</v>
      </c>
      <c r="F108" s="21">
        <v>7387.2</v>
      </c>
      <c r="G108" s="21">
        <v>408</v>
      </c>
      <c r="H108" s="21">
        <v>164.8</v>
      </c>
      <c r="I108" s="18">
        <v>7346.0479999999998</v>
      </c>
      <c r="J108" s="18">
        <v>9234.9120000000003</v>
      </c>
      <c r="K108" s="18" t="s">
        <v>65</v>
      </c>
      <c r="L108" s="18" t="s">
        <v>35</v>
      </c>
      <c r="M108" s="18" t="s">
        <v>32</v>
      </c>
      <c r="N108" s="22">
        <f t="shared" si="6"/>
        <v>5.5230669265757003E-2</v>
      </c>
      <c r="O108" s="22">
        <f t="shared" si="7"/>
        <v>0.40392156862745099</v>
      </c>
      <c r="P108" s="23">
        <f t="shared" si="8"/>
        <v>18.005019607843099</v>
      </c>
      <c r="Q108" s="23">
        <f t="shared" si="9"/>
        <v>44.575533980582499</v>
      </c>
      <c r="R108" s="22">
        <f t="shared" si="10"/>
        <v>0.25712655294384101</v>
      </c>
      <c r="S108" s="22">
        <f t="shared" si="11"/>
        <v>1.25712655294384</v>
      </c>
    </row>
    <row r="109" spans="1:19">
      <c r="A109" s="18" t="s">
        <v>148</v>
      </c>
      <c r="B109" s="18" t="s">
        <v>28</v>
      </c>
      <c r="C109" s="18" t="s">
        <v>41</v>
      </c>
      <c r="D109" s="19">
        <v>44713</v>
      </c>
      <c r="E109" s="20">
        <v>45343</v>
      </c>
      <c r="F109" s="21">
        <v>67809.600000000006</v>
      </c>
      <c r="G109" s="21">
        <v>33475.199999999997</v>
      </c>
      <c r="H109" s="21">
        <v>31009.599999999999</v>
      </c>
      <c r="I109" s="18">
        <v>2363.248</v>
      </c>
      <c r="J109" s="18">
        <v>7268.1760000000004</v>
      </c>
      <c r="K109" s="18" t="s">
        <v>22</v>
      </c>
      <c r="L109" s="18" t="s">
        <v>35</v>
      </c>
      <c r="M109" s="18" t="s">
        <v>24</v>
      </c>
      <c r="N109" s="22">
        <f t="shared" si="6"/>
        <v>0.493664613859984</v>
      </c>
      <c r="O109" s="22">
        <f t="shared" si="7"/>
        <v>0.92634547366408604</v>
      </c>
      <c r="P109" s="23">
        <f t="shared" si="8"/>
        <v>7.0596979256285303E-2</v>
      </c>
      <c r="Q109" s="23">
        <f t="shared" si="9"/>
        <v>7.6210205871730094E-2</v>
      </c>
      <c r="R109" s="22">
        <f t="shared" si="10"/>
        <v>2.0755028672403402</v>
      </c>
      <c r="S109" s="22">
        <f t="shared" si="11"/>
        <v>3.0755028672403402</v>
      </c>
    </row>
    <row r="110" spans="1:19">
      <c r="A110" s="18" t="s">
        <v>149</v>
      </c>
      <c r="B110" s="18" t="s">
        <v>34</v>
      </c>
      <c r="C110" s="18" t="s">
        <v>21</v>
      </c>
      <c r="D110" s="19">
        <v>44725</v>
      </c>
      <c r="E110" s="20">
        <v>45344</v>
      </c>
      <c r="F110" s="21">
        <v>18051.2</v>
      </c>
      <c r="G110" s="21">
        <v>16305.6</v>
      </c>
      <c r="H110" s="21">
        <v>12868.8</v>
      </c>
      <c r="I110" s="18">
        <v>6774.8320000000003</v>
      </c>
      <c r="J110" s="18">
        <v>15144.352000000001</v>
      </c>
      <c r="K110" s="18" t="s">
        <v>22</v>
      </c>
      <c r="L110" s="18" t="s">
        <v>35</v>
      </c>
      <c r="M110" s="18" t="s">
        <v>24</v>
      </c>
      <c r="N110" s="22">
        <f t="shared" si="6"/>
        <v>0.903297287714944</v>
      </c>
      <c r="O110" s="22">
        <f t="shared" si="7"/>
        <v>0.78922578745952299</v>
      </c>
      <c r="P110" s="23">
        <f t="shared" si="8"/>
        <v>0.41549111961534702</v>
      </c>
      <c r="Q110" s="23">
        <f t="shared" si="9"/>
        <v>0.52645405943056101</v>
      </c>
      <c r="R110" s="22">
        <f t="shared" si="10"/>
        <v>1.2353841394148199</v>
      </c>
      <c r="S110" s="22">
        <f t="shared" si="11"/>
        <v>2.2353841394148199</v>
      </c>
    </row>
    <row r="111" spans="1:19">
      <c r="A111" s="18" t="s">
        <v>150</v>
      </c>
      <c r="B111" s="18" t="s">
        <v>26</v>
      </c>
      <c r="C111" s="18" t="s">
        <v>41</v>
      </c>
      <c r="D111" s="19">
        <v>44986</v>
      </c>
      <c r="E111" s="20">
        <v>45605</v>
      </c>
      <c r="F111" s="21">
        <v>37153.599999999999</v>
      </c>
      <c r="G111" s="21">
        <v>34244.800000000003</v>
      </c>
      <c r="H111" s="21">
        <v>32267.200000000001</v>
      </c>
      <c r="I111" s="18">
        <v>7247.6319999999996</v>
      </c>
      <c r="J111" s="18">
        <v>17878.48</v>
      </c>
      <c r="K111" s="18" t="s">
        <v>38</v>
      </c>
      <c r="L111" s="18" t="s">
        <v>31</v>
      </c>
      <c r="M111" s="18" t="s">
        <v>32</v>
      </c>
      <c r="N111" s="22">
        <f t="shared" si="6"/>
        <v>0.92170879807071204</v>
      </c>
      <c r="O111" s="22">
        <f t="shared" si="7"/>
        <v>0.94225108629631305</v>
      </c>
      <c r="P111" s="23">
        <f t="shared" si="8"/>
        <v>0.211641825912255</v>
      </c>
      <c r="Q111" s="23">
        <f t="shared" si="9"/>
        <v>0.22461298160361001</v>
      </c>
      <c r="R111" s="22">
        <f t="shared" si="10"/>
        <v>1.46680295026017</v>
      </c>
      <c r="S111" s="22">
        <f t="shared" si="11"/>
        <v>2.46680295026017</v>
      </c>
    </row>
    <row r="112" spans="1:19">
      <c r="A112" s="18" t="s">
        <v>151</v>
      </c>
      <c r="B112" s="18" t="s">
        <v>28</v>
      </c>
      <c r="C112" s="18" t="s">
        <v>21</v>
      </c>
      <c r="D112" s="19">
        <v>44958</v>
      </c>
      <c r="E112" s="20">
        <v>45574</v>
      </c>
      <c r="F112" s="21">
        <v>53676.800000000003</v>
      </c>
      <c r="G112" s="21">
        <v>1627.2</v>
      </c>
      <c r="H112" s="21">
        <v>1150.4000000000001</v>
      </c>
      <c r="I112" s="18">
        <v>4628.1440000000002</v>
      </c>
      <c r="J112" s="18">
        <v>7853.5519999999997</v>
      </c>
      <c r="K112" s="18" t="s">
        <v>65</v>
      </c>
      <c r="L112" s="18" t="s">
        <v>35</v>
      </c>
      <c r="M112" s="18" t="s">
        <v>24</v>
      </c>
      <c r="N112" s="22">
        <f t="shared" si="6"/>
        <v>3.0314772862763802E-2</v>
      </c>
      <c r="O112" s="22">
        <f t="shared" si="7"/>
        <v>0.70698131760078697</v>
      </c>
      <c r="P112" s="23">
        <f t="shared" si="8"/>
        <v>2.8442379547689298</v>
      </c>
      <c r="Q112" s="23">
        <f t="shared" si="9"/>
        <v>4.0230737134909598</v>
      </c>
      <c r="R112" s="22">
        <f t="shared" si="10"/>
        <v>0.69691176419748402</v>
      </c>
      <c r="S112" s="22">
        <f t="shared" si="11"/>
        <v>1.69691176419748</v>
      </c>
    </row>
    <row r="113" spans="1:19">
      <c r="A113" s="18" t="s">
        <v>152</v>
      </c>
      <c r="B113" s="18" t="s">
        <v>40</v>
      </c>
      <c r="C113" s="18" t="s">
        <v>21</v>
      </c>
      <c r="D113" s="19">
        <v>44959</v>
      </c>
      <c r="E113" s="20">
        <v>45587</v>
      </c>
      <c r="F113" s="21">
        <v>42980.800000000003</v>
      </c>
      <c r="G113" s="21">
        <v>15252.8</v>
      </c>
      <c r="H113" s="21">
        <v>5744</v>
      </c>
      <c r="I113" s="18">
        <v>6521.9679999999998</v>
      </c>
      <c r="J113" s="18">
        <v>13433.936</v>
      </c>
      <c r="K113" s="18" t="s">
        <v>43</v>
      </c>
      <c r="L113" s="18" t="s">
        <v>23</v>
      </c>
      <c r="M113" s="18" t="s">
        <v>24</v>
      </c>
      <c r="N113" s="22">
        <f t="shared" si="6"/>
        <v>0.35487473476529102</v>
      </c>
      <c r="O113" s="22">
        <f t="shared" si="7"/>
        <v>0.37658659393685101</v>
      </c>
      <c r="P113" s="23">
        <f t="shared" si="8"/>
        <v>0.42759152417916702</v>
      </c>
      <c r="Q113" s="23">
        <f t="shared" si="9"/>
        <v>1.1354401114206101</v>
      </c>
      <c r="R113" s="22">
        <f t="shared" si="10"/>
        <v>1.05979790149231</v>
      </c>
      <c r="S113" s="22">
        <f t="shared" si="11"/>
        <v>2.0597979014923098</v>
      </c>
    </row>
    <row r="114" spans="1:19">
      <c r="A114" s="18" t="s">
        <v>153</v>
      </c>
      <c r="B114" s="18" t="s">
        <v>34</v>
      </c>
      <c r="C114" s="18" t="s">
        <v>29</v>
      </c>
      <c r="D114" s="19">
        <v>44837</v>
      </c>
      <c r="E114" s="20">
        <v>45459</v>
      </c>
      <c r="F114" s="21">
        <v>57070.400000000001</v>
      </c>
      <c r="G114" s="21">
        <v>22198.400000000001</v>
      </c>
      <c r="H114" s="21">
        <v>7563.2</v>
      </c>
      <c r="I114" s="18">
        <v>2489.9360000000001</v>
      </c>
      <c r="J114" s="18">
        <v>6512.8320000000003</v>
      </c>
      <c r="K114" s="18" t="s">
        <v>30</v>
      </c>
      <c r="L114" s="18" t="s">
        <v>35</v>
      </c>
      <c r="M114" s="18" t="s">
        <v>24</v>
      </c>
      <c r="N114" s="22">
        <f t="shared" si="6"/>
        <v>0.38896520788359601</v>
      </c>
      <c r="O114" s="22">
        <f t="shared" si="7"/>
        <v>0.34070924030560801</v>
      </c>
      <c r="P114" s="23">
        <f t="shared" si="8"/>
        <v>0.112167363413579</v>
      </c>
      <c r="Q114" s="23">
        <f t="shared" si="9"/>
        <v>0.329217262534377</v>
      </c>
      <c r="R114" s="22">
        <f t="shared" si="10"/>
        <v>1.6156624106001101</v>
      </c>
      <c r="S114" s="22">
        <f t="shared" si="11"/>
        <v>2.6156624106001098</v>
      </c>
    </row>
    <row r="115" spans="1:19">
      <c r="A115" s="18" t="s">
        <v>154</v>
      </c>
      <c r="B115" s="18" t="s">
        <v>47</v>
      </c>
      <c r="C115" s="18" t="s">
        <v>48</v>
      </c>
      <c r="D115" s="19">
        <v>44705</v>
      </c>
      <c r="E115" s="20">
        <v>45309</v>
      </c>
      <c r="F115" s="21">
        <v>77916.800000000003</v>
      </c>
      <c r="G115" s="21">
        <v>38212.800000000003</v>
      </c>
      <c r="H115" s="21">
        <v>619.20000000000005</v>
      </c>
      <c r="I115" s="18">
        <v>3117.9360000000001</v>
      </c>
      <c r="J115" s="18">
        <v>6080.768</v>
      </c>
      <c r="K115" s="18" t="s">
        <v>30</v>
      </c>
      <c r="L115" s="18" t="s">
        <v>31</v>
      </c>
      <c r="M115" s="18" t="s">
        <v>32</v>
      </c>
      <c r="N115" s="22">
        <f t="shared" si="6"/>
        <v>0.49043081851410703</v>
      </c>
      <c r="O115" s="22">
        <f t="shared" si="7"/>
        <v>1.6203994473056101E-2</v>
      </c>
      <c r="P115" s="23">
        <f t="shared" si="8"/>
        <v>8.1594020851651794E-2</v>
      </c>
      <c r="Q115" s="23">
        <f t="shared" si="9"/>
        <v>5.0354263565891504</v>
      </c>
      <c r="R115" s="22">
        <f t="shared" si="10"/>
        <v>0.95025427077399904</v>
      </c>
      <c r="S115" s="22">
        <f t="shared" si="11"/>
        <v>1.950254270774</v>
      </c>
    </row>
    <row r="116" spans="1:19">
      <c r="A116" s="18" t="s">
        <v>155</v>
      </c>
      <c r="B116" s="18" t="s">
        <v>47</v>
      </c>
      <c r="C116" s="18" t="s">
        <v>21</v>
      </c>
      <c r="D116" s="19">
        <v>44706</v>
      </c>
      <c r="E116" s="20">
        <v>45329</v>
      </c>
      <c r="F116" s="21">
        <v>50622.400000000001</v>
      </c>
      <c r="G116" s="21">
        <v>31958.400000000001</v>
      </c>
      <c r="H116" s="21">
        <v>7756.8</v>
      </c>
      <c r="I116" s="18">
        <v>5649.3440000000001</v>
      </c>
      <c r="J116" s="18">
        <v>10538.544</v>
      </c>
      <c r="K116" s="18" t="s">
        <v>22</v>
      </c>
      <c r="L116" s="18" t="s">
        <v>31</v>
      </c>
      <c r="M116" s="18" t="s">
        <v>24</v>
      </c>
      <c r="N116" s="22">
        <f t="shared" si="6"/>
        <v>0.631309459843864</v>
      </c>
      <c r="O116" s="22">
        <f t="shared" si="7"/>
        <v>0.24271553018924599</v>
      </c>
      <c r="P116" s="23">
        <f t="shared" si="8"/>
        <v>0.176771803344348</v>
      </c>
      <c r="Q116" s="23">
        <f t="shared" si="9"/>
        <v>0.72830858085808603</v>
      </c>
      <c r="R116" s="22">
        <f t="shared" si="10"/>
        <v>0.86544561634058703</v>
      </c>
      <c r="S116" s="22">
        <f t="shared" si="11"/>
        <v>1.8654456163405899</v>
      </c>
    </row>
    <row r="117" spans="1:19">
      <c r="A117" s="18" t="s">
        <v>156</v>
      </c>
      <c r="B117" s="18" t="s">
        <v>28</v>
      </c>
      <c r="C117" s="18" t="s">
        <v>29</v>
      </c>
      <c r="D117" s="19">
        <v>44829</v>
      </c>
      <c r="E117" s="20">
        <v>45440</v>
      </c>
      <c r="F117" s="21">
        <v>25553.599999999999</v>
      </c>
      <c r="G117" s="21">
        <v>12312</v>
      </c>
      <c r="H117" s="21">
        <v>11579.2</v>
      </c>
      <c r="I117" s="18">
        <v>5853.3440000000001</v>
      </c>
      <c r="J117" s="18">
        <v>18178.8</v>
      </c>
      <c r="K117" s="18" t="s">
        <v>38</v>
      </c>
      <c r="L117" s="18" t="s">
        <v>35</v>
      </c>
      <c r="M117" s="18" t="s">
        <v>24</v>
      </c>
      <c r="N117" s="22">
        <f t="shared" si="6"/>
        <v>0.48181078204245198</v>
      </c>
      <c r="O117" s="22">
        <f t="shared" si="7"/>
        <v>0.94048083170890195</v>
      </c>
      <c r="P117" s="23">
        <f t="shared" si="8"/>
        <v>0.47541780376868098</v>
      </c>
      <c r="Q117" s="23">
        <f t="shared" si="9"/>
        <v>0.50550504352632297</v>
      </c>
      <c r="R117" s="22">
        <f t="shared" si="10"/>
        <v>2.1057118802516999</v>
      </c>
      <c r="S117" s="22">
        <f t="shared" si="11"/>
        <v>3.1057118802516999</v>
      </c>
    </row>
    <row r="118" spans="1:19">
      <c r="A118" s="18" t="s">
        <v>157</v>
      </c>
      <c r="B118" s="18" t="s">
        <v>34</v>
      </c>
      <c r="C118" s="18" t="s">
        <v>29</v>
      </c>
      <c r="D118" s="19">
        <v>44726</v>
      </c>
      <c r="E118" s="20">
        <v>45346</v>
      </c>
      <c r="F118" s="21">
        <v>41076.800000000003</v>
      </c>
      <c r="G118" s="21">
        <v>2761.6</v>
      </c>
      <c r="H118" s="21">
        <v>2750.4</v>
      </c>
      <c r="I118" s="18">
        <v>5731.8239999999996</v>
      </c>
      <c r="J118" s="18">
        <v>20439.263999999999</v>
      </c>
      <c r="K118" s="18" t="s">
        <v>43</v>
      </c>
      <c r="L118" s="18" t="s">
        <v>35</v>
      </c>
      <c r="M118" s="18" t="s">
        <v>32</v>
      </c>
      <c r="N118" s="22">
        <f t="shared" si="6"/>
        <v>6.72301639855101E-2</v>
      </c>
      <c r="O118" s="22">
        <f t="shared" si="7"/>
        <v>0.99594438006952501</v>
      </c>
      <c r="P118" s="23">
        <f t="shared" si="8"/>
        <v>2.0755446118192298</v>
      </c>
      <c r="Q118" s="23">
        <f t="shared" si="9"/>
        <v>2.0839965095986002</v>
      </c>
      <c r="R118" s="22">
        <f t="shared" si="10"/>
        <v>2.5659266579015698</v>
      </c>
      <c r="S118" s="22">
        <f t="shared" si="11"/>
        <v>3.5659266579015698</v>
      </c>
    </row>
    <row r="119" spans="1:19">
      <c r="A119" s="18" t="s">
        <v>158</v>
      </c>
      <c r="B119" s="18" t="s">
        <v>34</v>
      </c>
      <c r="C119" s="18" t="s">
        <v>29</v>
      </c>
      <c r="D119" s="19">
        <v>44873</v>
      </c>
      <c r="E119" s="20">
        <v>45496</v>
      </c>
      <c r="F119" s="21">
        <v>45347.199999999997</v>
      </c>
      <c r="G119" s="21">
        <v>20232</v>
      </c>
      <c r="H119" s="21">
        <v>8484.7999999999993</v>
      </c>
      <c r="I119" s="18">
        <v>1885.76</v>
      </c>
      <c r="J119" s="18">
        <v>5564.72</v>
      </c>
      <c r="K119" s="18" t="s">
        <v>38</v>
      </c>
      <c r="L119" s="18" t="s">
        <v>31</v>
      </c>
      <c r="M119" s="18" t="s">
        <v>24</v>
      </c>
      <c r="N119" s="22">
        <f t="shared" si="6"/>
        <v>0.44615764589654899</v>
      </c>
      <c r="O119" s="22">
        <f t="shared" si="7"/>
        <v>0.41937524713325403</v>
      </c>
      <c r="P119" s="23">
        <f t="shared" si="8"/>
        <v>9.3206801107156997E-2</v>
      </c>
      <c r="Q119" s="23">
        <f t="shared" si="9"/>
        <v>0.22225155572317601</v>
      </c>
      <c r="R119" s="22">
        <f t="shared" si="10"/>
        <v>1.9509163414220301</v>
      </c>
      <c r="S119" s="22">
        <f t="shared" si="11"/>
        <v>2.9509163414220301</v>
      </c>
    </row>
    <row r="120" spans="1:19">
      <c r="A120" s="18" t="s">
        <v>159</v>
      </c>
      <c r="B120" s="18" t="s">
        <v>26</v>
      </c>
      <c r="C120" s="18" t="s">
        <v>41</v>
      </c>
      <c r="D120" s="19">
        <v>44843</v>
      </c>
      <c r="E120" s="20">
        <v>45452</v>
      </c>
      <c r="F120" s="21">
        <v>73038.399999999994</v>
      </c>
      <c r="G120" s="21">
        <v>71403.199999999997</v>
      </c>
      <c r="H120" s="21">
        <v>50574.400000000001</v>
      </c>
      <c r="I120" s="18">
        <v>7579.7280000000001</v>
      </c>
      <c r="J120" s="18">
        <v>12131.343999999999</v>
      </c>
      <c r="K120" s="18" t="s">
        <v>43</v>
      </c>
      <c r="L120" s="18" t="s">
        <v>50</v>
      </c>
      <c r="M120" s="18" t="s">
        <v>32</v>
      </c>
      <c r="N120" s="22">
        <f t="shared" si="6"/>
        <v>0.97761177681876898</v>
      </c>
      <c r="O120" s="22">
        <f t="shared" si="7"/>
        <v>0.708293185739575</v>
      </c>
      <c r="P120" s="23">
        <f t="shared" si="8"/>
        <v>0.10615389786452099</v>
      </c>
      <c r="Q120" s="23">
        <f t="shared" si="9"/>
        <v>0.14987282103198499</v>
      </c>
      <c r="R120" s="22">
        <f t="shared" si="10"/>
        <v>0.60049859308935605</v>
      </c>
      <c r="S120" s="22">
        <f t="shared" si="11"/>
        <v>1.60049859308936</v>
      </c>
    </row>
    <row r="121" spans="1:19">
      <c r="A121" s="18" t="s">
        <v>160</v>
      </c>
      <c r="B121" s="18" t="s">
        <v>34</v>
      </c>
      <c r="C121" s="18" t="s">
        <v>29</v>
      </c>
      <c r="D121" s="19">
        <v>44806</v>
      </c>
      <c r="E121" s="20">
        <v>45417</v>
      </c>
      <c r="F121" s="21">
        <v>2489.6</v>
      </c>
      <c r="G121" s="21">
        <v>2022.4</v>
      </c>
      <c r="H121" s="21">
        <v>969.6</v>
      </c>
      <c r="I121" s="18">
        <v>3691.6320000000001</v>
      </c>
      <c r="J121" s="18">
        <v>11307.183999999999</v>
      </c>
      <c r="K121" s="18" t="s">
        <v>43</v>
      </c>
      <c r="L121" s="18" t="s">
        <v>35</v>
      </c>
      <c r="M121" s="18" t="s">
        <v>24</v>
      </c>
      <c r="N121" s="22">
        <f t="shared" si="6"/>
        <v>0.81233933161953698</v>
      </c>
      <c r="O121" s="22">
        <f t="shared" si="7"/>
        <v>0.479430379746835</v>
      </c>
      <c r="P121" s="23">
        <f t="shared" si="8"/>
        <v>1.8253718354430399</v>
      </c>
      <c r="Q121" s="23">
        <f t="shared" si="9"/>
        <v>3.8073762376237599</v>
      </c>
      <c r="R121" s="22">
        <f t="shared" si="10"/>
        <v>2.0629228482145598</v>
      </c>
      <c r="S121" s="22">
        <f t="shared" si="11"/>
        <v>3.0629228482145598</v>
      </c>
    </row>
    <row r="122" spans="1:19">
      <c r="A122" s="18" t="s">
        <v>161</v>
      </c>
      <c r="B122" s="18" t="s">
        <v>47</v>
      </c>
      <c r="C122" s="18" t="s">
        <v>29</v>
      </c>
      <c r="D122" s="19">
        <v>44956</v>
      </c>
      <c r="E122" s="20">
        <v>45567</v>
      </c>
      <c r="F122" s="21">
        <v>71198.399999999994</v>
      </c>
      <c r="G122" s="21">
        <v>40614.400000000001</v>
      </c>
      <c r="H122" s="21">
        <v>31467.200000000001</v>
      </c>
      <c r="I122" s="18">
        <v>4872.7039999999997</v>
      </c>
      <c r="J122" s="18">
        <v>14840.288</v>
      </c>
      <c r="K122" s="18" t="s">
        <v>30</v>
      </c>
      <c r="L122" s="18" t="s">
        <v>50</v>
      </c>
      <c r="M122" s="18" t="s">
        <v>24</v>
      </c>
      <c r="N122" s="22">
        <f t="shared" si="6"/>
        <v>0.57043978516371197</v>
      </c>
      <c r="O122" s="22">
        <f t="shared" si="7"/>
        <v>0.77477938859123896</v>
      </c>
      <c r="P122" s="23">
        <f t="shared" si="8"/>
        <v>0.11997478726756999</v>
      </c>
      <c r="Q122" s="23">
        <f t="shared" si="9"/>
        <v>0.154850256775309</v>
      </c>
      <c r="R122" s="22">
        <f t="shared" si="10"/>
        <v>2.0455960386676502</v>
      </c>
      <c r="S122" s="22">
        <f t="shared" si="11"/>
        <v>3.0455960386676502</v>
      </c>
    </row>
    <row r="123" spans="1:19">
      <c r="A123" s="18" t="s">
        <v>162</v>
      </c>
      <c r="B123" s="18" t="s">
        <v>28</v>
      </c>
      <c r="C123" s="18" t="s">
        <v>41</v>
      </c>
      <c r="D123" s="19">
        <v>44924</v>
      </c>
      <c r="E123" s="20">
        <v>45543</v>
      </c>
      <c r="F123" s="21">
        <v>45956.800000000003</v>
      </c>
      <c r="G123" s="21">
        <v>2438.4</v>
      </c>
      <c r="H123" s="21">
        <v>2104</v>
      </c>
      <c r="I123" s="18">
        <v>2736.2719999999999</v>
      </c>
      <c r="J123" s="18">
        <v>8540.5280000000002</v>
      </c>
      <c r="K123" s="18" t="s">
        <v>38</v>
      </c>
      <c r="L123" s="18" t="s">
        <v>35</v>
      </c>
      <c r="M123" s="18" t="s">
        <v>24</v>
      </c>
      <c r="N123" s="22">
        <f t="shared" si="6"/>
        <v>5.3058524527382203E-2</v>
      </c>
      <c r="O123" s="22">
        <f t="shared" si="7"/>
        <v>0.86286089238845098</v>
      </c>
      <c r="P123" s="23">
        <f t="shared" si="8"/>
        <v>1.12215879265092</v>
      </c>
      <c r="Q123" s="23">
        <f t="shared" si="9"/>
        <v>1.3005095057034199</v>
      </c>
      <c r="R123" s="22">
        <f t="shared" si="10"/>
        <v>2.12122771420385</v>
      </c>
      <c r="S123" s="22">
        <f t="shared" si="11"/>
        <v>3.12122771420385</v>
      </c>
    </row>
    <row r="124" spans="1:19">
      <c r="A124" s="18" t="s">
        <v>163</v>
      </c>
      <c r="B124" s="18" t="s">
        <v>26</v>
      </c>
      <c r="C124" s="18" t="s">
        <v>29</v>
      </c>
      <c r="D124" s="19">
        <v>44720</v>
      </c>
      <c r="E124" s="20">
        <v>45325</v>
      </c>
      <c r="F124" s="21">
        <v>10721.6</v>
      </c>
      <c r="G124" s="21">
        <v>1416</v>
      </c>
      <c r="H124" s="21">
        <v>153.6</v>
      </c>
      <c r="I124" s="18">
        <v>1667.6320000000001</v>
      </c>
      <c r="J124" s="18">
        <v>2963.152</v>
      </c>
      <c r="K124" s="18" t="s">
        <v>22</v>
      </c>
      <c r="L124" s="18" t="s">
        <v>31</v>
      </c>
      <c r="M124" s="18" t="s">
        <v>32</v>
      </c>
      <c r="N124" s="22">
        <f t="shared" si="6"/>
        <v>0.13206984032234001</v>
      </c>
      <c r="O124" s="22">
        <f t="shared" si="7"/>
        <v>0.10847457627118599</v>
      </c>
      <c r="P124" s="23">
        <f t="shared" si="8"/>
        <v>1.1777062146892701</v>
      </c>
      <c r="Q124" s="23">
        <f t="shared" si="9"/>
        <v>10.856979166666701</v>
      </c>
      <c r="R124" s="22">
        <f t="shared" si="10"/>
        <v>0.77686204150556004</v>
      </c>
      <c r="S124" s="22">
        <f t="shared" si="11"/>
        <v>1.77686204150556</v>
      </c>
    </row>
    <row r="125" spans="1:19">
      <c r="A125" s="18" t="s">
        <v>164</v>
      </c>
      <c r="B125" s="18" t="s">
        <v>28</v>
      </c>
      <c r="C125" s="18" t="s">
        <v>29</v>
      </c>
      <c r="D125" s="19">
        <v>44989</v>
      </c>
      <c r="E125" s="20">
        <v>45606</v>
      </c>
      <c r="F125" s="21">
        <v>2216</v>
      </c>
      <c r="G125" s="21">
        <v>204.8</v>
      </c>
      <c r="H125" s="21">
        <v>148.80000000000001</v>
      </c>
      <c r="I125" s="18">
        <v>3447.8879999999999</v>
      </c>
      <c r="J125" s="18">
        <v>5292.6880000000001</v>
      </c>
      <c r="K125" s="18" t="s">
        <v>65</v>
      </c>
      <c r="L125" s="18" t="s">
        <v>23</v>
      </c>
      <c r="M125" s="18" t="s">
        <v>24</v>
      </c>
      <c r="N125" s="22">
        <f t="shared" si="6"/>
        <v>9.2418772563176904E-2</v>
      </c>
      <c r="O125" s="22">
        <f t="shared" si="7"/>
        <v>0.7265625</v>
      </c>
      <c r="P125" s="23">
        <f t="shared" si="8"/>
        <v>16.835390624999999</v>
      </c>
      <c r="Q125" s="23">
        <f t="shared" si="9"/>
        <v>23.1712903225806</v>
      </c>
      <c r="R125" s="22">
        <f t="shared" si="10"/>
        <v>0.53505218266950705</v>
      </c>
      <c r="S125" s="22">
        <f t="shared" si="11"/>
        <v>1.53505218266951</v>
      </c>
    </row>
    <row r="126" spans="1:19">
      <c r="A126" s="18" t="s">
        <v>165</v>
      </c>
      <c r="B126" s="18" t="s">
        <v>40</v>
      </c>
      <c r="C126" s="18" t="s">
        <v>48</v>
      </c>
      <c r="D126" s="19">
        <v>44864</v>
      </c>
      <c r="E126" s="20">
        <v>45479</v>
      </c>
      <c r="F126" s="21">
        <v>77665.600000000006</v>
      </c>
      <c r="G126" s="21">
        <v>26659.200000000001</v>
      </c>
      <c r="H126" s="21">
        <v>14467.2</v>
      </c>
      <c r="I126" s="18">
        <v>2019.12</v>
      </c>
      <c r="J126" s="18">
        <v>3863.4879999999998</v>
      </c>
      <c r="K126" s="18" t="s">
        <v>30</v>
      </c>
      <c r="L126" s="18" t="s">
        <v>50</v>
      </c>
      <c r="M126" s="18" t="s">
        <v>24</v>
      </c>
      <c r="N126" s="22">
        <f t="shared" si="6"/>
        <v>0.34325621639438803</v>
      </c>
      <c r="O126" s="22">
        <f t="shared" si="7"/>
        <v>0.54267194814548103</v>
      </c>
      <c r="P126" s="23">
        <f t="shared" si="8"/>
        <v>7.5738206697875399E-2</v>
      </c>
      <c r="Q126" s="23">
        <f t="shared" si="9"/>
        <v>0.139565361645654</v>
      </c>
      <c r="R126" s="22">
        <f t="shared" si="10"/>
        <v>0.91345140457228902</v>
      </c>
      <c r="S126" s="22">
        <f t="shared" si="11"/>
        <v>1.9134514045722899</v>
      </c>
    </row>
    <row r="127" spans="1:19">
      <c r="A127" s="18" t="s">
        <v>166</v>
      </c>
      <c r="B127" s="18" t="s">
        <v>40</v>
      </c>
      <c r="C127" s="18" t="s">
        <v>48</v>
      </c>
      <c r="D127" s="19">
        <v>44948</v>
      </c>
      <c r="E127" s="20">
        <v>45554</v>
      </c>
      <c r="F127" s="21">
        <v>10952</v>
      </c>
      <c r="G127" s="21">
        <v>7019.2</v>
      </c>
      <c r="H127" s="21">
        <v>6078.4</v>
      </c>
      <c r="I127" s="18">
        <v>7170.8</v>
      </c>
      <c r="J127" s="18">
        <v>19898.96</v>
      </c>
      <c r="K127" s="18" t="s">
        <v>43</v>
      </c>
      <c r="L127" s="18" t="s">
        <v>23</v>
      </c>
      <c r="M127" s="18" t="s">
        <v>24</v>
      </c>
      <c r="N127" s="22">
        <f t="shared" si="6"/>
        <v>0.64090577063550003</v>
      </c>
      <c r="O127" s="22">
        <f t="shared" si="7"/>
        <v>0.86596763163893298</v>
      </c>
      <c r="P127" s="23">
        <f t="shared" si="8"/>
        <v>1.02159790289492</v>
      </c>
      <c r="Q127" s="23">
        <f t="shared" si="9"/>
        <v>1.1797183469334001</v>
      </c>
      <c r="R127" s="22">
        <f t="shared" si="10"/>
        <v>1.7749986054554601</v>
      </c>
      <c r="S127" s="22">
        <f t="shared" si="11"/>
        <v>2.7749986054554601</v>
      </c>
    </row>
    <row r="128" spans="1:19">
      <c r="A128" s="18" t="s">
        <v>167</v>
      </c>
      <c r="B128" s="18" t="s">
        <v>40</v>
      </c>
      <c r="C128" s="18" t="s">
        <v>29</v>
      </c>
      <c r="D128" s="19">
        <v>44841</v>
      </c>
      <c r="E128" s="20">
        <v>45442</v>
      </c>
      <c r="F128" s="21">
        <v>10664</v>
      </c>
      <c r="G128" s="21">
        <v>5555.2</v>
      </c>
      <c r="H128" s="21">
        <v>2603.1999999999998</v>
      </c>
      <c r="I128" s="18">
        <v>4310.0479999999998</v>
      </c>
      <c r="J128" s="18">
        <v>12820.784</v>
      </c>
      <c r="K128" s="18" t="s">
        <v>22</v>
      </c>
      <c r="L128" s="18" t="s">
        <v>31</v>
      </c>
      <c r="M128" s="18" t="s">
        <v>24</v>
      </c>
      <c r="N128" s="22">
        <f t="shared" si="6"/>
        <v>0.52093023255813997</v>
      </c>
      <c r="O128" s="22">
        <f t="shared" si="7"/>
        <v>0.46860599078340998</v>
      </c>
      <c r="P128" s="23">
        <f t="shared" si="8"/>
        <v>0.77585829493087599</v>
      </c>
      <c r="Q128" s="23">
        <f t="shared" si="9"/>
        <v>1.6556730178242201</v>
      </c>
      <c r="R128" s="22">
        <f t="shared" si="10"/>
        <v>1.97462673269532</v>
      </c>
      <c r="S128" s="22">
        <f t="shared" si="11"/>
        <v>2.9746267326953202</v>
      </c>
    </row>
    <row r="129" spans="1:19">
      <c r="A129" s="18" t="s">
        <v>168</v>
      </c>
      <c r="B129" s="18" t="s">
        <v>28</v>
      </c>
      <c r="C129" s="18" t="s">
        <v>48</v>
      </c>
      <c r="D129" s="19">
        <v>44916</v>
      </c>
      <c r="E129" s="20">
        <v>45526</v>
      </c>
      <c r="F129" s="21">
        <v>70443.199999999997</v>
      </c>
      <c r="G129" s="21">
        <v>55912</v>
      </c>
      <c r="H129" s="21">
        <v>23091.200000000001</v>
      </c>
      <c r="I129" s="18">
        <v>3044.4319999999998</v>
      </c>
      <c r="J129" s="18">
        <v>9953.616</v>
      </c>
      <c r="K129" s="18" t="s">
        <v>38</v>
      </c>
      <c r="L129" s="18" t="s">
        <v>50</v>
      </c>
      <c r="M129" s="18" t="s">
        <v>24</v>
      </c>
      <c r="N129" s="22">
        <f t="shared" si="6"/>
        <v>0.79371749153928295</v>
      </c>
      <c r="O129" s="22">
        <f t="shared" si="7"/>
        <v>0.41299184432679897</v>
      </c>
      <c r="P129" s="23">
        <f t="shared" si="8"/>
        <v>5.4450422091858602E-2</v>
      </c>
      <c r="Q129" s="23">
        <f t="shared" si="9"/>
        <v>0.13184381929046601</v>
      </c>
      <c r="R129" s="22">
        <f t="shared" si="10"/>
        <v>2.2694492765809802</v>
      </c>
      <c r="S129" s="22">
        <f t="shared" si="11"/>
        <v>3.2694492765809802</v>
      </c>
    </row>
    <row r="130" spans="1:19">
      <c r="A130" s="18" t="s">
        <v>169</v>
      </c>
      <c r="B130" s="18" t="s">
        <v>40</v>
      </c>
      <c r="C130" s="18" t="s">
        <v>21</v>
      </c>
      <c r="D130" s="19">
        <v>44979</v>
      </c>
      <c r="E130" s="20">
        <v>45586</v>
      </c>
      <c r="F130" s="21">
        <v>68305.600000000006</v>
      </c>
      <c r="G130" s="21">
        <v>64881.599999999999</v>
      </c>
      <c r="H130" s="21">
        <v>63155.199999999997</v>
      </c>
      <c r="I130" s="18">
        <v>812.57600000000002</v>
      </c>
      <c r="J130" s="18">
        <v>2677.36</v>
      </c>
      <c r="K130" s="18" t="s">
        <v>65</v>
      </c>
      <c r="L130" s="18" t="s">
        <v>35</v>
      </c>
      <c r="M130" s="18" t="s">
        <v>24</v>
      </c>
      <c r="N130" s="22">
        <f t="shared" ref="N130:N193" si="12">G130/F130</f>
        <v>0.94987233843198804</v>
      </c>
      <c r="O130" s="22">
        <f t="shared" ref="O130:O193" si="13">H130/G130</f>
        <v>0.97339153165150105</v>
      </c>
      <c r="P130" s="23">
        <f t="shared" ref="P130:P193" si="14">I130/G130</f>
        <v>1.2523982145939701E-2</v>
      </c>
      <c r="Q130" s="23">
        <f t="shared" ref="Q130:Q193" si="15">I130/H130</f>
        <v>1.28663356303202E-2</v>
      </c>
      <c r="R130" s="22">
        <f t="shared" ref="R130:R193" si="16">(J130-I130)/I130</f>
        <v>2.2949041074311798</v>
      </c>
      <c r="S130" s="22">
        <f t="shared" ref="S130:S193" si="17">J130/I130</f>
        <v>3.2949041074311798</v>
      </c>
    </row>
    <row r="131" spans="1:19">
      <c r="A131" s="18" t="s">
        <v>170</v>
      </c>
      <c r="B131" s="18" t="s">
        <v>28</v>
      </c>
      <c r="C131" s="18" t="s">
        <v>29</v>
      </c>
      <c r="D131" s="19">
        <v>44955</v>
      </c>
      <c r="E131" s="20">
        <v>45571</v>
      </c>
      <c r="F131" s="21">
        <v>41916.800000000003</v>
      </c>
      <c r="G131" s="21">
        <v>23310.400000000001</v>
      </c>
      <c r="H131" s="21">
        <v>3732.8</v>
      </c>
      <c r="I131" s="18">
        <v>5977.8239999999996</v>
      </c>
      <c r="J131" s="18">
        <v>21368.400000000001</v>
      </c>
      <c r="K131" s="18" t="s">
        <v>65</v>
      </c>
      <c r="L131" s="18" t="s">
        <v>35</v>
      </c>
      <c r="M131" s="18" t="s">
        <v>32</v>
      </c>
      <c r="N131" s="22">
        <f t="shared" si="12"/>
        <v>0.55611115352316998</v>
      </c>
      <c r="O131" s="22">
        <f t="shared" si="13"/>
        <v>0.160134532225959</v>
      </c>
      <c r="P131" s="23">
        <f t="shared" si="14"/>
        <v>0.25644450545679198</v>
      </c>
      <c r="Q131" s="23">
        <f t="shared" si="15"/>
        <v>1.6014316330904399</v>
      </c>
      <c r="R131" s="22">
        <f t="shared" si="16"/>
        <v>2.5746117650837501</v>
      </c>
      <c r="S131" s="22">
        <f t="shared" si="17"/>
        <v>3.5746117650837501</v>
      </c>
    </row>
    <row r="132" spans="1:19">
      <c r="A132" s="18" t="s">
        <v>171</v>
      </c>
      <c r="B132" s="18" t="s">
        <v>47</v>
      </c>
      <c r="C132" s="18" t="s">
        <v>41</v>
      </c>
      <c r="D132" s="19">
        <v>44786</v>
      </c>
      <c r="E132" s="20">
        <v>45387</v>
      </c>
      <c r="F132" s="21">
        <v>33492.800000000003</v>
      </c>
      <c r="G132" s="21">
        <v>17564.8</v>
      </c>
      <c r="H132" s="21">
        <v>12366.4</v>
      </c>
      <c r="I132" s="18">
        <v>763.98400000000004</v>
      </c>
      <c r="J132" s="18">
        <v>1662.288</v>
      </c>
      <c r="K132" s="18" t="s">
        <v>43</v>
      </c>
      <c r="L132" s="18" t="s">
        <v>44</v>
      </c>
      <c r="M132" s="18" t="s">
        <v>32</v>
      </c>
      <c r="N132" s="22">
        <f t="shared" si="12"/>
        <v>0.52443510246978498</v>
      </c>
      <c r="O132" s="22">
        <f t="shared" si="13"/>
        <v>0.70404445254144699</v>
      </c>
      <c r="P132" s="23">
        <f t="shared" si="14"/>
        <v>4.3495172162506798E-2</v>
      </c>
      <c r="Q132" s="23">
        <f t="shared" si="15"/>
        <v>6.1779014102729998E-2</v>
      </c>
      <c r="R132" s="22">
        <f t="shared" si="16"/>
        <v>1.17581520031833</v>
      </c>
      <c r="S132" s="22">
        <f t="shared" si="17"/>
        <v>2.17581520031833</v>
      </c>
    </row>
    <row r="133" spans="1:19">
      <c r="A133" s="18" t="s">
        <v>172</v>
      </c>
      <c r="B133" s="18" t="s">
        <v>47</v>
      </c>
      <c r="C133" s="18" t="s">
        <v>21</v>
      </c>
      <c r="D133" s="19">
        <v>44958</v>
      </c>
      <c r="E133" s="20">
        <v>45560</v>
      </c>
      <c r="F133" s="21">
        <v>35904</v>
      </c>
      <c r="G133" s="21">
        <v>8403.2000000000007</v>
      </c>
      <c r="H133" s="21">
        <v>4416</v>
      </c>
      <c r="I133" s="18">
        <v>2053.5839999999998</v>
      </c>
      <c r="J133" s="18">
        <v>5069.8879999999999</v>
      </c>
      <c r="K133" s="18" t="s">
        <v>30</v>
      </c>
      <c r="L133" s="18" t="s">
        <v>50</v>
      </c>
      <c r="M133" s="18" t="s">
        <v>32</v>
      </c>
      <c r="N133" s="22">
        <f t="shared" si="12"/>
        <v>0.23404634581105199</v>
      </c>
      <c r="O133" s="22">
        <f t="shared" si="13"/>
        <v>0.52551408987052595</v>
      </c>
      <c r="P133" s="23">
        <f t="shared" si="14"/>
        <v>0.24438118811881199</v>
      </c>
      <c r="Q133" s="23">
        <f t="shared" si="15"/>
        <v>0.46503260869565199</v>
      </c>
      <c r="R133" s="22">
        <f t="shared" si="16"/>
        <v>1.4687999127379301</v>
      </c>
      <c r="S133" s="22">
        <f t="shared" si="17"/>
        <v>2.4687999127379299</v>
      </c>
    </row>
    <row r="134" spans="1:19">
      <c r="A134" s="18" t="s">
        <v>173</v>
      </c>
      <c r="B134" s="18" t="s">
        <v>26</v>
      </c>
      <c r="C134" s="18" t="s">
        <v>21</v>
      </c>
      <c r="D134" s="19">
        <v>44706</v>
      </c>
      <c r="E134" s="20">
        <v>45325</v>
      </c>
      <c r="F134" s="21">
        <v>77288</v>
      </c>
      <c r="G134" s="21">
        <v>66678.399999999994</v>
      </c>
      <c r="H134" s="21">
        <v>64001.599999999999</v>
      </c>
      <c r="I134" s="18">
        <v>3973.9839999999999</v>
      </c>
      <c r="J134" s="18">
        <v>15061.84</v>
      </c>
      <c r="K134" s="18" t="s">
        <v>38</v>
      </c>
      <c r="L134" s="18" t="s">
        <v>23</v>
      </c>
      <c r="M134" s="18" t="s">
        <v>32</v>
      </c>
      <c r="N134" s="22">
        <f t="shared" si="12"/>
        <v>0.86272642583583503</v>
      </c>
      <c r="O134" s="22">
        <f t="shared" si="13"/>
        <v>0.95985506550847099</v>
      </c>
      <c r="P134" s="23">
        <f t="shared" si="14"/>
        <v>5.9599270528386997E-2</v>
      </c>
      <c r="Q134" s="23">
        <f t="shared" si="15"/>
        <v>6.20919477013075E-2</v>
      </c>
      <c r="R134" s="22">
        <f t="shared" si="16"/>
        <v>2.7901108811711399</v>
      </c>
      <c r="S134" s="22">
        <f t="shared" si="17"/>
        <v>3.7901108811711399</v>
      </c>
    </row>
    <row r="135" spans="1:19">
      <c r="A135" s="18" t="s">
        <v>174</v>
      </c>
      <c r="B135" s="18" t="s">
        <v>20</v>
      </c>
      <c r="C135" s="18" t="s">
        <v>29</v>
      </c>
      <c r="D135" s="19">
        <v>44990</v>
      </c>
      <c r="E135" s="20">
        <v>45611</v>
      </c>
      <c r="F135" s="21">
        <v>18916.8</v>
      </c>
      <c r="G135" s="21">
        <v>8966.4</v>
      </c>
      <c r="H135" s="21">
        <v>8235.2000000000007</v>
      </c>
      <c r="I135" s="18">
        <v>961.79200000000003</v>
      </c>
      <c r="J135" s="18">
        <v>2959.3919999999998</v>
      </c>
      <c r="K135" s="18" t="s">
        <v>22</v>
      </c>
      <c r="L135" s="18" t="s">
        <v>50</v>
      </c>
      <c r="M135" s="18" t="s">
        <v>32</v>
      </c>
      <c r="N135" s="22">
        <f t="shared" si="12"/>
        <v>0.47399137274803299</v>
      </c>
      <c r="O135" s="22">
        <f t="shared" si="13"/>
        <v>0.91845110635260496</v>
      </c>
      <c r="P135" s="23">
        <f t="shared" si="14"/>
        <v>0.10726623840114199</v>
      </c>
      <c r="Q135" s="23">
        <f t="shared" si="15"/>
        <v>0.11679036331843801</v>
      </c>
      <c r="R135" s="22">
        <f t="shared" si="16"/>
        <v>2.0769563481501199</v>
      </c>
      <c r="S135" s="22">
        <f t="shared" si="17"/>
        <v>3.0769563481501199</v>
      </c>
    </row>
    <row r="136" spans="1:19">
      <c r="A136" s="18" t="s">
        <v>175</v>
      </c>
      <c r="B136" s="18" t="s">
        <v>28</v>
      </c>
      <c r="C136" s="18" t="s">
        <v>48</v>
      </c>
      <c r="D136" s="19">
        <v>44708</v>
      </c>
      <c r="E136" s="20">
        <v>45337</v>
      </c>
      <c r="F136" s="21">
        <v>44568</v>
      </c>
      <c r="G136" s="21">
        <v>15536</v>
      </c>
      <c r="H136" s="21">
        <v>6870.4</v>
      </c>
      <c r="I136" s="18">
        <v>1108.72</v>
      </c>
      <c r="J136" s="18">
        <v>2749.3440000000001</v>
      </c>
      <c r="K136" s="18" t="s">
        <v>38</v>
      </c>
      <c r="L136" s="18" t="s">
        <v>35</v>
      </c>
      <c r="M136" s="18" t="s">
        <v>24</v>
      </c>
      <c r="N136" s="22">
        <f t="shared" si="12"/>
        <v>0.34859091725004498</v>
      </c>
      <c r="O136" s="22">
        <f t="shared" si="13"/>
        <v>0.44222451081359399</v>
      </c>
      <c r="P136" s="23">
        <f t="shared" si="14"/>
        <v>7.1364572605561297E-2</v>
      </c>
      <c r="Q136" s="23">
        <f t="shared" si="15"/>
        <v>0.16137633907778301</v>
      </c>
      <c r="R136" s="22">
        <f t="shared" si="16"/>
        <v>1.47974601342088</v>
      </c>
      <c r="S136" s="22">
        <f t="shared" si="17"/>
        <v>2.47974601342088</v>
      </c>
    </row>
    <row r="137" spans="1:19">
      <c r="A137" s="18" t="s">
        <v>176</v>
      </c>
      <c r="B137" s="18" t="s">
        <v>47</v>
      </c>
      <c r="C137" s="18" t="s">
        <v>48</v>
      </c>
      <c r="D137" s="19">
        <v>44837</v>
      </c>
      <c r="E137" s="20">
        <v>45447</v>
      </c>
      <c r="F137" s="21">
        <v>45704</v>
      </c>
      <c r="G137" s="21">
        <v>24408</v>
      </c>
      <c r="H137" s="21">
        <v>4739.2</v>
      </c>
      <c r="I137" s="18">
        <v>4982.1440000000002</v>
      </c>
      <c r="J137" s="18">
        <v>13957.168</v>
      </c>
      <c r="K137" s="18" t="s">
        <v>30</v>
      </c>
      <c r="L137" s="18" t="s">
        <v>35</v>
      </c>
      <c r="M137" s="18" t="s">
        <v>24</v>
      </c>
      <c r="N137" s="22">
        <f t="shared" si="12"/>
        <v>0.53404516016103598</v>
      </c>
      <c r="O137" s="22">
        <f t="shared" si="13"/>
        <v>0.194165847263192</v>
      </c>
      <c r="P137" s="23">
        <f t="shared" si="14"/>
        <v>0.204119305145854</v>
      </c>
      <c r="Q137" s="23">
        <f t="shared" si="15"/>
        <v>1.05126266036462</v>
      </c>
      <c r="R137" s="22">
        <f t="shared" si="16"/>
        <v>1.8014380957274601</v>
      </c>
      <c r="S137" s="22">
        <f t="shared" si="17"/>
        <v>2.8014380957274598</v>
      </c>
    </row>
    <row r="138" spans="1:19">
      <c r="A138" s="18" t="s">
        <v>177</v>
      </c>
      <c r="B138" s="18" t="s">
        <v>34</v>
      </c>
      <c r="C138" s="18" t="s">
        <v>48</v>
      </c>
      <c r="D138" s="19">
        <v>44867</v>
      </c>
      <c r="E138" s="20">
        <v>45490</v>
      </c>
      <c r="F138" s="21">
        <v>45432</v>
      </c>
      <c r="G138" s="21">
        <v>22483.200000000001</v>
      </c>
      <c r="H138" s="21">
        <v>9411.2000000000007</v>
      </c>
      <c r="I138" s="18">
        <v>2740.8</v>
      </c>
      <c r="J138" s="18">
        <v>7186.4319999999998</v>
      </c>
      <c r="K138" s="18" t="s">
        <v>43</v>
      </c>
      <c r="L138" s="18" t="s">
        <v>31</v>
      </c>
      <c r="M138" s="18" t="s">
        <v>32</v>
      </c>
      <c r="N138" s="22">
        <f t="shared" si="12"/>
        <v>0.49487585842577902</v>
      </c>
      <c r="O138" s="22">
        <f t="shared" si="13"/>
        <v>0.41858810133788799</v>
      </c>
      <c r="P138" s="23">
        <f t="shared" si="14"/>
        <v>0.121904355251921</v>
      </c>
      <c r="Q138" s="23">
        <f t="shared" si="15"/>
        <v>0.291227473648419</v>
      </c>
      <c r="R138" s="22">
        <f t="shared" si="16"/>
        <v>1.6220198482195001</v>
      </c>
      <c r="S138" s="22">
        <f t="shared" si="17"/>
        <v>2.6220198482194998</v>
      </c>
    </row>
    <row r="139" spans="1:19">
      <c r="A139" s="18" t="s">
        <v>178</v>
      </c>
      <c r="B139" s="18" t="s">
        <v>40</v>
      </c>
      <c r="C139" s="18" t="s">
        <v>21</v>
      </c>
      <c r="D139" s="19">
        <v>44897</v>
      </c>
      <c r="E139" s="20">
        <v>45508</v>
      </c>
      <c r="F139" s="21">
        <v>44907.199999999997</v>
      </c>
      <c r="G139" s="21">
        <v>15875.2</v>
      </c>
      <c r="H139" s="21">
        <v>15052.8</v>
      </c>
      <c r="I139" s="18">
        <v>4118.6400000000003</v>
      </c>
      <c r="J139" s="18">
        <v>12761.6</v>
      </c>
      <c r="K139" s="18" t="s">
        <v>65</v>
      </c>
      <c r="L139" s="18" t="s">
        <v>23</v>
      </c>
      <c r="M139" s="18" t="s">
        <v>32</v>
      </c>
      <c r="N139" s="22">
        <f t="shared" si="12"/>
        <v>0.353511240959134</v>
      </c>
      <c r="O139" s="22">
        <f t="shared" si="13"/>
        <v>0.94819592824027399</v>
      </c>
      <c r="P139" s="23">
        <f t="shared" si="14"/>
        <v>0.25943862124571698</v>
      </c>
      <c r="Q139" s="23">
        <f t="shared" si="15"/>
        <v>0.273612882653061</v>
      </c>
      <c r="R139" s="22">
        <f t="shared" si="16"/>
        <v>2.0984985334964898</v>
      </c>
      <c r="S139" s="22">
        <f t="shared" si="17"/>
        <v>3.0984985334964898</v>
      </c>
    </row>
    <row r="140" spans="1:19">
      <c r="A140" s="18" t="s">
        <v>179</v>
      </c>
      <c r="B140" s="18" t="s">
        <v>20</v>
      </c>
      <c r="C140" s="18" t="s">
        <v>41</v>
      </c>
      <c r="D140" s="19">
        <v>44986</v>
      </c>
      <c r="E140" s="20">
        <v>45613</v>
      </c>
      <c r="F140" s="21">
        <v>72038.399999999994</v>
      </c>
      <c r="G140" s="21">
        <v>25787.200000000001</v>
      </c>
      <c r="H140" s="21">
        <v>9124.7999999999993</v>
      </c>
      <c r="I140" s="18">
        <v>6042.8</v>
      </c>
      <c r="J140" s="18">
        <v>7371.5680000000002</v>
      </c>
      <c r="K140" s="18" t="s">
        <v>38</v>
      </c>
      <c r="L140" s="18" t="s">
        <v>35</v>
      </c>
      <c r="M140" s="18" t="s">
        <v>24</v>
      </c>
      <c r="N140" s="22">
        <f t="shared" si="12"/>
        <v>0.35796464108031301</v>
      </c>
      <c r="O140" s="22">
        <f t="shared" si="13"/>
        <v>0.35384997207917102</v>
      </c>
      <c r="P140" s="23">
        <f t="shared" si="14"/>
        <v>0.234333312651238</v>
      </c>
      <c r="Q140" s="23">
        <f t="shared" si="15"/>
        <v>0.66223917236542196</v>
      </c>
      <c r="R140" s="22">
        <f t="shared" si="16"/>
        <v>0.21989276494340401</v>
      </c>
      <c r="S140" s="22">
        <f t="shared" si="17"/>
        <v>1.2198927649433999</v>
      </c>
    </row>
    <row r="141" spans="1:19">
      <c r="A141" s="18" t="s">
        <v>180</v>
      </c>
      <c r="B141" s="18" t="s">
        <v>47</v>
      </c>
      <c r="C141" s="18" t="s">
        <v>29</v>
      </c>
      <c r="D141" s="19">
        <v>44753</v>
      </c>
      <c r="E141" s="20">
        <v>45356</v>
      </c>
      <c r="F141" s="21">
        <v>22572.799999999999</v>
      </c>
      <c r="G141" s="21">
        <v>3147.2</v>
      </c>
      <c r="H141" s="21">
        <v>201.6</v>
      </c>
      <c r="I141" s="18">
        <v>7876.3040000000001</v>
      </c>
      <c r="J141" s="18">
        <v>29370.080000000002</v>
      </c>
      <c r="K141" s="18" t="s">
        <v>38</v>
      </c>
      <c r="L141" s="18" t="s">
        <v>23</v>
      </c>
      <c r="M141" s="18" t="s">
        <v>32</v>
      </c>
      <c r="N141" s="22">
        <f t="shared" si="12"/>
        <v>0.13942444003402299</v>
      </c>
      <c r="O141" s="22">
        <f t="shared" si="13"/>
        <v>6.4056939501779403E-2</v>
      </c>
      <c r="P141" s="23">
        <f t="shared" si="14"/>
        <v>2.5026385358413799</v>
      </c>
      <c r="Q141" s="23">
        <f t="shared" si="15"/>
        <v>39.068968253968301</v>
      </c>
      <c r="R141" s="22">
        <f t="shared" si="16"/>
        <v>2.7289165070317201</v>
      </c>
      <c r="S141" s="22">
        <f t="shared" si="17"/>
        <v>3.7289165070317201</v>
      </c>
    </row>
    <row r="142" spans="1:19">
      <c r="A142" s="18" t="s">
        <v>181</v>
      </c>
      <c r="B142" s="18" t="s">
        <v>26</v>
      </c>
      <c r="C142" s="18" t="s">
        <v>29</v>
      </c>
      <c r="D142" s="19">
        <v>44896</v>
      </c>
      <c r="E142" s="20">
        <v>45526</v>
      </c>
      <c r="F142" s="21">
        <v>14926.4</v>
      </c>
      <c r="G142" s="21">
        <v>3008</v>
      </c>
      <c r="H142" s="21">
        <v>2430.4</v>
      </c>
      <c r="I142" s="18">
        <v>6530.1120000000001</v>
      </c>
      <c r="J142" s="18">
        <v>17662.687999999998</v>
      </c>
      <c r="K142" s="18" t="s">
        <v>22</v>
      </c>
      <c r="L142" s="18" t="s">
        <v>50</v>
      </c>
      <c r="M142" s="18" t="s">
        <v>32</v>
      </c>
      <c r="N142" s="22">
        <f t="shared" si="12"/>
        <v>0.20152213527709301</v>
      </c>
      <c r="O142" s="22">
        <f t="shared" si="13"/>
        <v>0.80797872340425503</v>
      </c>
      <c r="P142" s="23">
        <f t="shared" si="14"/>
        <v>2.1709148936170202</v>
      </c>
      <c r="Q142" s="23">
        <f t="shared" si="15"/>
        <v>2.6868466096115902</v>
      </c>
      <c r="R142" s="22">
        <f t="shared" si="16"/>
        <v>1.7048062881616699</v>
      </c>
      <c r="S142" s="22">
        <f t="shared" si="17"/>
        <v>2.7048062881616701</v>
      </c>
    </row>
    <row r="143" spans="1:19">
      <c r="A143" s="18" t="s">
        <v>182</v>
      </c>
      <c r="B143" s="18" t="s">
        <v>20</v>
      </c>
      <c r="C143" s="18" t="s">
        <v>21</v>
      </c>
      <c r="D143" s="19">
        <v>44848</v>
      </c>
      <c r="E143" s="20">
        <v>45459</v>
      </c>
      <c r="F143" s="21">
        <v>69296</v>
      </c>
      <c r="G143" s="21">
        <v>52046.400000000001</v>
      </c>
      <c r="H143" s="21">
        <v>20448</v>
      </c>
      <c r="I143" s="18">
        <v>7946.08</v>
      </c>
      <c r="J143" s="18">
        <v>18811.984</v>
      </c>
      <c r="K143" s="18" t="s">
        <v>65</v>
      </c>
      <c r="L143" s="18" t="s">
        <v>35</v>
      </c>
      <c r="M143" s="18" t="s">
        <v>32</v>
      </c>
      <c r="N143" s="22">
        <f t="shared" si="12"/>
        <v>0.75107365504502399</v>
      </c>
      <c r="O143" s="22">
        <f t="shared" si="13"/>
        <v>0.39288019920686201</v>
      </c>
      <c r="P143" s="23">
        <f t="shared" si="14"/>
        <v>0.15267299947738899</v>
      </c>
      <c r="Q143" s="23">
        <f t="shared" si="15"/>
        <v>0.38859937402190903</v>
      </c>
      <c r="R143" s="22">
        <f t="shared" si="16"/>
        <v>1.3674546443026001</v>
      </c>
      <c r="S143" s="22">
        <f t="shared" si="17"/>
        <v>2.3674546443026001</v>
      </c>
    </row>
    <row r="144" spans="1:19">
      <c r="A144" s="18" t="s">
        <v>183</v>
      </c>
      <c r="B144" s="18" t="s">
        <v>47</v>
      </c>
      <c r="C144" s="18" t="s">
        <v>29</v>
      </c>
      <c r="D144" s="19">
        <v>44740</v>
      </c>
      <c r="E144" s="20">
        <v>45361</v>
      </c>
      <c r="F144" s="21">
        <v>9659.2000000000007</v>
      </c>
      <c r="G144" s="21">
        <v>6993.6</v>
      </c>
      <c r="H144" s="21">
        <v>5774.4</v>
      </c>
      <c r="I144" s="18">
        <v>4163.6959999999999</v>
      </c>
      <c r="J144" s="18">
        <v>9834.9279999999999</v>
      </c>
      <c r="K144" s="18" t="s">
        <v>22</v>
      </c>
      <c r="L144" s="18" t="s">
        <v>50</v>
      </c>
      <c r="M144" s="18" t="s">
        <v>24</v>
      </c>
      <c r="N144" s="22">
        <f t="shared" si="12"/>
        <v>0.72403511677985799</v>
      </c>
      <c r="O144" s="22">
        <f t="shared" si="13"/>
        <v>0.82566918325326</v>
      </c>
      <c r="P144" s="23">
        <f t="shared" si="14"/>
        <v>0.59535804163806905</v>
      </c>
      <c r="Q144" s="23">
        <f t="shared" si="15"/>
        <v>0.72106123579938997</v>
      </c>
      <c r="R144" s="22">
        <f t="shared" si="16"/>
        <v>1.3620667791308501</v>
      </c>
      <c r="S144" s="22">
        <f t="shared" si="17"/>
        <v>2.3620667791308501</v>
      </c>
    </row>
    <row r="145" spans="1:19">
      <c r="A145" s="18" t="s">
        <v>184</v>
      </c>
      <c r="B145" s="18" t="s">
        <v>47</v>
      </c>
      <c r="C145" s="18" t="s">
        <v>29</v>
      </c>
      <c r="D145" s="19">
        <v>44900</v>
      </c>
      <c r="E145" s="20">
        <v>45506</v>
      </c>
      <c r="F145" s="21">
        <v>18099.2</v>
      </c>
      <c r="G145" s="21">
        <v>17811.2</v>
      </c>
      <c r="H145" s="21">
        <v>14377.6</v>
      </c>
      <c r="I145" s="18">
        <v>6695.4560000000001</v>
      </c>
      <c r="J145" s="18">
        <v>18014.576000000001</v>
      </c>
      <c r="K145" s="18" t="s">
        <v>30</v>
      </c>
      <c r="L145" s="18" t="s">
        <v>23</v>
      </c>
      <c r="M145" s="18" t="s">
        <v>24</v>
      </c>
      <c r="N145" s="22">
        <f t="shared" si="12"/>
        <v>0.98408769448373401</v>
      </c>
      <c r="O145" s="22">
        <f t="shared" si="13"/>
        <v>0.80722242184692805</v>
      </c>
      <c r="P145" s="23">
        <f t="shared" si="14"/>
        <v>0.37591268415379098</v>
      </c>
      <c r="Q145" s="23">
        <f t="shared" si="15"/>
        <v>0.46568662363676799</v>
      </c>
      <c r="R145" s="22">
        <f t="shared" si="16"/>
        <v>1.69056745350877</v>
      </c>
      <c r="S145" s="22">
        <f t="shared" si="17"/>
        <v>2.6905674535087698</v>
      </c>
    </row>
    <row r="146" spans="1:19">
      <c r="A146" s="18" t="s">
        <v>185</v>
      </c>
      <c r="B146" s="18" t="s">
        <v>40</v>
      </c>
      <c r="C146" s="18" t="s">
        <v>21</v>
      </c>
      <c r="D146" s="19">
        <v>44731</v>
      </c>
      <c r="E146" s="20">
        <v>45353</v>
      </c>
      <c r="F146" s="21">
        <v>30307.200000000001</v>
      </c>
      <c r="G146" s="21">
        <v>18788.8</v>
      </c>
      <c r="H146" s="21">
        <v>2995.2</v>
      </c>
      <c r="I146" s="18">
        <v>4736.7359999999999</v>
      </c>
      <c r="J146" s="18">
        <v>17719.344000000001</v>
      </c>
      <c r="K146" s="18" t="s">
        <v>65</v>
      </c>
      <c r="L146" s="18" t="s">
        <v>44</v>
      </c>
      <c r="M146" s="18" t="s">
        <v>24</v>
      </c>
      <c r="N146" s="22">
        <f t="shared" si="12"/>
        <v>0.619945095554852</v>
      </c>
      <c r="O146" s="22">
        <f t="shared" si="13"/>
        <v>0.159414119049647</v>
      </c>
      <c r="P146" s="23">
        <f t="shared" si="14"/>
        <v>0.25210423230860901</v>
      </c>
      <c r="Q146" s="23">
        <f t="shared" si="15"/>
        <v>1.5814423076923101</v>
      </c>
      <c r="R146" s="22">
        <f t="shared" si="16"/>
        <v>2.7408341946859598</v>
      </c>
      <c r="S146" s="22">
        <f t="shared" si="17"/>
        <v>3.7408341946859598</v>
      </c>
    </row>
    <row r="147" spans="1:19">
      <c r="A147" s="18" t="s">
        <v>186</v>
      </c>
      <c r="B147" s="18" t="s">
        <v>26</v>
      </c>
      <c r="C147" s="18" t="s">
        <v>41</v>
      </c>
      <c r="D147" s="19">
        <v>44718</v>
      </c>
      <c r="E147" s="20">
        <v>45333</v>
      </c>
      <c r="F147" s="21">
        <v>30860.799999999999</v>
      </c>
      <c r="G147" s="21">
        <v>13572.8</v>
      </c>
      <c r="H147" s="21">
        <v>9411.2000000000007</v>
      </c>
      <c r="I147" s="18">
        <v>5182.3519999999999</v>
      </c>
      <c r="J147" s="18">
        <v>13372.4</v>
      </c>
      <c r="K147" s="18" t="s">
        <v>22</v>
      </c>
      <c r="L147" s="18" t="s">
        <v>35</v>
      </c>
      <c r="M147" s="18" t="s">
        <v>32</v>
      </c>
      <c r="N147" s="22">
        <f t="shared" si="12"/>
        <v>0.43980713396930698</v>
      </c>
      <c r="O147" s="22">
        <f t="shared" si="13"/>
        <v>0.69338677354709399</v>
      </c>
      <c r="P147" s="23">
        <f t="shared" si="14"/>
        <v>0.38181893198160999</v>
      </c>
      <c r="Q147" s="23">
        <f t="shared" si="15"/>
        <v>0.55065793947636898</v>
      </c>
      <c r="R147" s="22">
        <f t="shared" si="16"/>
        <v>1.58037277282593</v>
      </c>
      <c r="S147" s="22">
        <f t="shared" si="17"/>
        <v>2.58037277282593</v>
      </c>
    </row>
    <row r="148" spans="1:19">
      <c r="A148" s="18" t="s">
        <v>187</v>
      </c>
      <c r="B148" s="18" t="s">
        <v>40</v>
      </c>
      <c r="C148" s="18" t="s">
        <v>29</v>
      </c>
      <c r="D148" s="19">
        <v>44765</v>
      </c>
      <c r="E148" s="20">
        <v>45369</v>
      </c>
      <c r="F148" s="21">
        <v>64078.400000000001</v>
      </c>
      <c r="G148" s="21">
        <v>11499.2</v>
      </c>
      <c r="H148" s="21">
        <v>6772.8</v>
      </c>
      <c r="I148" s="18">
        <v>6032.4639999999999</v>
      </c>
      <c r="J148" s="18">
        <v>14495.456</v>
      </c>
      <c r="K148" s="18" t="s">
        <v>30</v>
      </c>
      <c r="L148" s="18" t="s">
        <v>44</v>
      </c>
      <c r="M148" s="18" t="s">
        <v>24</v>
      </c>
      <c r="N148" s="22">
        <f t="shared" si="12"/>
        <v>0.17945516741991099</v>
      </c>
      <c r="O148" s="22">
        <f t="shared" si="13"/>
        <v>0.58898010296368397</v>
      </c>
      <c r="P148" s="23">
        <f t="shared" si="14"/>
        <v>0.52459858077083599</v>
      </c>
      <c r="Q148" s="23">
        <f t="shared" si="15"/>
        <v>0.89068981809591297</v>
      </c>
      <c r="R148" s="22">
        <f t="shared" si="16"/>
        <v>1.40290799911943</v>
      </c>
      <c r="S148" s="22">
        <f t="shared" si="17"/>
        <v>2.4029079991194302</v>
      </c>
    </row>
    <row r="149" spans="1:19">
      <c r="A149" s="18" t="s">
        <v>188</v>
      </c>
      <c r="B149" s="18" t="s">
        <v>26</v>
      </c>
      <c r="C149" s="18" t="s">
        <v>48</v>
      </c>
      <c r="D149" s="19">
        <v>44885</v>
      </c>
      <c r="E149" s="20">
        <v>45514</v>
      </c>
      <c r="F149" s="21">
        <v>78990.399999999994</v>
      </c>
      <c r="G149" s="21">
        <v>31100.799999999999</v>
      </c>
      <c r="H149" s="21">
        <v>26028.799999999999</v>
      </c>
      <c r="I149" s="18">
        <v>1594.624</v>
      </c>
      <c r="J149" s="18">
        <v>5888.96</v>
      </c>
      <c r="K149" s="18" t="s">
        <v>30</v>
      </c>
      <c r="L149" s="18" t="s">
        <v>35</v>
      </c>
      <c r="M149" s="18" t="s">
        <v>32</v>
      </c>
      <c r="N149" s="22">
        <f t="shared" si="12"/>
        <v>0.39372885819036202</v>
      </c>
      <c r="O149" s="22">
        <f t="shared" si="13"/>
        <v>0.83691737833110402</v>
      </c>
      <c r="P149" s="23">
        <f t="shared" si="14"/>
        <v>5.1272764687725098E-2</v>
      </c>
      <c r="Q149" s="23">
        <f t="shared" si="15"/>
        <v>6.1263830833538202E-2</v>
      </c>
      <c r="R149" s="22">
        <f t="shared" si="16"/>
        <v>2.6930085085888602</v>
      </c>
      <c r="S149" s="22">
        <f t="shared" si="17"/>
        <v>3.6930085085888602</v>
      </c>
    </row>
    <row r="150" spans="1:19">
      <c r="A150" s="18" t="s">
        <v>189</v>
      </c>
      <c r="B150" s="18" t="s">
        <v>47</v>
      </c>
      <c r="C150" s="18" t="s">
        <v>48</v>
      </c>
      <c r="D150" s="19">
        <v>44702</v>
      </c>
      <c r="E150" s="20">
        <v>45322</v>
      </c>
      <c r="F150" s="21">
        <v>15185.6</v>
      </c>
      <c r="G150" s="21">
        <v>10249.6</v>
      </c>
      <c r="H150" s="21">
        <v>4742.3999999999996</v>
      </c>
      <c r="I150" s="18">
        <v>307.072</v>
      </c>
      <c r="J150" s="18">
        <v>968.12800000000004</v>
      </c>
      <c r="K150" s="18" t="s">
        <v>38</v>
      </c>
      <c r="L150" s="18" t="s">
        <v>44</v>
      </c>
      <c r="M150" s="18" t="s">
        <v>24</v>
      </c>
      <c r="N150" s="22">
        <f t="shared" si="12"/>
        <v>0.67495522073543401</v>
      </c>
      <c r="O150" s="22">
        <f t="shared" si="13"/>
        <v>0.46269122697471099</v>
      </c>
      <c r="P150" s="23">
        <f t="shared" si="14"/>
        <v>2.99594130502654E-2</v>
      </c>
      <c r="Q150" s="23">
        <f t="shared" si="15"/>
        <v>6.4750337381916295E-2</v>
      </c>
      <c r="R150" s="22">
        <f t="shared" si="16"/>
        <v>2.1527719883284702</v>
      </c>
      <c r="S150" s="22">
        <f t="shared" si="17"/>
        <v>3.1527719883284702</v>
      </c>
    </row>
    <row r="151" spans="1:19">
      <c r="A151" s="18" t="s">
        <v>190</v>
      </c>
      <c r="B151" s="18" t="s">
        <v>40</v>
      </c>
      <c r="C151" s="18" t="s">
        <v>29</v>
      </c>
      <c r="D151" s="19">
        <v>44713</v>
      </c>
      <c r="E151" s="20">
        <v>45335</v>
      </c>
      <c r="F151" s="21">
        <v>11657.6</v>
      </c>
      <c r="G151" s="21">
        <v>9462.4</v>
      </c>
      <c r="H151" s="21">
        <v>5022.3999999999996</v>
      </c>
      <c r="I151" s="18">
        <v>7866.4</v>
      </c>
      <c r="J151" s="18">
        <v>22491.68</v>
      </c>
      <c r="K151" s="18" t="s">
        <v>43</v>
      </c>
      <c r="L151" s="18" t="s">
        <v>31</v>
      </c>
      <c r="M151" s="18" t="s">
        <v>24</v>
      </c>
      <c r="N151" s="22">
        <f t="shared" si="12"/>
        <v>0.81169365907219304</v>
      </c>
      <c r="O151" s="22">
        <f t="shared" si="13"/>
        <v>0.53077443354751397</v>
      </c>
      <c r="P151" s="23">
        <f t="shared" si="14"/>
        <v>0.83133243151843095</v>
      </c>
      <c r="Q151" s="23">
        <f t="shared" si="15"/>
        <v>1.5662631411277499</v>
      </c>
      <c r="R151" s="22">
        <f t="shared" si="16"/>
        <v>1.8592087867385301</v>
      </c>
      <c r="S151" s="22">
        <f t="shared" si="17"/>
        <v>2.8592087867385301</v>
      </c>
    </row>
    <row r="152" spans="1:19">
      <c r="A152" s="18" t="s">
        <v>191</v>
      </c>
      <c r="B152" s="18" t="s">
        <v>40</v>
      </c>
      <c r="C152" s="18" t="s">
        <v>29</v>
      </c>
      <c r="D152" s="19">
        <v>44872</v>
      </c>
      <c r="E152" s="20">
        <v>45499</v>
      </c>
      <c r="F152" s="21">
        <v>9708.7999999999993</v>
      </c>
      <c r="G152" s="21">
        <v>5526.4</v>
      </c>
      <c r="H152" s="21">
        <v>1145.5999999999999</v>
      </c>
      <c r="I152" s="18">
        <v>2893.5360000000001</v>
      </c>
      <c r="J152" s="18">
        <v>7808.8159999999998</v>
      </c>
      <c r="K152" s="18" t="s">
        <v>22</v>
      </c>
      <c r="L152" s="18" t="s">
        <v>44</v>
      </c>
      <c r="M152" s="18" t="s">
        <v>24</v>
      </c>
      <c r="N152" s="22">
        <f t="shared" si="12"/>
        <v>0.56921555702043503</v>
      </c>
      <c r="O152" s="22">
        <f t="shared" si="13"/>
        <v>0.20729588882455099</v>
      </c>
      <c r="P152" s="23">
        <f t="shared" si="14"/>
        <v>0.52358425014475996</v>
      </c>
      <c r="Q152" s="23">
        <f t="shared" si="15"/>
        <v>2.5257821229050301</v>
      </c>
      <c r="R152" s="22">
        <f t="shared" si="16"/>
        <v>1.6987105050706099</v>
      </c>
      <c r="S152" s="22">
        <f t="shared" si="17"/>
        <v>2.6987105050706099</v>
      </c>
    </row>
    <row r="153" spans="1:19">
      <c r="A153" s="18" t="s">
        <v>192</v>
      </c>
      <c r="B153" s="18" t="s">
        <v>47</v>
      </c>
      <c r="C153" s="18" t="s">
        <v>29</v>
      </c>
      <c r="D153" s="19">
        <v>44946</v>
      </c>
      <c r="E153" s="20">
        <v>45571</v>
      </c>
      <c r="F153" s="21">
        <v>50315.199999999997</v>
      </c>
      <c r="G153" s="21">
        <v>4392</v>
      </c>
      <c r="H153" s="21">
        <v>2020.8</v>
      </c>
      <c r="I153" s="18">
        <v>6590.2879999999996</v>
      </c>
      <c r="J153" s="18">
        <v>13848.864</v>
      </c>
      <c r="K153" s="18" t="s">
        <v>43</v>
      </c>
      <c r="L153" s="18" t="s">
        <v>50</v>
      </c>
      <c r="M153" s="18" t="s">
        <v>24</v>
      </c>
      <c r="N153" s="22">
        <f t="shared" si="12"/>
        <v>8.7289725570006693E-2</v>
      </c>
      <c r="O153" s="22">
        <f t="shared" si="13"/>
        <v>0.46010928961748598</v>
      </c>
      <c r="P153" s="23">
        <f t="shared" si="14"/>
        <v>1.5005209471766801</v>
      </c>
      <c r="Q153" s="23">
        <f t="shared" si="15"/>
        <v>3.26122723673793</v>
      </c>
      <c r="R153" s="22">
        <f t="shared" si="16"/>
        <v>1.1014049765351701</v>
      </c>
      <c r="S153" s="22">
        <f t="shared" si="17"/>
        <v>2.1014049765351701</v>
      </c>
    </row>
    <row r="154" spans="1:19">
      <c r="A154" s="18" t="s">
        <v>193</v>
      </c>
      <c r="B154" s="18" t="s">
        <v>47</v>
      </c>
      <c r="C154" s="18" t="s">
        <v>41</v>
      </c>
      <c r="D154" s="19">
        <v>44789</v>
      </c>
      <c r="E154" s="20">
        <v>45404</v>
      </c>
      <c r="F154" s="21">
        <v>8740.7999999999993</v>
      </c>
      <c r="G154" s="21">
        <v>777.6</v>
      </c>
      <c r="H154" s="21">
        <v>182.4</v>
      </c>
      <c r="I154" s="18">
        <v>1752.5440000000001</v>
      </c>
      <c r="J154" s="18">
        <v>3926.6880000000001</v>
      </c>
      <c r="K154" s="18" t="s">
        <v>38</v>
      </c>
      <c r="L154" s="18" t="s">
        <v>31</v>
      </c>
      <c r="M154" s="18" t="s">
        <v>24</v>
      </c>
      <c r="N154" s="22">
        <f t="shared" si="12"/>
        <v>8.8962108731466205E-2</v>
      </c>
      <c r="O154" s="22">
        <f t="shared" si="13"/>
        <v>0.234567901234568</v>
      </c>
      <c r="P154" s="23">
        <f t="shared" si="14"/>
        <v>2.2537860082304499</v>
      </c>
      <c r="Q154" s="23">
        <f t="shared" si="15"/>
        <v>9.6082456140350896</v>
      </c>
      <c r="R154" s="22">
        <f t="shared" si="16"/>
        <v>1.2405645735570701</v>
      </c>
      <c r="S154" s="22">
        <f t="shared" si="17"/>
        <v>2.2405645735570698</v>
      </c>
    </row>
    <row r="155" spans="1:19">
      <c r="A155" s="18" t="s">
        <v>194</v>
      </c>
      <c r="B155" s="18" t="s">
        <v>34</v>
      </c>
      <c r="C155" s="18" t="s">
        <v>48</v>
      </c>
      <c r="D155" s="19">
        <v>44989</v>
      </c>
      <c r="E155" s="20">
        <v>45605</v>
      </c>
      <c r="F155" s="21">
        <v>47673.599999999999</v>
      </c>
      <c r="G155" s="21">
        <v>36460.800000000003</v>
      </c>
      <c r="H155" s="21">
        <v>28408</v>
      </c>
      <c r="I155" s="18">
        <v>7390.5280000000002</v>
      </c>
      <c r="J155" s="18">
        <v>24939.151999999998</v>
      </c>
      <c r="K155" s="18" t="s">
        <v>65</v>
      </c>
      <c r="L155" s="18" t="s">
        <v>44</v>
      </c>
      <c r="M155" s="18" t="s">
        <v>32</v>
      </c>
      <c r="N155" s="22">
        <f t="shared" si="12"/>
        <v>0.76480064438179596</v>
      </c>
      <c r="O155" s="22">
        <f t="shared" si="13"/>
        <v>0.77913814288221905</v>
      </c>
      <c r="P155" s="23">
        <f t="shared" si="14"/>
        <v>0.20269791118132299</v>
      </c>
      <c r="Q155" s="23">
        <f t="shared" si="15"/>
        <v>0.26015657561250399</v>
      </c>
      <c r="R155" s="22">
        <f t="shared" si="16"/>
        <v>2.3744750036803901</v>
      </c>
      <c r="S155" s="22">
        <f t="shared" si="17"/>
        <v>3.3744750036803901</v>
      </c>
    </row>
    <row r="156" spans="1:19">
      <c r="A156" s="18" t="s">
        <v>195</v>
      </c>
      <c r="B156" s="18" t="s">
        <v>20</v>
      </c>
      <c r="C156" s="18" t="s">
        <v>29</v>
      </c>
      <c r="D156" s="19">
        <v>44957</v>
      </c>
      <c r="E156" s="20">
        <v>45562</v>
      </c>
      <c r="F156" s="21">
        <v>36208</v>
      </c>
      <c r="G156" s="21">
        <v>340.8</v>
      </c>
      <c r="H156" s="21">
        <v>248</v>
      </c>
      <c r="I156" s="18">
        <v>4131.0879999999997</v>
      </c>
      <c r="J156" s="18">
        <v>6644.9440000000004</v>
      </c>
      <c r="K156" s="18" t="s">
        <v>38</v>
      </c>
      <c r="L156" s="18" t="s">
        <v>50</v>
      </c>
      <c r="M156" s="18" t="s">
        <v>24</v>
      </c>
      <c r="N156" s="22">
        <f t="shared" si="12"/>
        <v>9.4122845779938107E-3</v>
      </c>
      <c r="O156" s="22">
        <f t="shared" si="13"/>
        <v>0.72769953051643199</v>
      </c>
      <c r="P156" s="23">
        <f t="shared" si="14"/>
        <v>12.121737089201901</v>
      </c>
      <c r="Q156" s="23">
        <f t="shared" si="15"/>
        <v>16.6576129032258</v>
      </c>
      <c r="R156" s="22">
        <f t="shared" si="16"/>
        <v>0.60852153234208495</v>
      </c>
      <c r="S156" s="22">
        <f t="shared" si="17"/>
        <v>1.6085215323420901</v>
      </c>
    </row>
    <row r="157" spans="1:19">
      <c r="A157" s="18" t="s">
        <v>196</v>
      </c>
      <c r="B157" s="18" t="s">
        <v>28</v>
      </c>
      <c r="C157" s="18" t="s">
        <v>21</v>
      </c>
      <c r="D157" s="19">
        <v>44872</v>
      </c>
      <c r="E157" s="20">
        <v>45500</v>
      </c>
      <c r="F157" s="21">
        <v>79163.199999999997</v>
      </c>
      <c r="G157" s="21">
        <v>49824</v>
      </c>
      <c r="H157" s="21">
        <v>21558.400000000001</v>
      </c>
      <c r="I157" s="18">
        <v>1939.0239999999999</v>
      </c>
      <c r="J157" s="18">
        <v>5103.2160000000003</v>
      </c>
      <c r="K157" s="18" t="s">
        <v>30</v>
      </c>
      <c r="L157" s="18" t="s">
        <v>50</v>
      </c>
      <c r="M157" s="18" t="s">
        <v>32</v>
      </c>
      <c r="N157" s="22">
        <f t="shared" si="12"/>
        <v>0.62938334983931898</v>
      </c>
      <c r="O157" s="22">
        <f t="shared" si="13"/>
        <v>0.43269107257546602</v>
      </c>
      <c r="P157" s="23">
        <f t="shared" si="14"/>
        <v>3.8917469492614001E-2</v>
      </c>
      <c r="Q157" s="23">
        <f t="shared" si="15"/>
        <v>8.9942852901885098E-2</v>
      </c>
      <c r="R157" s="22">
        <f t="shared" si="16"/>
        <v>1.63184777496307</v>
      </c>
      <c r="S157" s="22">
        <f t="shared" si="17"/>
        <v>2.6318477749630702</v>
      </c>
    </row>
    <row r="158" spans="1:19">
      <c r="A158" s="18" t="s">
        <v>197</v>
      </c>
      <c r="B158" s="18" t="s">
        <v>26</v>
      </c>
      <c r="C158" s="18" t="s">
        <v>21</v>
      </c>
      <c r="D158" s="19">
        <v>44948</v>
      </c>
      <c r="E158" s="20">
        <v>45576</v>
      </c>
      <c r="F158" s="21">
        <v>48409.599999999999</v>
      </c>
      <c r="G158" s="21">
        <v>46505.599999999999</v>
      </c>
      <c r="H158" s="21">
        <v>22412.799999999999</v>
      </c>
      <c r="I158" s="18">
        <v>745.44</v>
      </c>
      <c r="J158" s="18">
        <v>2914.08</v>
      </c>
      <c r="K158" s="18" t="s">
        <v>38</v>
      </c>
      <c r="L158" s="18" t="s">
        <v>31</v>
      </c>
      <c r="M158" s="18" t="s">
        <v>24</v>
      </c>
      <c r="N158" s="22">
        <f t="shared" si="12"/>
        <v>0.96066895822316201</v>
      </c>
      <c r="O158" s="22">
        <f t="shared" si="13"/>
        <v>0.48193765912062198</v>
      </c>
      <c r="P158" s="23">
        <f t="shared" si="14"/>
        <v>1.60290373632423E-2</v>
      </c>
      <c r="Q158" s="23">
        <f t="shared" si="15"/>
        <v>3.3259565962307301E-2</v>
      </c>
      <c r="R158" s="22">
        <f t="shared" si="16"/>
        <v>2.9092079845460401</v>
      </c>
      <c r="S158" s="22">
        <f t="shared" si="17"/>
        <v>3.9092079845460401</v>
      </c>
    </row>
    <row r="159" spans="1:19">
      <c r="A159" s="18" t="s">
        <v>198</v>
      </c>
      <c r="B159" s="18" t="s">
        <v>40</v>
      </c>
      <c r="C159" s="18" t="s">
        <v>41</v>
      </c>
      <c r="D159" s="19">
        <v>44949</v>
      </c>
      <c r="E159" s="20">
        <v>45565</v>
      </c>
      <c r="F159" s="21">
        <v>75035.199999999997</v>
      </c>
      <c r="G159" s="21">
        <v>72216</v>
      </c>
      <c r="H159" s="21">
        <v>30073.599999999999</v>
      </c>
      <c r="I159" s="18">
        <v>3663.616</v>
      </c>
      <c r="J159" s="18">
        <v>5374.0320000000002</v>
      </c>
      <c r="K159" s="18" t="s">
        <v>43</v>
      </c>
      <c r="L159" s="18" t="s">
        <v>35</v>
      </c>
      <c r="M159" s="18" t="s">
        <v>32</v>
      </c>
      <c r="N159" s="22">
        <f t="shared" si="12"/>
        <v>0.96242830031771798</v>
      </c>
      <c r="O159" s="22">
        <f t="shared" si="13"/>
        <v>0.41643957017835398</v>
      </c>
      <c r="P159" s="23">
        <f t="shared" si="14"/>
        <v>5.07313614711421E-2</v>
      </c>
      <c r="Q159" s="23">
        <f t="shared" si="15"/>
        <v>0.121821664183869</v>
      </c>
      <c r="R159" s="22">
        <f t="shared" si="16"/>
        <v>0.466865523024247</v>
      </c>
      <c r="S159" s="22">
        <f t="shared" si="17"/>
        <v>1.46686552302425</v>
      </c>
    </row>
    <row r="160" spans="1:19">
      <c r="A160" s="18" t="s">
        <v>199</v>
      </c>
      <c r="B160" s="18" t="s">
        <v>28</v>
      </c>
      <c r="C160" s="18" t="s">
        <v>41</v>
      </c>
      <c r="D160" s="19">
        <v>44953</v>
      </c>
      <c r="E160" s="20">
        <v>45569</v>
      </c>
      <c r="F160" s="21">
        <v>20680</v>
      </c>
      <c r="G160" s="21">
        <v>16315.2</v>
      </c>
      <c r="H160" s="21">
        <v>579.20000000000005</v>
      </c>
      <c r="I160" s="18">
        <v>1575.904</v>
      </c>
      <c r="J160" s="18">
        <v>4174.0959999999995</v>
      </c>
      <c r="K160" s="18" t="s">
        <v>38</v>
      </c>
      <c r="L160" s="18" t="s">
        <v>23</v>
      </c>
      <c r="M160" s="18" t="s">
        <v>24</v>
      </c>
      <c r="N160" s="22">
        <f t="shared" si="12"/>
        <v>0.78893617021276596</v>
      </c>
      <c r="O160" s="22">
        <f t="shared" si="13"/>
        <v>3.5500637442384998E-2</v>
      </c>
      <c r="P160" s="23">
        <f t="shared" si="14"/>
        <v>9.6591154261057202E-2</v>
      </c>
      <c r="Q160" s="23">
        <f t="shared" si="15"/>
        <v>2.7208287292817701</v>
      </c>
      <c r="R160" s="22">
        <f t="shared" si="16"/>
        <v>1.6486994131622199</v>
      </c>
      <c r="S160" s="22">
        <f t="shared" si="17"/>
        <v>2.6486994131622201</v>
      </c>
    </row>
    <row r="161" spans="1:19">
      <c r="A161" s="18" t="s">
        <v>200</v>
      </c>
      <c r="B161" s="18" t="s">
        <v>26</v>
      </c>
      <c r="C161" s="18" t="s">
        <v>29</v>
      </c>
      <c r="D161" s="19">
        <v>44731</v>
      </c>
      <c r="E161" s="20">
        <v>45356</v>
      </c>
      <c r="F161" s="21">
        <v>1692.8</v>
      </c>
      <c r="G161" s="21">
        <v>1198.4000000000001</v>
      </c>
      <c r="H161" s="21">
        <v>1065.5999999999999</v>
      </c>
      <c r="I161" s="18">
        <v>4906.8320000000003</v>
      </c>
      <c r="J161" s="18">
        <v>9246.48</v>
      </c>
      <c r="K161" s="18" t="s">
        <v>43</v>
      </c>
      <c r="L161" s="18" t="s">
        <v>50</v>
      </c>
      <c r="M161" s="18" t="s">
        <v>24</v>
      </c>
      <c r="N161" s="22">
        <f t="shared" si="12"/>
        <v>0.70793950850661602</v>
      </c>
      <c r="O161" s="22">
        <f t="shared" si="13"/>
        <v>0.88918558077436605</v>
      </c>
      <c r="P161" s="23">
        <f t="shared" si="14"/>
        <v>4.0944859813084102</v>
      </c>
      <c r="Q161" s="23">
        <f t="shared" si="15"/>
        <v>4.6047597597597596</v>
      </c>
      <c r="R161" s="22">
        <f t="shared" si="16"/>
        <v>0.88440932968563002</v>
      </c>
      <c r="S161" s="22">
        <f t="shared" si="17"/>
        <v>1.8844093296856299</v>
      </c>
    </row>
    <row r="162" spans="1:19">
      <c r="A162" s="18" t="s">
        <v>201</v>
      </c>
      <c r="B162" s="18" t="s">
        <v>40</v>
      </c>
      <c r="C162" s="18" t="s">
        <v>29</v>
      </c>
      <c r="D162" s="19">
        <v>44967</v>
      </c>
      <c r="E162" s="20">
        <v>45590</v>
      </c>
      <c r="F162" s="21">
        <v>75488</v>
      </c>
      <c r="G162" s="21">
        <v>12576</v>
      </c>
      <c r="H162" s="21">
        <v>9600</v>
      </c>
      <c r="I162" s="18">
        <v>2097.2959999999998</v>
      </c>
      <c r="J162" s="18">
        <v>7069.5680000000002</v>
      </c>
      <c r="K162" s="18" t="s">
        <v>38</v>
      </c>
      <c r="L162" s="18" t="s">
        <v>44</v>
      </c>
      <c r="M162" s="18" t="s">
        <v>24</v>
      </c>
      <c r="N162" s="22">
        <f t="shared" si="12"/>
        <v>0.166596015260704</v>
      </c>
      <c r="O162" s="22">
        <f t="shared" si="13"/>
        <v>0.76335877862595403</v>
      </c>
      <c r="P162" s="23">
        <f t="shared" si="14"/>
        <v>0.16676972010178101</v>
      </c>
      <c r="Q162" s="23">
        <f t="shared" si="15"/>
        <v>0.21846833333333299</v>
      </c>
      <c r="R162" s="22">
        <f t="shared" si="16"/>
        <v>2.3708012602894399</v>
      </c>
      <c r="S162" s="22">
        <f t="shared" si="17"/>
        <v>3.3708012602894399</v>
      </c>
    </row>
    <row r="163" spans="1:19">
      <c r="A163" s="18" t="s">
        <v>202</v>
      </c>
      <c r="B163" s="18" t="s">
        <v>40</v>
      </c>
      <c r="C163" s="18" t="s">
        <v>48</v>
      </c>
      <c r="D163" s="19">
        <v>44832</v>
      </c>
      <c r="E163" s="20">
        <v>45440</v>
      </c>
      <c r="F163" s="21">
        <v>14284.8</v>
      </c>
      <c r="G163" s="21">
        <v>13276.8</v>
      </c>
      <c r="H163" s="21">
        <v>6563.2</v>
      </c>
      <c r="I163" s="18">
        <v>5713.6480000000001</v>
      </c>
      <c r="J163" s="18">
        <v>14274.175999999999</v>
      </c>
      <c r="K163" s="18" t="s">
        <v>43</v>
      </c>
      <c r="L163" s="18" t="s">
        <v>35</v>
      </c>
      <c r="M163" s="18" t="s">
        <v>24</v>
      </c>
      <c r="N163" s="22">
        <f t="shared" si="12"/>
        <v>0.92943548387096797</v>
      </c>
      <c r="O163" s="22">
        <f t="shared" si="13"/>
        <v>0.49433598457459599</v>
      </c>
      <c r="P163" s="23">
        <f t="shared" si="14"/>
        <v>0.43034827669317899</v>
      </c>
      <c r="Q163" s="23">
        <f t="shared" si="15"/>
        <v>0.87055826426133598</v>
      </c>
      <c r="R163" s="22">
        <f t="shared" si="16"/>
        <v>1.4982596057719999</v>
      </c>
      <c r="S163" s="22">
        <f t="shared" si="17"/>
        <v>2.4982596057720001</v>
      </c>
    </row>
    <row r="164" spans="1:19">
      <c r="A164" s="18" t="s">
        <v>203</v>
      </c>
      <c r="B164" s="18" t="s">
        <v>47</v>
      </c>
      <c r="C164" s="18" t="s">
        <v>48</v>
      </c>
      <c r="D164" s="19">
        <v>44766</v>
      </c>
      <c r="E164" s="20">
        <v>45380</v>
      </c>
      <c r="F164" s="21">
        <v>26163.200000000001</v>
      </c>
      <c r="G164" s="21">
        <v>19390.400000000001</v>
      </c>
      <c r="H164" s="21">
        <v>8230.4</v>
      </c>
      <c r="I164" s="18">
        <v>4396.1760000000004</v>
      </c>
      <c r="J164" s="18">
        <v>10593.152</v>
      </c>
      <c r="K164" s="18" t="s">
        <v>22</v>
      </c>
      <c r="L164" s="18" t="s">
        <v>35</v>
      </c>
      <c r="M164" s="18" t="s">
        <v>24</v>
      </c>
      <c r="N164" s="22">
        <f t="shared" si="12"/>
        <v>0.74113258317025399</v>
      </c>
      <c r="O164" s="22">
        <f t="shared" si="13"/>
        <v>0.42445746348708602</v>
      </c>
      <c r="P164" s="23">
        <f t="shared" si="14"/>
        <v>0.22671920125422901</v>
      </c>
      <c r="Q164" s="23">
        <f t="shared" si="15"/>
        <v>0.53413880248833601</v>
      </c>
      <c r="R164" s="22">
        <f t="shared" si="16"/>
        <v>1.4096287318797101</v>
      </c>
      <c r="S164" s="22">
        <f t="shared" si="17"/>
        <v>2.4096287318797098</v>
      </c>
    </row>
    <row r="165" spans="1:19">
      <c r="A165" s="18" t="s">
        <v>204</v>
      </c>
      <c r="B165" s="18" t="s">
        <v>28</v>
      </c>
      <c r="C165" s="18" t="s">
        <v>29</v>
      </c>
      <c r="D165" s="19">
        <v>44812</v>
      </c>
      <c r="E165" s="20">
        <v>45431</v>
      </c>
      <c r="F165" s="21">
        <v>38747.199999999997</v>
      </c>
      <c r="G165" s="21">
        <v>27219.200000000001</v>
      </c>
      <c r="H165" s="21">
        <v>26171.200000000001</v>
      </c>
      <c r="I165" s="18">
        <v>7285.5039999999999</v>
      </c>
      <c r="J165" s="18">
        <v>24143.263999999999</v>
      </c>
      <c r="K165" s="18" t="s">
        <v>38</v>
      </c>
      <c r="L165" s="18" t="s">
        <v>23</v>
      </c>
      <c r="M165" s="18" t="s">
        <v>24</v>
      </c>
      <c r="N165" s="22">
        <f t="shared" si="12"/>
        <v>0.70248172771193795</v>
      </c>
      <c r="O165" s="22">
        <f t="shared" si="13"/>
        <v>0.96149776628262396</v>
      </c>
      <c r="P165" s="23">
        <f t="shared" si="14"/>
        <v>0.26766047495885298</v>
      </c>
      <c r="Q165" s="23">
        <f t="shared" si="15"/>
        <v>0.27837867579629499</v>
      </c>
      <c r="R165" s="22">
        <f t="shared" si="16"/>
        <v>2.31387698091992</v>
      </c>
      <c r="S165" s="22">
        <f t="shared" si="17"/>
        <v>3.31387698091992</v>
      </c>
    </row>
    <row r="166" spans="1:19">
      <c r="A166" s="18" t="s">
        <v>205</v>
      </c>
      <c r="B166" s="18" t="s">
        <v>20</v>
      </c>
      <c r="C166" s="18" t="s">
        <v>21</v>
      </c>
      <c r="D166" s="19">
        <v>44753</v>
      </c>
      <c r="E166" s="20">
        <v>45381</v>
      </c>
      <c r="F166" s="21">
        <v>47502.400000000001</v>
      </c>
      <c r="G166" s="21">
        <v>26374.400000000001</v>
      </c>
      <c r="H166" s="21">
        <v>8635.2000000000007</v>
      </c>
      <c r="I166" s="18">
        <v>7595.3760000000002</v>
      </c>
      <c r="J166" s="18">
        <v>11493.376</v>
      </c>
      <c r="K166" s="18" t="s">
        <v>30</v>
      </c>
      <c r="L166" s="18" t="s">
        <v>23</v>
      </c>
      <c r="M166" s="18" t="s">
        <v>32</v>
      </c>
      <c r="N166" s="22">
        <f t="shared" si="12"/>
        <v>0.555222472969787</v>
      </c>
      <c r="O166" s="22">
        <f t="shared" si="13"/>
        <v>0.32740839602038302</v>
      </c>
      <c r="P166" s="23">
        <f t="shared" si="14"/>
        <v>0.28798289250182002</v>
      </c>
      <c r="Q166" s="23">
        <f t="shared" si="15"/>
        <v>0.879583101723179</v>
      </c>
      <c r="R166" s="22">
        <f t="shared" si="16"/>
        <v>0.51320698277478305</v>
      </c>
      <c r="S166" s="22">
        <f t="shared" si="17"/>
        <v>1.5132069827747801</v>
      </c>
    </row>
    <row r="167" spans="1:19">
      <c r="A167" s="18" t="s">
        <v>206</v>
      </c>
      <c r="B167" s="18" t="s">
        <v>40</v>
      </c>
      <c r="C167" s="18" t="s">
        <v>41</v>
      </c>
      <c r="D167" s="19">
        <v>44708</v>
      </c>
      <c r="E167" s="20">
        <v>45333</v>
      </c>
      <c r="F167" s="21">
        <v>31528</v>
      </c>
      <c r="G167" s="21">
        <v>14817.6</v>
      </c>
      <c r="H167" s="21">
        <v>4152</v>
      </c>
      <c r="I167" s="18">
        <v>7802.2719999999999</v>
      </c>
      <c r="J167" s="18">
        <v>18373.008000000002</v>
      </c>
      <c r="K167" s="18" t="s">
        <v>30</v>
      </c>
      <c r="L167" s="18" t="s">
        <v>44</v>
      </c>
      <c r="M167" s="18" t="s">
        <v>24</v>
      </c>
      <c r="N167" s="22">
        <f t="shared" si="12"/>
        <v>0.46998223801065703</v>
      </c>
      <c r="O167" s="22">
        <f t="shared" si="13"/>
        <v>0.28020732102364798</v>
      </c>
      <c r="P167" s="23">
        <f t="shared" si="14"/>
        <v>0.526554367778858</v>
      </c>
      <c r="Q167" s="23">
        <f t="shared" si="15"/>
        <v>1.8791599229287099</v>
      </c>
      <c r="R167" s="22">
        <f t="shared" si="16"/>
        <v>1.35482792704484</v>
      </c>
      <c r="S167" s="22">
        <f t="shared" si="17"/>
        <v>2.3548279270448398</v>
      </c>
    </row>
    <row r="168" spans="1:19">
      <c r="A168" s="18" t="s">
        <v>207</v>
      </c>
      <c r="B168" s="18" t="s">
        <v>26</v>
      </c>
      <c r="C168" s="18" t="s">
        <v>41</v>
      </c>
      <c r="D168" s="19">
        <v>44784</v>
      </c>
      <c r="E168" s="20">
        <v>45413</v>
      </c>
      <c r="F168" s="21">
        <v>61923.199999999997</v>
      </c>
      <c r="G168" s="21">
        <v>48001.599999999999</v>
      </c>
      <c r="H168" s="21">
        <v>41368</v>
      </c>
      <c r="I168" s="18">
        <v>7082.8</v>
      </c>
      <c r="J168" s="18">
        <v>14618.384</v>
      </c>
      <c r="K168" s="18" t="s">
        <v>30</v>
      </c>
      <c r="L168" s="18" t="s">
        <v>50</v>
      </c>
      <c r="M168" s="18" t="s">
        <v>24</v>
      </c>
      <c r="N168" s="22">
        <f t="shared" si="12"/>
        <v>0.77517957728282805</v>
      </c>
      <c r="O168" s="22">
        <f t="shared" si="13"/>
        <v>0.86180460651311597</v>
      </c>
      <c r="P168" s="23">
        <f t="shared" si="14"/>
        <v>0.14755341488616999</v>
      </c>
      <c r="Q168" s="23">
        <f t="shared" si="15"/>
        <v>0.17121446528717901</v>
      </c>
      <c r="R168" s="22">
        <f t="shared" si="16"/>
        <v>1.0639272604054899</v>
      </c>
      <c r="S168" s="22">
        <f t="shared" si="17"/>
        <v>2.0639272604054901</v>
      </c>
    </row>
    <row r="169" spans="1:19">
      <c r="A169" s="18" t="s">
        <v>208</v>
      </c>
      <c r="B169" s="18" t="s">
        <v>34</v>
      </c>
      <c r="C169" s="18" t="s">
        <v>21</v>
      </c>
      <c r="D169" s="19">
        <v>44759</v>
      </c>
      <c r="E169" s="20">
        <v>45365</v>
      </c>
      <c r="F169" s="21">
        <v>8539.2000000000007</v>
      </c>
      <c r="G169" s="21">
        <v>3462.4</v>
      </c>
      <c r="H169" s="21">
        <v>2768</v>
      </c>
      <c r="I169" s="18">
        <v>356.65600000000001</v>
      </c>
      <c r="J169" s="18">
        <v>469.93599999999998</v>
      </c>
      <c r="K169" s="18" t="s">
        <v>30</v>
      </c>
      <c r="L169" s="18" t="s">
        <v>35</v>
      </c>
      <c r="M169" s="18" t="s">
        <v>24</v>
      </c>
      <c r="N169" s="22">
        <f t="shared" si="12"/>
        <v>0.40547123852351502</v>
      </c>
      <c r="O169" s="22">
        <f t="shared" si="13"/>
        <v>0.79944547134935295</v>
      </c>
      <c r="P169" s="23">
        <f t="shared" si="14"/>
        <v>0.10300831792975999</v>
      </c>
      <c r="Q169" s="23">
        <f t="shared" si="15"/>
        <v>0.12884971098265899</v>
      </c>
      <c r="R169" s="22">
        <f t="shared" si="16"/>
        <v>0.31761697546094803</v>
      </c>
      <c r="S169" s="22">
        <f t="shared" si="17"/>
        <v>1.3176169754609499</v>
      </c>
    </row>
    <row r="170" spans="1:19">
      <c r="A170" s="18" t="s">
        <v>209</v>
      </c>
      <c r="B170" s="18" t="s">
        <v>40</v>
      </c>
      <c r="C170" s="18" t="s">
        <v>21</v>
      </c>
      <c r="D170" s="19">
        <v>44923</v>
      </c>
      <c r="E170" s="20">
        <v>45527</v>
      </c>
      <c r="F170" s="21">
        <v>53838.400000000001</v>
      </c>
      <c r="G170" s="21">
        <v>41414.400000000001</v>
      </c>
      <c r="H170" s="21">
        <v>19345.599999999999</v>
      </c>
      <c r="I170" s="18">
        <v>2805.5360000000001</v>
      </c>
      <c r="J170" s="18">
        <v>7366.6239999999998</v>
      </c>
      <c r="K170" s="18" t="s">
        <v>30</v>
      </c>
      <c r="L170" s="18" t="s">
        <v>44</v>
      </c>
      <c r="M170" s="18" t="s">
        <v>24</v>
      </c>
      <c r="N170" s="22">
        <f t="shared" si="12"/>
        <v>0.76923534131772098</v>
      </c>
      <c r="O170" s="22">
        <f t="shared" si="13"/>
        <v>0.46712254674702502</v>
      </c>
      <c r="P170" s="23">
        <f t="shared" si="14"/>
        <v>6.7743007263174199E-2</v>
      </c>
      <c r="Q170" s="23">
        <f t="shared" si="15"/>
        <v>0.14502191712844301</v>
      </c>
      <c r="R170" s="22">
        <f t="shared" si="16"/>
        <v>1.62574566856387</v>
      </c>
      <c r="S170" s="22">
        <f t="shared" si="17"/>
        <v>2.6257456685638698</v>
      </c>
    </row>
    <row r="171" spans="1:19">
      <c r="A171" s="18" t="s">
        <v>210</v>
      </c>
      <c r="B171" s="18" t="s">
        <v>20</v>
      </c>
      <c r="C171" s="18" t="s">
        <v>21</v>
      </c>
      <c r="D171" s="19">
        <v>44882</v>
      </c>
      <c r="E171" s="20">
        <v>45503</v>
      </c>
      <c r="F171" s="21">
        <v>29243.200000000001</v>
      </c>
      <c r="G171" s="21">
        <v>24662.400000000001</v>
      </c>
      <c r="H171" s="21">
        <v>5070.3999999999996</v>
      </c>
      <c r="I171" s="18">
        <v>4926.1120000000001</v>
      </c>
      <c r="J171" s="18">
        <v>10076.624</v>
      </c>
      <c r="K171" s="18" t="s">
        <v>43</v>
      </c>
      <c r="L171" s="18" t="s">
        <v>35</v>
      </c>
      <c r="M171" s="18" t="s">
        <v>24</v>
      </c>
      <c r="N171" s="22">
        <f t="shared" si="12"/>
        <v>0.84335503638452702</v>
      </c>
      <c r="O171" s="22">
        <f t="shared" si="13"/>
        <v>0.20559231867133801</v>
      </c>
      <c r="P171" s="23">
        <f t="shared" si="14"/>
        <v>0.19974179317503599</v>
      </c>
      <c r="Q171" s="23">
        <f t="shared" si="15"/>
        <v>0.97154307352477098</v>
      </c>
      <c r="R171" s="22">
        <f t="shared" si="16"/>
        <v>1.0455531664728701</v>
      </c>
      <c r="S171" s="22">
        <f t="shared" si="17"/>
        <v>2.0455531664728701</v>
      </c>
    </row>
    <row r="172" spans="1:19">
      <c r="A172" s="18" t="s">
        <v>211</v>
      </c>
      <c r="B172" s="18" t="s">
        <v>20</v>
      </c>
      <c r="C172" s="18" t="s">
        <v>21</v>
      </c>
      <c r="D172" s="19">
        <v>44954</v>
      </c>
      <c r="E172" s="20">
        <v>45558</v>
      </c>
      <c r="F172" s="21">
        <v>33251.199999999997</v>
      </c>
      <c r="G172" s="21">
        <v>2547.1999999999998</v>
      </c>
      <c r="H172" s="21">
        <v>964.8</v>
      </c>
      <c r="I172" s="18">
        <v>6325.9840000000004</v>
      </c>
      <c r="J172" s="18">
        <v>8931.8719999999994</v>
      </c>
      <c r="K172" s="18" t="s">
        <v>22</v>
      </c>
      <c r="L172" s="18" t="s">
        <v>23</v>
      </c>
      <c r="M172" s="18" t="s">
        <v>32</v>
      </c>
      <c r="N172" s="22">
        <f t="shared" si="12"/>
        <v>7.6604754114137197E-2</v>
      </c>
      <c r="O172" s="22">
        <f t="shared" si="13"/>
        <v>0.37876884422110602</v>
      </c>
      <c r="P172" s="23">
        <f t="shared" si="14"/>
        <v>2.4835050251256301</v>
      </c>
      <c r="Q172" s="23">
        <f t="shared" si="15"/>
        <v>6.5567827529021603</v>
      </c>
      <c r="R172" s="22">
        <f t="shared" si="16"/>
        <v>0.41193401690551201</v>
      </c>
      <c r="S172" s="22">
        <f t="shared" si="17"/>
        <v>1.4119340169055099</v>
      </c>
    </row>
    <row r="173" spans="1:19">
      <c r="A173" s="18" t="s">
        <v>212</v>
      </c>
      <c r="B173" s="18" t="s">
        <v>34</v>
      </c>
      <c r="C173" s="18" t="s">
        <v>29</v>
      </c>
      <c r="D173" s="19">
        <v>44696</v>
      </c>
      <c r="E173" s="20">
        <v>45322</v>
      </c>
      <c r="F173" s="21">
        <v>71848</v>
      </c>
      <c r="G173" s="21">
        <v>36980.800000000003</v>
      </c>
      <c r="H173" s="21">
        <v>30670.400000000001</v>
      </c>
      <c r="I173" s="18">
        <v>2079.5039999999999</v>
      </c>
      <c r="J173" s="18">
        <v>6752.24</v>
      </c>
      <c r="K173" s="18" t="s">
        <v>30</v>
      </c>
      <c r="L173" s="18" t="s">
        <v>35</v>
      </c>
      <c r="M173" s="18" t="s">
        <v>32</v>
      </c>
      <c r="N173" s="22">
        <f t="shared" si="12"/>
        <v>0.51470882975169796</v>
      </c>
      <c r="O173" s="22">
        <f t="shared" si="13"/>
        <v>0.82936010037641195</v>
      </c>
      <c r="P173" s="23">
        <f t="shared" si="14"/>
        <v>5.6231990654610001E-2</v>
      </c>
      <c r="Q173" s="23">
        <f t="shared" si="15"/>
        <v>6.7801658928478295E-2</v>
      </c>
      <c r="R173" s="22">
        <f t="shared" si="16"/>
        <v>2.2470435257638401</v>
      </c>
      <c r="S173" s="22">
        <f t="shared" si="17"/>
        <v>3.2470435257638401</v>
      </c>
    </row>
    <row r="174" spans="1:19">
      <c r="A174" s="18" t="s">
        <v>213</v>
      </c>
      <c r="B174" s="18" t="s">
        <v>26</v>
      </c>
      <c r="C174" s="18" t="s">
        <v>21</v>
      </c>
      <c r="D174" s="19">
        <v>44846</v>
      </c>
      <c r="E174" s="20">
        <v>45461</v>
      </c>
      <c r="F174" s="21">
        <v>70990.399999999994</v>
      </c>
      <c r="G174" s="21">
        <v>10652.8</v>
      </c>
      <c r="H174" s="21">
        <v>10446.4</v>
      </c>
      <c r="I174" s="18">
        <v>2699.808</v>
      </c>
      <c r="J174" s="18">
        <v>3422.384</v>
      </c>
      <c r="K174" s="18" t="s">
        <v>38</v>
      </c>
      <c r="L174" s="18" t="s">
        <v>44</v>
      </c>
      <c r="M174" s="18" t="s">
        <v>24</v>
      </c>
      <c r="N174" s="22">
        <f t="shared" si="12"/>
        <v>0.15005972638553899</v>
      </c>
      <c r="O174" s="22">
        <f t="shared" si="13"/>
        <v>0.98062481225593301</v>
      </c>
      <c r="P174" s="23">
        <f t="shared" si="14"/>
        <v>0.25343646740762998</v>
      </c>
      <c r="Q174" s="23">
        <f t="shared" si="15"/>
        <v>0.25844386582937701</v>
      </c>
      <c r="R174" s="22">
        <f t="shared" si="16"/>
        <v>0.26763977290236901</v>
      </c>
      <c r="S174" s="22">
        <f t="shared" si="17"/>
        <v>1.2676397729023701</v>
      </c>
    </row>
    <row r="175" spans="1:19">
      <c r="A175" s="18" t="s">
        <v>214</v>
      </c>
      <c r="B175" s="18" t="s">
        <v>34</v>
      </c>
      <c r="C175" s="18" t="s">
        <v>48</v>
      </c>
      <c r="D175" s="19">
        <v>44848</v>
      </c>
      <c r="E175" s="20">
        <v>45457</v>
      </c>
      <c r="F175" s="21">
        <v>6420.8</v>
      </c>
      <c r="G175" s="21">
        <v>3241.6</v>
      </c>
      <c r="H175" s="21">
        <v>988.8</v>
      </c>
      <c r="I175" s="18">
        <v>6128.0640000000003</v>
      </c>
      <c r="J175" s="18">
        <v>17740.32</v>
      </c>
      <c r="K175" s="18" t="s">
        <v>43</v>
      </c>
      <c r="L175" s="18" t="s">
        <v>50</v>
      </c>
      <c r="M175" s="18" t="s">
        <v>32</v>
      </c>
      <c r="N175" s="22">
        <f t="shared" si="12"/>
        <v>0.50485920757538005</v>
      </c>
      <c r="O175" s="22">
        <f t="shared" si="13"/>
        <v>0.30503455083909198</v>
      </c>
      <c r="P175" s="23">
        <f t="shared" si="14"/>
        <v>1.8904442250740401</v>
      </c>
      <c r="Q175" s="23">
        <f t="shared" si="15"/>
        <v>6.1974757281553403</v>
      </c>
      <c r="R175" s="22">
        <f t="shared" si="16"/>
        <v>1.89493060124698</v>
      </c>
      <c r="S175" s="22">
        <f t="shared" si="17"/>
        <v>2.8949306012469802</v>
      </c>
    </row>
    <row r="176" spans="1:19">
      <c r="A176" s="18" t="s">
        <v>215</v>
      </c>
      <c r="B176" s="18" t="s">
        <v>26</v>
      </c>
      <c r="C176" s="18" t="s">
        <v>29</v>
      </c>
      <c r="D176" s="19">
        <v>44696</v>
      </c>
      <c r="E176" s="20">
        <v>45297</v>
      </c>
      <c r="F176" s="21">
        <v>49056</v>
      </c>
      <c r="G176" s="21">
        <v>8172.8</v>
      </c>
      <c r="H176" s="21">
        <v>3350.4</v>
      </c>
      <c r="I176" s="18">
        <v>3838.0160000000001</v>
      </c>
      <c r="J176" s="18">
        <v>13491.392</v>
      </c>
      <c r="K176" s="18" t="s">
        <v>38</v>
      </c>
      <c r="L176" s="18" t="s">
        <v>35</v>
      </c>
      <c r="M176" s="18" t="s">
        <v>32</v>
      </c>
      <c r="N176" s="22">
        <f t="shared" si="12"/>
        <v>0.166601435094586</v>
      </c>
      <c r="O176" s="22">
        <f t="shared" si="13"/>
        <v>0.40994518402505897</v>
      </c>
      <c r="P176" s="23">
        <f t="shared" si="14"/>
        <v>0.46960845732184803</v>
      </c>
      <c r="Q176" s="23">
        <f t="shared" si="15"/>
        <v>1.14553963705826</v>
      </c>
      <c r="R176" s="22">
        <f t="shared" si="16"/>
        <v>2.5151995197518699</v>
      </c>
      <c r="S176" s="22">
        <f t="shared" si="17"/>
        <v>3.5151995197518699</v>
      </c>
    </row>
    <row r="177" spans="1:19">
      <c r="A177" s="18" t="s">
        <v>216</v>
      </c>
      <c r="B177" s="18" t="s">
        <v>40</v>
      </c>
      <c r="C177" s="18" t="s">
        <v>29</v>
      </c>
      <c r="D177" s="19">
        <v>44772</v>
      </c>
      <c r="E177" s="20">
        <v>45376</v>
      </c>
      <c r="F177" s="21">
        <v>65539.199999999997</v>
      </c>
      <c r="G177" s="21">
        <v>23108.799999999999</v>
      </c>
      <c r="H177" s="21">
        <v>22432</v>
      </c>
      <c r="I177" s="18">
        <v>2400.3519999999999</v>
      </c>
      <c r="J177" s="18">
        <v>6915.6959999999999</v>
      </c>
      <c r="K177" s="18" t="s">
        <v>38</v>
      </c>
      <c r="L177" s="18" t="s">
        <v>44</v>
      </c>
      <c r="M177" s="18" t="s">
        <v>24</v>
      </c>
      <c r="N177" s="22">
        <f t="shared" si="12"/>
        <v>0.35259508813046198</v>
      </c>
      <c r="O177" s="22">
        <f t="shared" si="13"/>
        <v>0.97071245586097099</v>
      </c>
      <c r="P177" s="23">
        <f t="shared" si="14"/>
        <v>0.103871771792564</v>
      </c>
      <c r="Q177" s="23">
        <f t="shared" si="15"/>
        <v>0.10700570613409401</v>
      </c>
      <c r="R177" s="22">
        <f t="shared" si="16"/>
        <v>1.8811174361093701</v>
      </c>
      <c r="S177" s="22">
        <f t="shared" si="17"/>
        <v>2.8811174361093701</v>
      </c>
    </row>
    <row r="178" spans="1:19">
      <c r="A178" s="18" t="s">
        <v>217</v>
      </c>
      <c r="B178" s="18" t="s">
        <v>34</v>
      </c>
      <c r="C178" s="18" t="s">
        <v>48</v>
      </c>
      <c r="D178" s="19">
        <v>44831</v>
      </c>
      <c r="E178" s="20">
        <v>45443</v>
      </c>
      <c r="F178" s="21">
        <v>12356.8</v>
      </c>
      <c r="G178" s="21">
        <v>2992</v>
      </c>
      <c r="H178" s="21">
        <v>937.6</v>
      </c>
      <c r="I178" s="18">
        <v>7861.9359999999997</v>
      </c>
      <c r="J178" s="18">
        <v>30883.135999999999</v>
      </c>
      <c r="K178" s="18" t="s">
        <v>30</v>
      </c>
      <c r="L178" s="18" t="s">
        <v>50</v>
      </c>
      <c r="M178" s="18" t="s">
        <v>24</v>
      </c>
      <c r="N178" s="22">
        <f t="shared" si="12"/>
        <v>0.24213388579567499</v>
      </c>
      <c r="O178" s="22">
        <f t="shared" si="13"/>
        <v>0.31336898395721902</v>
      </c>
      <c r="P178" s="23">
        <f t="shared" si="14"/>
        <v>2.6276524064171101</v>
      </c>
      <c r="Q178" s="23">
        <f t="shared" si="15"/>
        <v>8.3851706484641593</v>
      </c>
      <c r="R178" s="22">
        <f t="shared" si="16"/>
        <v>2.92818460999937</v>
      </c>
      <c r="S178" s="22">
        <f t="shared" si="17"/>
        <v>3.92818460999937</v>
      </c>
    </row>
    <row r="179" spans="1:19">
      <c r="A179" s="18" t="s">
        <v>218</v>
      </c>
      <c r="B179" s="18" t="s">
        <v>40</v>
      </c>
      <c r="C179" s="18" t="s">
        <v>41</v>
      </c>
      <c r="D179" s="19">
        <v>44714</v>
      </c>
      <c r="E179" s="20">
        <v>45327</v>
      </c>
      <c r="F179" s="21">
        <v>67345.600000000006</v>
      </c>
      <c r="G179" s="21">
        <v>13721.6</v>
      </c>
      <c r="H179" s="21">
        <v>13262.4</v>
      </c>
      <c r="I179" s="18">
        <v>3038.3359999999998</v>
      </c>
      <c r="J179" s="18">
        <v>5582.56</v>
      </c>
      <c r="K179" s="18" t="s">
        <v>43</v>
      </c>
      <c r="L179" s="18" t="s">
        <v>23</v>
      </c>
      <c r="M179" s="18" t="s">
        <v>24</v>
      </c>
      <c r="N179" s="22">
        <f t="shared" si="12"/>
        <v>0.203749019980518</v>
      </c>
      <c r="O179" s="22">
        <f t="shared" si="13"/>
        <v>0.96653451492537301</v>
      </c>
      <c r="P179" s="23">
        <f t="shared" si="14"/>
        <v>0.22142723880597001</v>
      </c>
      <c r="Q179" s="23">
        <f t="shared" si="15"/>
        <v>0.22909397997345901</v>
      </c>
      <c r="R179" s="22">
        <f t="shared" si="16"/>
        <v>0.83737414163542201</v>
      </c>
      <c r="S179" s="22">
        <f t="shared" si="17"/>
        <v>1.8373741416354199</v>
      </c>
    </row>
    <row r="180" spans="1:19">
      <c r="A180" s="18" t="s">
        <v>219</v>
      </c>
      <c r="B180" s="18" t="s">
        <v>28</v>
      </c>
      <c r="C180" s="18" t="s">
        <v>21</v>
      </c>
      <c r="D180" s="19">
        <v>44825</v>
      </c>
      <c r="E180" s="20">
        <v>45443</v>
      </c>
      <c r="F180" s="21">
        <v>12692.8</v>
      </c>
      <c r="G180" s="21">
        <v>2833.6</v>
      </c>
      <c r="H180" s="21">
        <v>638.4</v>
      </c>
      <c r="I180" s="18">
        <v>4088.6880000000001</v>
      </c>
      <c r="J180" s="18">
        <v>6368.848</v>
      </c>
      <c r="K180" s="18" t="s">
        <v>38</v>
      </c>
      <c r="L180" s="18" t="s">
        <v>31</v>
      </c>
      <c r="M180" s="18" t="s">
        <v>24</v>
      </c>
      <c r="N180" s="22">
        <f t="shared" si="12"/>
        <v>0.22324467414597299</v>
      </c>
      <c r="O180" s="22">
        <f t="shared" si="13"/>
        <v>0.22529644268774701</v>
      </c>
      <c r="P180" s="23">
        <f t="shared" si="14"/>
        <v>1.44293054771316</v>
      </c>
      <c r="Q180" s="23">
        <f t="shared" si="15"/>
        <v>6.4045864661654104</v>
      </c>
      <c r="R180" s="22">
        <f t="shared" si="16"/>
        <v>0.55767522491322397</v>
      </c>
      <c r="S180" s="22">
        <f t="shared" si="17"/>
        <v>1.55767522491322</v>
      </c>
    </row>
    <row r="181" spans="1:19">
      <c r="A181" s="18" t="s">
        <v>220</v>
      </c>
      <c r="B181" s="18" t="s">
        <v>47</v>
      </c>
      <c r="C181" s="18" t="s">
        <v>41</v>
      </c>
      <c r="D181" s="19">
        <v>44897</v>
      </c>
      <c r="E181" s="20">
        <v>45520</v>
      </c>
      <c r="F181" s="21">
        <v>18420.8</v>
      </c>
      <c r="G181" s="21">
        <v>11440</v>
      </c>
      <c r="H181" s="21">
        <v>3614.4</v>
      </c>
      <c r="I181" s="18">
        <v>4887.5519999999997</v>
      </c>
      <c r="J181" s="18">
        <v>12399.84</v>
      </c>
      <c r="K181" s="18" t="s">
        <v>65</v>
      </c>
      <c r="L181" s="18" t="s">
        <v>50</v>
      </c>
      <c r="M181" s="18" t="s">
        <v>24</v>
      </c>
      <c r="N181" s="22">
        <f t="shared" si="12"/>
        <v>0.62103708850864203</v>
      </c>
      <c r="O181" s="22">
        <f t="shared" si="13"/>
        <v>0.315944055944056</v>
      </c>
      <c r="P181" s="23">
        <f t="shared" si="14"/>
        <v>0.42723356643356603</v>
      </c>
      <c r="Q181" s="23">
        <f t="shared" si="15"/>
        <v>1.3522443559096899</v>
      </c>
      <c r="R181" s="22">
        <f t="shared" si="16"/>
        <v>1.5370246700188599</v>
      </c>
      <c r="S181" s="22">
        <f t="shared" si="17"/>
        <v>2.5370246700188601</v>
      </c>
    </row>
    <row r="182" spans="1:19">
      <c r="A182" s="18" t="s">
        <v>221</v>
      </c>
      <c r="B182" s="18" t="s">
        <v>20</v>
      </c>
      <c r="C182" s="18" t="s">
        <v>29</v>
      </c>
      <c r="D182" s="19">
        <v>44938</v>
      </c>
      <c r="E182" s="20">
        <v>45549</v>
      </c>
      <c r="F182" s="21">
        <v>9456</v>
      </c>
      <c r="G182" s="21">
        <v>5499.2</v>
      </c>
      <c r="H182" s="21">
        <v>353.6</v>
      </c>
      <c r="I182" s="18">
        <v>4599.0879999999997</v>
      </c>
      <c r="J182" s="18">
        <v>12380.175999999999</v>
      </c>
      <c r="K182" s="18" t="s">
        <v>65</v>
      </c>
      <c r="L182" s="18" t="s">
        <v>23</v>
      </c>
      <c r="M182" s="18" t="s">
        <v>32</v>
      </c>
      <c r="N182" s="22">
        <f t="shared" si="12"/>
        <v>0.58155668358713997</v>
      </c>
      <c r="O182" s="22">
        <f t="shared" si="13"/>
        <v>6.4300261856269997E-2</v>
      </c>
      <c r="P182" s="23">
        <f t="shared" si="14"/>
        <v>0.83631946464940399</v>
      </c>
      <c r="Q182" s="23">
        <f t="shared" si="15"/>
        <v>13.006470588235301</v>
      </c>
      <c r="R182" s="22">
        <f t="shared" si="16"/>
        <v>1.6918763024321299</v>
      </c>
      <c r="S182" s="22">
        <f t="shared" si="17"/>
        <v>2.6918763024321302</v>
      </c>
    </row>
    <row r="183" spans="1:19">
      <c r="A183" s="18" t="s">
        <v>222</v>
      </c>
      <c r="B183" s="18" t="s">
        <v>40</v>
      </c>
      <c r="C183" s="18" t="s">
        <v>41</v>
      </c>
      <c r="D183" s="19">
        <v>44988</v>
      </c>
      <c r="E183" s="20">
        <v>45617</v>
      </c>
      <c r="F183" s="21">
        <v>27947.200000000001</v>
      </c>
      <c r="G183" s="21">
        <v>4529.6000000000004</v>
      </c>
      <c r="H183" s="21">
        <v>1302.4000000000001</v>
      </c>
      <c r="I183" s="18">
        <v>3581.3919999999998</v>
      </c>
      <c r="J183" s="18">
        <v>4786.576</v>
      </c>
      <c r="K183" s="18" t="s">
        <v>65</v>
      </c>
      <c r="L183" s="18" t="s">
        <v>44</v>
      </c>
      <c r="M183" s="18" t="s">
        <v>32</v>
      </c>
      <c r="N183" s="22">
        <f t="shared" si="12"/>
        <v>0.16207705959809901</v>
      </c>
      <c r="O183" s="22">
        <f t="shared" si="13"/>
        <v>0.28753090780642898</v>
      </c>
      <c r="P183" s="23">
        <f t="shared" si="14"/>
        <v>0.79066407629812796</v>
      </c>
      <c r="Q183" s="23">
        <f t="shared" si="15"/>
        <v>2.7498402948402898</v>
      </c>
      <c r="R183" s="22">
        <f t="shared" si="16"/>
        <v>0.33651273024567002</v>
      </c>
      <c r="S183" s="22">
        <f t="shared" si="17"/>
        <v>1.3365127302456701</v>
      </c>
    </row>
    <row r="184" spans="1:19">
      <c r="A184" s="18" t="s">
        <v>223</v>
      </c>
      <c r="B184" s="18" t="s">
        <v>20</v>
      </c>
      <c r="C184" s="18" t="s">
        <v>21</v>
      </c>
      <c r="D184" s="19">
        <v>44935</v>
      </c>
      <c r="E184" s="20">
        <v>45558</v>
      </c>
      <c r="F184" s="21">
        <v>25884.799999999999</v>
      </c>
      <c r="G184" s="21">
        <v>12475.2</v>
      </c>
      <c r="H184" s="21">
        <v>11241.6</v>
      </c>
      <c r="I184" s="18">
        <v>7454.9920000000002</v>
      </c>
      <c r="J184" s="18">
        <v>13856.272000000001</v>
      </c>
      <c r="K184" s="18" t="s">
        <v>38</v>
      </c>
      <c r="L184" s="18" t="s">
        <v>23</v>
      </c>
      <c r="M184" s="18" t="s">
        <v>24</v>
      </c>
      <c r="N184" s="22">
        <f t="shared" si="12"/>
        <v>0.48195079737915703</v>
      </c>
      <c r="O184" s="22">
        <f t="shared" si="13"/>
        <v>0.90111581377452898</v>
      </c>
      <c r="P184" s="23">
        <f t="shared" si="14"/>
        <v>0.59758496857765797</v>
      </c>
      <c r="Q184" s="23">
        <f t="shared" si="15"/>
        <v>0.66316111585539395</v>
      </c>
      <c r="R184" s="22">
        <f t="shared" si="16"/>
        <v>0.85865685704290495</v>
      </c>
      <c r="S184" s="22">
        <f t="shared" si="17"/>
        <v>1.8586568570429001</v>
      </c>
    </row>
    <row r="185" spans="1:19">
      <c r="A185" s="18" t="s">
        <v>224</v>
      </c>
      <c r="B185" s="18" t="s">
        <v>28</v>
      </c>
      <c r="C185" s="18" t="s">
        <v>29</v>
      </c>
      <c r="D185" s="19">
        <v>44834</v>
      </c>
      <c r="E185" s="20">
        <v>45454</v>
      </c>
      <c r="F185" s="21">
        <v>17195.2</v>
      </c>
      <c r="G185" s="21">
        <v>3164.8</v>
      </c>
      <c r="H185" s="21">
        <v>3099.2</v>
      </c>
      <c r="I185" s="18">
        <v>1091.6959999999999</v>
      </c>
      <c r="J185" s="18">
        <v>3403.712</v>
      </c>
      <c r="K185" s="18" t="s">
        <v>65</v>
      </c>
      <c r="L185" s="18" t="s">
        <v>31</v>
      </c>
      <c r="M185" s="18" t="s">
        <v>24</v>
      </c>
      <c r="N185" s="22">
        <f t="shared" si="12"/>
        <v>0.184051363171118</v>
      </c>
      <c r="O185" s="22">
        <f t="shared" si="13"/>
        <v>0.97927199191102099</v>
      </c>
      <c r="P185" s="23">
        <f t="shared" si="14"/>
        <v>0.34494944388270998</v>
      </c>
      <c r="Q185" s="23">
        <f t="shared" si="15"/>
        <v>0.35225090345895699</v>
      </c>
      <c r="R185" s="22">
        <f t="shared" si="16"/>
        <v>2.1178203455907099</v>
      </c>
      <c r="S185" s="22">
        <f t="shared" si="17"/>
        <v>3.1178203455907099</v>
      </c>
    </row>
    <row r="186" spans="1:19">
      <c r="A186" s="18" t="s">
        <v>225</v>
      </c>
      <c r="B186" s="18" t="s">
        <v>20</v>
      </c>
      <c r="C186" s="18" t="s">
        <v>41</v>
      </c>
      <c r="D186" s="19">
        <v>44719</v>
      </c>
      <c r="E186" s="20">
        <v>45339</v>
      </c>
      <c r="F186" s="21">
        <v>63171.199999999997</v>
      </c>
      <c r="G186" s="21">
        <v>7950.4</v>
      </c>
      <c r="H186" s="21">
        <v>4380.8</v>
      </c>
      <c r="I186" s="18">
        <v>4349.8239999999996</v>
      </c>
      <c r="J186" s="18">
        <v>5523.9520000000002</v>
      </c>
      <c r="K186" s="18" t="s">
        <v>65</v>
      </c>
      <c r="L186" s="18" t="s">
        <v>35</v>
      </c>
      <c r="M186" s="18" t="s">
        <v>24</v>
      </c>
      <c r="N186" s="22">
        <f t="shared" si="12"/>
        <v>0.12585481991793701</v>
      </c>
      <c r="O186" s="22">
        <f t="shared" si="13"/>
        <v>0.55101630106661303</v>
      </c>
      <c r="P186" s="23">
        <f t="shared" si="14"/>
        <v>0.54712014489837002</v>
      </c>
      <c r="Q186" s="23">
        <f t="shared" si="15"/>
        <v>0.99292914536157795</v>
      </c>
      <c r="R186" s="22">
        <f t="shared" si="16"/>
        <v>0.26992540387841002</v>
      </c>
      <c r="S186" s="22">
        <f t="shared" si="17"/>
        <v>1.26992540387841</v>
      </c>
    </row>
    <row r="187" spans="1:19">
      <c r="A187" s="18" t="s">
        <v>226</v>
      </c>
      <c r="B187" s="18" t="s">
        <v>40</v>
      </c>
      <c r="C187" s="18" t="s">
        <v>41</v>
      </c>
      <c r="D187" s="19">
        <v>44886</v>
      </c>
      <c r="E187" s="20">
        <v>45508</v>
      </c>
      <c r="F187" s="21">
        <v>67462.399999999994</v>
      </c>
      <c r="G187" s="21">
        <v>18476.8</v>
      </c>
      <c r="H187" s="21">
        <v>8264</v>
      </c>
      <c r="I187" s="18">
        <v>3146.56</v>
      </c>
      <c r="J187" s="18">
        <v>8293.5519999999997</v>
      </c>
      <c r="K187" s="18" t="s">
        <v>65</v>
      </c>
      <c r="L187" s="18" t="s">
        <v>31</v>
      </c>
      <c r="M187" s="18" t="s">
        <v>24</v>
      </c>
      <c r="N187" s="22">
        <f t="shared" si="12"/>
        <v>0.27388293330803498</v>
      </c>
      <c r="O187" s="22">
        <f t="shared" si="13"/>
        <v>0.44726359542777999</v>
      </c>
      <c r="P187" s="23">
        <f t="shared" si="14"/>
        <v>0.170297887080014</v>
      </c>
      <c r="Q187" s="23">
        <f t="shared" si="15"/>
        <v>0.38075508228460803</v>
      </c>
      <c r="R187" s="22">
        <f t="shared" si="16"/>
        <v>1.63575205939184</v>
      </c>
      <c r="S187" s="22">
        <f t="shared" si="17"/>
        <v>2.63575205939184</v>
      </c>
    </row>
    <row r="188" spans="1:19">
      <c r="A188" s="18" t="s">
        <v>227</v>
      </c>
      <c r="B188" s="18" t="s">
        <v>34</v>
      </c>
      <c r="C188" s="18" t="s">
        <v>29</v>
      </c>
      <c r="D188" s="19">
        <v>44733</v>
      </c>
      <c r="E188" s="20">
        <v>45356</v>
      </c>
      <c r="F188" s="21">
        <v>62035.199999999997</v>
      </c>
      <c r="G188" s="21">
        <v>3040</v>
      </c>
      <c r="H188" s="21">
        <v>1800</v>
      </c>
      <c r="I188" s="18">
        <v>2453.7600000000002</v>
      </c>
      <c r="J188" s="18">
        <v>4385.4719999999998</v>
      </c>
      <c r="K188" s="18" t="s">
        <v>30</v>
      </c>
      <c r="L188" s="18" t="s">
        <v>31</v>
      </c>
      <c r="M188" s="18" t="s">
        <v>24</v>
      </c>
      <c r="N188" s="22">
        <f t="shared" si="12"/>
        <v>4.9004436191065703E-2</v>
      </c>
      <c r="O188" s="22">
        <f t="shared" si="13"/>
        <v>0.59210526315789502</v>
      </c>
      <c r="P188" s="23">
        <f t="shared" si="14"/>
        <v>0.80715789473684196</v>
      </c>
      <c r="Q188" s="23">
        <f t="shared" si="15"/>
        <v>1.3632</v>
      </c>
      <c r="R188" s="22">
        <f t="shared" si="16"/>
        <v>0.78724569640062603</v>
      </c>
      <c r="S188" s="22">
        <f t="shared" si="17"/>
        <v>1.78724569640063</v>
      </c>
    </row>
    <row r="189" spans="1:19">
      <c r="A189" s="18" t="s">
        <v>228</v>
      </c>
      <c r="B189" s="18" t="s">
        <v>28</v>
      </c>
      <c r="C189" s="18" t="s">
        <v>29</v>
      </c>
      <c r="D189" s="19">
        <v>44964</v>
      </c>
      <c r="E189" s="20">
        <v>45588</v>
      </c>
      <c r="F189" s="21">
        <v>63652.800000000003</v>
      </c>
      <c r="G189" s="21">
        <v>54875.199999999997</v>
      </c>
      <c r="H189" s="21">
        <v>32816</v>
      </c>
      <c r="I189" s="18">
        <v>2796.096</v>
      </c>
      <c r="J189" s="18">
        <v>6675.2479999999996</v>
      </c>
      <c r="K189" s="18" t="s">
        <v>30</v>
      </c>
      <c r="L189" s="18" t="s">
        <v>31</v>
      </c>
      <c r="M189" s="18" t="s">
        <v>24</v>
      </c>
      <c r="N189" s="22">
        <f t="shared" si="12"/>
        <v>0.86210190282281396</v>
      </c>
      <c r="O189" s="22">
        <f t="shared" si="13"/>
        <v>0.59801148788523795</v>
      </c>
      <c r="P189" s="23">
        <f t="shared" si="14"/>
        <v>5.0953727731288499E-2</v>
      </c>
      <c r="Q189" s="23">
        <f t="shared" si="15"/>
        <v>8.5205265724037096E-2</v>
      </c>
      <c r="R189" s="22">
        <f t="shared" si="16"/>
        <v>1.3873457849802</v>
      </c>
      <c r="S189" s="22">
        <f t="shared" si="17"/>
        <v>2.3873457849801998</v>
      </c>
    </row>
    <row r="190" spans="1:19">
      <c r="A190" s="18" t="s">
        <v>229</v>
      </c>
      <c r="B190" s="18" t="s">
        <v>34</v>
      </c>
      <c r="C190" s="18" t="s">
        <v>48</v>
      </c>
      <c r="D190" s="19">
        <v>44775</v>
      </c>
      <c r="E190" s="20">
        <v>45383</v>
      </c>
      <c r="F190" s="21">
        <v>49457.599999999999</v>
      </c>
      <c r="G190" s="21">
        <v>48116.800000000003</v>
      </c>
      <c r="H190" s="21">
        <v>32286.400000000001</v>
      </c>
      <c r="I190" s="18">
        <v>6547.52</v>
      </c>
      <c r="J190" s="18">
        <v>14392.896000000001</v>
      </c>
      <c r="K190" s="18" t="s">
        <v>22</v>
      </c>
      <c r="L190" s="18" t="s">
        <v>31</v>
      </c>
      <c r="M190" s="18" t="s">
        <v>24</v>
      </c>
      <c r="N190" s="22">
        <f t="shared" si="12"/>
        <v>0.97288990974086897</v>
      </c>
      <c r="O190" s="22">
        <f t="shared" si="13"/>
        <v>0.67100056529112495</v>
      </c>
      <c r="P190" s="23">
        <f t="shared" si="14"/>
        <v>0.13607554949622599</v>
      </c>
      <c r="Q190" s="23">
        <f t="shared" si="15"/>
        <v>0.202794984885277</v>
      </c>
      <c r="R190" s="22">
        <f t="shared" si="16"/>
        <v>1.1982210058159399</v>
      </c>
      <c r="S190" s="22">
        <f t="shared" si="17"/>
        <v>2.1982210058159399</v>
      </c>
    </row>
    <row r="191" spans="1:19">
      <c r="A191" s="18" t="s">
        <v>230</v>
      </c>
      <c r="B191" s="18" t="s">
        <v>47</v>
      </c>
      <c r="C191" s="18" t="s">
        <v>48</v>
      </c>
      <c r="D191" s="19">
        <v>44759</v>
      </c>
      <c r="E191" s="20">
        <v>45366</v>
      </c>
      <c r="F191" s="21">
        <v>25766.400000000001</v>
      </c>
      <c r="G191" s="21">
        <v>22536</v>
      </c>
      <c r="H191" s="21">
        <v>2254.4</v>
      </c>
      <c r="I191" s="18">
        <v>987.24800000000005</v>
      </c>
      <c r="J191" s="18">
        <v>2163.5839999999998</v>
      </c>
      <c r="K191" s="18" t="s">
        <v>43</v>
      </c>
      <c r="L191" s="18" t="s">
        <v>31</v>
      </c>
      <c r="M191" s="18" t="s">
        <v>32</v>
      </c>
      <c r="N191" s="22">
        <f t="shared" si="12"/>
        <v>0.874627421758569</v>
      </c>
      <c r="O191" s="22">
        <f t="shared" si="13"/>
        <v>0.100035498757543</v>
      </c>
      <c r="P191" s="23">
        <f t="shared" si="14"/>
        <v>4.3807596734114301E-2</v>
      </c>
      <c r="Q191" s="23">
        <f t="shared" si="15"/>
        <v>0.43792051100071</v>
      </c>
      <c r="R191" s="22">
        <f t="shared" si="16"/>
        <v>1.19153039560475</v>
      </c>
      <c r="S191" s="22">
        <f t="shared" si="17"/>
        <v>2.19153039560475</v>
      </c>
    </row>
    <row r="192" spans="1:19">
      <c r="A192" s="18" t="s">
        <v>231</v>
      </c>
      <c r="B192" s="18" t="s">
        <v>28</v>
      </c>
      <c r="C192" s="18" t="s">
        <v>21</v>
      </c>
      <c r="D192" s="19">
        <v>44901</v>
      </c>
      <c r="E192" s="20">
        <v>45525</v>
      </c>
      <c r="F192" s="21">
        <v>48137.599999999999</v>
      </c>
      <c r="G192" s="21">
        <v>34542.400000000001</v>
      </c>
      <c r="H192" s="21">
        <v>9369.6</v>
      </c>
      <c r="I192" s="18">
        <v>4861.68</v>
      </c>
      <c r="J192" s="18">
        <v>11360.896000000001</v>
      </c>
      <c r="K192" s="18" t="s">
        <v>43</v>
      </c>
      <c r="L192" s="18" t="s">
        <v>23</v>
      </c>
      <c r="M192" s="18" t="s">
        <v>24</v>
      </c>
      <c r="N192" s="22">
        <f t="shared" si="12"/>
        <v>0.71757628132686302</v>
      </c>
      <c r="O192" s="22">
        <f t="shared" si="13"/>
        <v>0.271249247301867</v>
      </c>
      <c r="P192" s="23">
        <f t="shared" si="14"/>
        <v>0.140745286951688</v>
      </c>
      <c r="Q192" s="23">
        <f t="shared" si="15"/>
        <v>0.518878073770492</v>
      </c>
      <c r="R192" s="22">
        <f t="shared" si="16"/>
        <v>1.3368251304076</v>
      </c>
      <c r="S192" s="22">
        <f t="shared" si="17"/>
        <v>2.3368251304076</v>
      </c>
    </row>
    <row r="193" spans="1:19">
      <c r="A193" s="18" t="s">
        <v>232</v>
      </c>
      <c r="B193" s="18" t="s">
        <v>47</v>
      </c>
      <c r="C193" s="18" t="s">
        <v>21</v>
      </c>
      <c r="D193" s="19">
        <v>44754</v>
      </c>
      <c r="E193" s="20">
        <v>45374</v>
      </c>
      <c r="F193" s="21">
        <v>60728</v>
      </c>
      <c r="G193" s="21">
        <v>39129.599999999999</v>
      </c>
      <c r="H193" s="21">
        <v>14582.4</v>
      </c>
      <c r="I193" s="18">
        <v>7446.16</v>
      </c>
      <c r="J193" s="18">
        <v>18320.335999999999</v>
      </c>
      <c r="K193" s="18" t="s">
        <v>65</v>
      </c>
      <c r="L193" s="18" t="s">
        <v>50</v>
      </c>
      <c r="M193" s="18" t="s">
        <v>24</v>
      </c>
      <c r="N193" s="22">
        <f t="shared" si="12"/>
        <v>0.64434198392833597</v>
      </c>
      <c r="O193" s="22">
        <f t="shared" si="13"/>
        <v>0.37266928361138402</v>
      </c>
      <c r="P193" s="23">
        <f t="shared" si="14"/>
        <v>0.19029481517827901</v>
      </c>
      <c r="Q193" s="23">
        <f t="shared" si="15"/>
        <v>0.51062650866798298</v>
      </c>
      <c r="R193" s="22">
        <f t="shared" si="16"/>
        <v>1.4603736691126701</v>
      </c>
      <c r="S193" s="22">
        <f t="shared" si="17"/>
        <v>2.4603736691126699</v>
      </c>
    </row>
    <row r="194" spans="1:19">
      <c r="A194" s="18" t="s">
        <v>233</v>
      </c>
      <c r="B194" s="18" t="s">
        <v>26</v>
      </c>
      <c r="C194" s="18" t="s">
        <v>21</v>
      </c>
      <c r="D194" s="19">
        <v>44801</v>
      </c>
      <c r="E194" s="20">
        <v>45421</v>
      </c>
      <c r="F194" s="21">
        <v>64576</v>
      </c>
      <c r="G194" s="21">
        <v>48915.199999999997</v>
      </c>
      <c r="H194" s="21">
        <v>758.4</v>
      </c>
      <c r="I194" s="18">
        <v>7242.7359999999999</v>
      </c>
      <c r="J194" s="18">
        <v>24602.335999999999</v>
      </c>
      <c r="K194" s="18" t="s">
        <v>22</v>
      </c>
      <c r="L194" s="18" t="s">
        <v>44</v>
      </c>
      <c r="M194" s="18" t="s">
        <v>24</v>
      </c>
      <c r="N194" s="22">
        <f t="shared" ref="N194:N257" si="18">G194/F194</f>
        <v>0.75748265609514398</v>
      </c>
      <c r="O194" s="22">
        <f t="shared" ref="O194:O257" si="19">H194/G194</f>
        <v>1.5504383095643099E-2</v>
      </c>
      <c r="P194" s="23">
        <f t="shared" ref="P194:P257" si="20">I194/G194</f>
        <v>0.14806718566008101</v>
      </c>
      <c r="Q194" s="23">
        <f t="shared" ref="Q194:Q257" si="21">I194/H194</f>
        <v>9.5500210970464092</v>
      </c>
      <c r="R194" s="22">
        <f t="shared" ref="R194:R257" si="22">(J194-I194)/I194</f>
        <v>2.3968290436100399</v>
      </c>
      <c r="S194" s="22">
        <f t="shared" ref="S194:S257" si="23">J194/I194</f>
        <v>3.3968290436100399</v>
      </c>
    </row>
    <row r="195" spans="1:19">
      <c r="A195" s="18" t="s">
        <v>234</v>
      </c>
      <c r="B195" s="18" t="s">
        <v>34</v>
      </c>
      <c r="C195" s="18" t="s">
        <v>41</v>
      </c>
      <c r="D195" s="19">
        <v>44866</v>
      </c>
      <c r="E195" s="20">
        <v>45494</v>
      </c>
      <c r="F195" s="21">
        <v>18080</v>
      </c>
      <c r="G195" s="21">
        <v>6820.8</v>
      </c>
      <c r="H195" s="21">
        <v>4211.2</v>
      </c>
      <c r="I195" s="18">
        <v>361.072</v>
      </c>
      <c r="J195" s="18">
        <v>485.85599999999999</v>
      </c>
      <c r="K195" s="18" t="s">
        <v>65</v>
      </c>
      <c r="L195" s="18" t="s">
        <v>35</v>
      </c>
      <c r="M195" s="18" t="s">
        <v>24</v>
      </c>
      <c r="N195" s="22">
        <f t="shared" si="18"/>
        <v>0.37725663716814201</v>
      </c>
      <c r="O195" s="22">
        <f t="shared" si="19"/>
        <v>0.61740558292282399</v>
      </c>
      <c r="P195" s="23">
        <f t="shared" si="20"/>
        <v>5.2936898897490002E-2</v>
      </c>
      <c r="Q195" s="23">
        <f t="shared" si="21"/>
        <v>8.5740881458966606E-2</v>
      </c>
      <c r="R195" s="22">
        <f t="shared" si="22"/>
        <v>0.345593122701289</v>
      </c>
      <c r="S195" s="22">
        <f t="shared" si="23"/>
        <v>1.3455931227012901</v>
      </c>
    </row>
    <row r="196" spans="1:19">
      <c r="A196" s="18" t="s">
        <v>235</v>
      </c>
      <c r="B196" s="18" t="s">
        <v>20</v>
      </c>
      <c r="C196" s="18" t="s">
        <v>48</v>
      </c>
      <c r="D196" s="19">
        <v>44700</v>
      </c>
      <c r="E196" s="20">
        <v>45323</v>
      </c>
      <c r="F196" s="21">
        <v>55454.400000000001</v>
      </c>
      <c r="G196" s="21">
        <v>40867.199999999997</v>
      </c>
      <c r="H196" s="21">
        <v>25670.400000000001</v>
      </c>
      <c r="I196" s="18">
        <v>4894.3040000000001</v>
      </c>
      <c r="J196" s="18">
        <v>8759.0879999999997</v>
      </c>
      <c r="K196" s="18" t="s">
        <v>65</v>
      </c>
      <c r="L196" s="18" t="s">
        <v>50</v>
      </c>
      <c r="M196" s="18" t="s">
        <v>32</v>
      </c>
      <c r="N196" s="22">
        <f t="shared" si="18"/>
        <v>0.73695144118410805</v>
      </c>
      <c r="O196" s="22">
        <f t="shared" si="19"/>
        <v>0.62814188395583703</v>
      </c>
      <c r="P196" s="23">
        <f t="shared" si="20"/>
        <v>0.119761177668154</v>
      </c>
      <c r="Q196" s="23">
        <f t="shared" si="21"/>
        <v>0.190659436549489</v>
      </c>
      <c r="R196" s="22">
        <f t="shared" si="22"/>
        <v>0.78964935565914995</v>
      </c>
      <c r="S196" s="22">
        <f t="shared" si="23"/>
        <v>1.78964935565915</v>
      </c>
    </row>
    <row r="197" spans="1:19">
      <c r="A197" s="18" t="s">
        <v>236</v>
      </c>
      <c r="B197" s="18" t="s">
        <v>47</v>
      </c>
      <c r="C197" s="18" t="s">
        <v>48</v>
      </c>
      <c r="D197" s="19">
        <v>44949</v>
      </c>
      <c r="E197" s="20">
        <v>45567</v>
      </c>
      <c r="F197" s="21">
        <v>9680</v>
      </c>
      <c r="G197" s="21">
        <v>2337.6</v>
      </c>
      <c r="H197" s="21">
        <v>529.6</v>
      </c>
      <c r="I197" s="18">
        <v>366.91199999999998</v>
      </c>
      <c r="J197" s="18">
        <v>929.28</v>
      </c>
      <c r="K197" s="18" t="s">
        <v>38</v>
      </c>
      <c r="L197" s="18" t="s">
        <v>23</v>
      </c>
      <c r="M197" s="18" t="s">
        <v>24</v>
      </c>
      <c r="N197" s="22">
        <f t="shared" si="18"/>
        <v>0.241487603305785</v>
      </c>
      <c r="O197" s="22">
        <f t="shared" si="19"/>
        <v>0.226557152635181</v>
      </c>
      <c r="P197" s="23">
        <f t="shared" si="20"/>
        <v>0.15696098562628299</v>
      </c>
      <c r="Q197" s="23">
        <f t="shared" si="21"/>
        <v>0.69280966767371599</v>
      </c>
      <c r="R197" s="22">
        <f t="shared" si="22"/>
        <v>1.5327053898482501</v>
      </c>
      <c r="S197" s="22">
        <f t="shared" si="23"/>
        <v>2.5327053898482501</v>
      </c>
    </row>
    <row r="198" spans="1:19">
      <c r="A198" s="18" t="s">
        <v>237</v>
      </c>
      <c r="B198" s="18" t="s">
        <v>47</v>
      </c>
      <c r="C198" s="18" t="s">
        <v>29</v>
      </c>
      <c r="D198" s="19">
        <v>44960</v>
      </c>
      <c r="E198" s="20">
        <v>45577</v>
      </c>
      <c r="F198" s="21">
        <v>42372.800000000003</v>
      </c>
      <c r="G198" s="21">
        <v>38022.400000000001</v>
      </c>
      <c r="H198" s="21">
        <v>16251.2</v>
      </c>
      <c r="I198" s="18">
        <v>5910.0479999999998</v>
      </c>
      <c r="J198" s="18">
        <v>16192.384</v>
      </c>
      <c r="K198" s="18" t="s">
        <v>65</v>
      </c>
      <c r="L198" s="18" t="s">
        <v>35</v>
      </c>
      <c r="M198" s="18" t="s">
        <v>32</v>
      </c>
      <c r="N198" s="22">
        <f t="shared" si="18"/>
        <v>0.89733036287429702</v>
      </c>
      <c r="O198" s="22">
        <f t="shared" si="19"/>
        <v>0.427411210233967</v>
      </c>
      <c r="P198" s="23">
        <f t="shared" si="20"/>
        <v>0.15543595354317499</v>
      </c>
      <c r="Q198" s="23">
        <f t="shared" si="21"/>
        <v>0.36366840602540101</v>
      </c>
      <c r="R198" s="22">
        <f t="shared" si="22"/>
        <v>1.73980583575633</v>
      </c>
      <c r="S198" s="22">
        <f t="shared" si="23"/>
        <v>2.73980583575633</v>
      </c>
    </row>
    <row r="199" spans="1:19">
      <c r="A199" s="18" t="s">
        <v>238</v>
      </c>
      <c r="B199" s="18" t="s">
        <v>40</v>
      </c>
      <c r="C199" s="18" t="s">
        <v>29</v>
      </c>
      <c r="D199" s="19">
        <v>44791</v>
      </c>
      <c r="E199" s="20">
        <v>45402</v>
      </c>
      <c r="F199" s="21">
        <v>74296</v>
      </c>
      <c r="G199" s="21">
        <v>60428.800000000003</v>
      </c>
      <c r="H199" s="21">
        <v>17724.8</v>
      </c>
      <c r="I199" s="18">
        <v>2994.1120000000001</v>
      </c>
      <c r="J199" s="18">
        <v>3814.1120000000001</v>
      </c>
      <c r="K199" s="18" t="s">
        <v>22</v>
      </c>
      <c r="L199" s="18" t="s">
        <v>23</v>
      </c>
      <c r="M199" s="18" t="s">
        <v>32</v>
      </c>
      <c r="N199" s="22">
        <f t="shared" si="18"/>
        <v>0.81335199741574205</v>
      </c>
      <c r="O199" s="22">
        <f t="shared" si="19"/>
        <v>0.29331709383605198</v>
      </c>
      <c r="P199" s="23">
        <f t="shared" si="20"/>
        <v>4.9547765303961003E-2</v>
      </c>
      <c r="Q199" s="23">
        <f t="shared" si="21"/>
        <v>0.168922188120599</v>
      </c>
      <c r="R199" s="22">
        <f t="shared" si="22"/>
        <v>0.273870850522626</v>
      </c>
      <c r="S199" s="22">
        <f t="shared" si="23"/>
        <v>1.2738708505226299</v>
      </c>
    </row>
    <row r="200" spans="1:19">
      <c r="A200" s="18" t="s">
        <v>239</v>
      </c>
      <c r="B200" s="18" t="s">
        <v>26</v>
      </c>
      <c r="C200" s="18" t="s">
        <v>29</v>
      </c>
      <c r="D200" s="19">
        <v>44876</v>
      </c>
      <c r="E200" s="20">
        <v>45481</v>
      </c>
      <c r="F200" s="21">
        <v>30980.799999999999</v>
      </c>
      <c r="G200" s="21">
        <v>25577.599999999999</v>
      </c>
      <c r="H200" s="21">
        <v>7819.2</v>
      </c>
      <c r="I200" s="18">
        <v>7048.0640000000003</v>
      </c>
      <c r="J200" s="18">
        <v>15367.232</v>
      </c>
      <c r="K200" s="18" t="s">
        <v>65</v>
      </c>
      <c r="L200" s="18" t="s">
        <v>23</v>
      </c>
      <c r="M200" s="18" t="s">
        <v>24</v>
      </c>
      <c r="N200" s="22">
        <f t="shared" si="18"/>
        <v>0.82559520735423197</v>
      </c>
      <c r="O200" s="22">
        <f t="shared" si="19"/>
        <v>0.30570499186788402</v>
      </c>
      <c r="P200" s="23">
        <f t="shared" si="20"/>
        <v>0.27555611159764798</v>
      </c>
      <c r="Q200" s="23">
        <f t="shared" si="21"/>
        <v>0.90137916922447303</v>
      </c>
      <c r="R200" s="22">
        <f t="shared" si="22"/>
        <v>1.18034796505821</v>
      </c>
      <c r="S200" s="22">
        <f t="shared" si="23"/>
        <v>2.18034796505821</v>
      </c>
    </row>
    <row r="201" spans="1:19">
      <c r="A201" s="18" t="s">
        <v>240</v>
      </c>
      <c r="B201" s="18" t="s">
        <v>40</v>
      </c>
      <c r="C201" s="18" t="s">
        <v>21</v>
      </c>
      <c r="D201" s="19">
        <v>44939</v>
      </c>
      <c r="E201" s="20">
        <v>45545</v>
      </c>
      <c r="F201" s="21">
        <v>3440</v>
      </c>
      <c r="G201" s="21">
        <v>1321.6</v>
      </c>
      <c r="H201" s="21">
        <v>28.8</v>
      </c>
      <c r="I201" s="18">
        <v>748.17600000000004</v>
      </c>
      <c r="J201" s="18">
        <v>1611.376</v>
      </c>
      <c r="K201" s="18" t="s">
        <v>38</v>
      </c>
      <c r="L201" s="18" t="s">
        <v>44</v>
      </c>
      <c r="M201" s="18" t="s">
        <v>24</v>
      </c>
      <c r="N201" s="22">
        <f t="shared" si="18"/>
        <v>0.38418604651162802</v>
      </c>
      <c r="O201" s="22">
        <f t="shared" si="19"/>
        <v>2.17917675544794E-2</v>
      </c>
      <c r="P201" s="23">
        <f t="shared" si="20"/>
        <v>0.566113801452785</v>
      </c>
      <c r="Q201" s="23">
        <f t="shared" si="21"/>
        <v>25.9783333333333</v>
      </c>
      <c r="R201" s="22">
        <f t="shared" si="22"/>
        <v>1.1537392271337199</v>
      </c>
      <c r="S201" s="22">
        <f t="shared" si="23"/>
        <v>2.1537392271337201</v>
      </c>
    </row>
    <row r="202" spans="1:19">
      <c r="A202" s="18" t="s">
        <v>241</v>
      </c>
      <c r="B202" s="18" t="s">
        <v>26</v>
      </c>
      <c r="C202" s="18" t="s">
        <v>41</v>
      </c>
      <c r="D202" s="19">
        <v>44892</v>
      </c>
      <c r="E202" s="20">
        <v>45513</v>
      </c>
      <c r="F202" s="21">
        <v>40790.400000000001</v>
      </c>
      <c r="G202" s="21">
        <v>35742.400000000001</v>
      </c>
      <c r="H202" s="21">
        <v>6083.2</v>
      </c>
      <c r="I202" s="18">
        <v>6801.808</v>
      </c>
      <c r="J202" s="18">
        <v>8898.7199999999993</v>
      </c>
      <c r="K202" s="18" t="s">
        <v>43</v>
      </c>
      <c r="L202" s="18" t="s">
        <v>44</v>
      </c>
      <c r="M202" s="18" t="s">
        <v>32</v>
      </c>
      <c r="N202" s="22">
        <f t="shared" si="18"/>
        <v>0.87624539107240895</v>
      </c>
      <c r="O202" s="22">
        <f t="shared" si="19"/>
        <v>0.17019562200635699</v>
      </c>
      <c r="P202" s="23">
        <f t="shared" si="20"/>
        <v>0.19030081919513001</v>
      </c>
      <c r="Q202" s="23">
        <f t="shared" si="21"/>
        <v>1.11812993161494</v>
      </c>
      <c r="R202" s="22">
        <f t="shared" si="22"/>
        <v>0.30828744357382598</v>
      </c>
      <c r="S202" s="22">
        <f t="shared" si="23"/>
        <v>1.3082874435738301</v>
      </c>
    </row>
    <row r="203" spans="1:19">
      <c r="A203" s="18" t="s">
        <v>242</v>
      </c>
      <c r="B203" s="18" t="s">
        <v>40</v>
      </c>
      <c r="C203" s="18" t="s">
        <v>41</v>
      </c>
      <c r="D203" s="19">
        <v>44927</v>
      </c>
      <c r="E203" s="20">
        <v>45542</v>
      </c>
      <c r="F203" s="21">
        <v>70616</v>
      </c>
      <c r="G203" s="21">
        <v>45107.199999999997</v>
      </c>
      <c r="H203" s="21">
        <v>36233.599999999999</v>
      </c>
      <c r="I203" s="18">
        <v>4156.576</v>
      </c>
      <c r="J203" s="18">
        <v>16135.951999999999</v>
      </c>
      <c r="K203" s="18" t="s">
        <v>38</v>
      </c>
      <c r="L203" s="18" t="s">
        <v>50</v>
      </c>
      <c r="M203" s="18" t="s">
        <v>32</v>
      </c>
      <c r="N203" s="22">
        <f t="shared" si="18"/>
        <v>0.63876741814886095</v>
      </c>
      <c r="O203" s="22">
        <f t="shared" si="19"/>
        <v>0.80327752553915999</v>
      </c>
      <c r="P203" s="23">
        <f t="shared" si="20"/>
        <v>9.2148836549375696E-2</v>
      </c>
      <c r="Q203" s="23">
        <f t="shared" si="21"/>
        <v>0.114716064647178</v>
      </c>
      <c r="R203" s="22">
        <f t="shared" si="22"/>
        <v>2.8820298245478999</v>
      </c>
      <c r="S203" s="22">
        <f t="shared" si="23"/>
        <v>3.8820298245478999</v>
      </c>
    </row>
    <row r="204" spans="1:19">
      <c r="A204" s="18" t="s">
        <v>243</v>
      </c>
      <c r="B204" s="18" t="s">
        <v>47</v>
      </c>
      <c r="C204" s="18" t="s">
        <v>21</v>
      </c>
      <c r="D204" s="19">
        <v>44976</v>
      </c>
      <c r="E204" s="20">
        <v>45590</v>
      </c>
      <c r="F204" s="21">
        <v>79342.399999999994</v>
      </c>
      <c r="G204" s="21">
        <v>7969.6</v>
      </c>
      <c r="H204" s="21">
        <v>3241.6</v>
      </c>
      <c r="I204" s="18">
        <v>3044.0479999999998</v>
      </c>
      <c r="J204" s="18">
        <v>7382.64</v>
      </c>
      <c r="K204" s="18" t="s">
        <v>30</v>
      </c>
      <c r="L204" s="18" t="s">
        <v>31</v>
      </c>
      <c r="M204" s="18" t="s">
        <v>24</v>
      </c>
      <c r="N204" s="22">
        <f t="shared" si="18"/>
        <v>0.10044566335276001</v>
      </c>
      <c r="O204" s="22">
        <f t="shared" si="19"/>
        <v>0.40674563340694603</v>
      </c>
      <c r="P204" s="23">
        <f t="shared" si="20"/>
        <v>0.38195743826540901</v>
      </c>
      <c r="Q204" s="23">
        <f t="shared" si="21"/>
        <v>0.93905725567620901</v>
      </c>
      <c r="R204" s="22">
        <f t="shared" si="22"/>
        <v>1.4252705607795899</v>
      </c>
      <c r="S204" s="22">
        <f t="shared" si="23"/>
        <v>2.4252705607795901</v>
      </c>
    </row>
    <row r="205" spans="1:19">
      <c r="A205" s="18" t="s">
        <v>244</v>
      </c>
      <c r="B205" s="18" t="s">
        <v>34</v>
      </c>
      <c r="C205" s="18" t="s">
        <v>48</v>
      </c>
      <c r="D205" s="19">
        <v>44965</v>
      </c>
      <c r="E205" s="20">
        <v>45584</v>
      </c>
      <c r="F205" s="21">
        <v>47792</v>
      </c>
      <c r="G205" s="21">
        <v>13360</v>
      </c>
      <c r="H205" s="21">
        <v>12187.2</v>
      </c>
      <c r="I205" s="18">
        <v>502.8</v>
      </c>
      <c r="J205" s="18">
        <v>1766.624</v>
      </c>
      <c r="K205" s="18" t="s">
        <v>65</v>
      </c>
      <c r="L205" s="18" t="s">
        <v>35</v>
      </c>
      <c r="M205" s="18" t="s">
        <v>24</v>
      </c>
      <c r="N205" s="22">
        <f t="shared" si="18"/>
        <v>0.279544693672581</v>
      </c>
      <c r="O205" s="22">
        <f t="shared" si="19"/>
        <v>0.91221556886227595</v>
      </c>
      <c r="P205" s="23">
        <f t="shared" si="20"/>
        <v>3.7634730538922197E-2</v>
      </c>
      <c r="Q205" s="23">
        <f t="shared" si="21"/>
        <v>4.1256400157542297E-2</v>
      </c>
      <c r="R205" s="22">
        <f t="shared" si="22"/>
        <v>2.5135719968178201</v>
      </c>
      <c r="S205" s="22">
        <f t="shared" si="23"/>
        <v>3.5135719968178201</v>
      </c>
    </row>
    <row r="206" spans="1:19">
      <c r="A206" s="18" t="s">
        <v>245</v>
      </c>
      <c r="B206" s="18" t="s">
        <v>47</v>
      </c>
      <c r="C206" s="18" t="s">
        <v>48</v>
      </c>
      <c r="D206" s="19">
        <v>44929</v>
      </c>
      <c r="E206" s="20">
        <v>45547</v>
      </c>
      <c r="F206" s="21">
        <v>61137.599999999999</v>
      </c>
      <c r="G206" s="21">
        <v>55267.199999999997</v>
      </c>
      <c r="H206" s="21">
        <v>30552</v>
      </c>
      <c r="I206" s="18">
        <v>752.32</v>
      </c>
      <c r="J206" s="18">
        <v>1415.6</v>
      </c>
      <c r="K206" s="18" t="s">
        <v>65</v>
      </c>
      <c r="L206" s="18" t="s">
        <v>35</v>
      </c>
      <c r="M206" s="18" t="s">
        <v>24</v>
      </c>
      <c r="N206" s="22">
        <f t="shared" si="18"/>
        <v>0.90398052916699401</v>
      </c>
      <c r="O206" s="22">
        <f t="shared" si="19"/>
        <v>0.552805280528053</v>
      </c>
      <c r="P206" s="23">
        <f t="shared" si="20"/>
        <v>1.36124138729662E-2</v>
      </c>
      <c r="Q206" s="23">
        <f t="shared" si="21"/>
        <v>2.4624247185126999E-2</v>
      </c>
      <c r="R206" s="22">
        <f t="shared" si="22"/>
        <v>0.88164610803913201</v>
      </c>
      <c r="S206" s="22">
        <f t="shared" si="23"/>
        <v>1.88164610803913</v>
      </c>
    </row>
    <row r="207" spans="1:19">
      <c r="A207" s="18" t="s">
        <v>246</v>
      </c>
      <c r="B207" s="18" t="s">
        <v>20</v>
      </c>
      <c r="C207" s="18" t="s">
        <v>48</v>
      </c>
      <c r="D207" s="19">
        <v>44867</v>
      </c>
      <c r="E207" s="20">
        <v>45474</v>
      </c>
      <c r="F207" s="21">
        <v>15236.8</v>
      </c>
      <c r="G207" s="21">
        <v>1140.8</v>
      </c>
      <c r="H207" s="21">
        <v>259.2</v>
      </c>
      <c r="I207" s="18">
        <v>3767.2959999999998</v>
      </c>
      <c r="J207" s="18">
        <v>10759.103999999999</v>
      </c>
      <c r="K207" s="18" t="s">
        <v>22</v>
      </c>
      <c r="L207" s="18" t="s">
        <v>23</v>
      </c>
      <c r="M207" s="18" t="s">
        <v>24</v>
      </c>
      <c r="N207" s="22">
        <f t="shared" si="18"/>
        <v>7.4871364065945606E-2</v>
      </c>
      <c r="O207" s="22">
        <f t="shared" si="19"/>
        <v>0.22720897615708299</v>
      </c>
      <c r="P207" s="23">
        <f t="shared" si="20"/>
        <v>3.3023281907433399</v>
      </c>
      <c r="Q207" s="23">
        <f t="shared" si="21"/>
        <v>14.534320987654301</v>
      </c>
      <c r="R207" s="22">
        <f t="shared" si="22"/>
        <v>1.8559221255775999</v>
      </c>
      <c r="S207" s="22">
        <f t="shared" si="23"/>
        <v>2.8559221255775999</v>
      </c>
    </row>
    <row r="208" spans="1:19">
      <c r="A208" s="18" t="s">
        <v>247</v>
      </c>
      <c r="B208" s="18" t="s">
        <v>47</v>
      </c>
      <c r="C208" s="18" t="s">
        <v>48</v>
      </c>
      <c r="D208" s="19">
        <v>44964</v>
      </c>
      <c r="E208" s="20">
        <v>45593</v>
      </c>
      <c r="F208" s="21">
        <v>21936</v>
      </c>
      <c r="G208" s="21">
        <v>18984</v>
      </c>
      <c r="H208" s="21">
        <v>18816</v>
      </c>
      <c r="I208" s="18">
        <v>3830.56</v>
      </c>
      <c r="J208" s="18">
        <v>12354.928</v>
      </c>
      <c r="K208" s="18" t="s">
        <v>38</v>
      </c>
      <c r="L208" s="18" t="s">
        <v>44</v>
      </c>
      <c r="M208" s="18" t="s">
        <v>32</v>
      </c>
      <c r="N208" s="22">
        <f t="shared" si="18"/>
        <v>0.86542669584245102</v>
      </c>
      <c r="O208" s="22">
        <f t="shared" si="19"/>
        <v>0.99115044247787598</v>
      </c>
      <c r="P208" s="23">
        <f t="shared" si="20"/>
        <v>0.201778339654446</v>
      </c>
      <c r="Q208" s="23">
        <f t="shared" si="21"/>
        <v>0.20357993197278901</v>
      </c>
      <c r="R208" s="22">
        <f t="shared" si="22"/>
        <v>2.22535817217326</v>
      </c>
      <c r="S208" s="22">
        <f t="shared" si="23"/>
        <v>3.22535817217326</v>
      </c>
    </row>
    <row r="209" spans="1:19">
      <c r="A209" s="18" t="s">
        <v>248</v>
      </c>
      <c r="B209" s="18" t="s">
        <v>34</v>
      </c>
      <c r="C209" s="18" t="s">
        <v>41</v>
      </c>
      <c r="D209" s="19">
        <v>44887</v>
      </c>
      <c r="E209" s="20">
        <v>45513</v>
      </c>
      <c r="F209" s="21">
        <v>63700.800000000003</v>
      </c>
      <c r="G209" s="21">
        <v>18608</v>
      </c>
      <c r="H209" s="21">
        <v>4051.2</v>
      </c>
      <c r="I209" s="18">
        <v>3611.9839999999999</v>
      </c>
      <c r="J209" s="18">
        <v>14254.288</v>
      </c>
      <c r="K209" s="18" t="s">
        <v>38</v>
      </c>
      <c r="L209" s="18" t="s">
        <v>35</v>
      </c>
      <c r="M209" s="18" t="s">
        <v>32</v>
      </c>
      <c r="N209" s="22">
        <f t="shared" si="18"/>
        <v>0.29211564061989798</v>
      </c>
      <c r="O209" s="22">
        <f t="shared" si="19"/>
        <v>0.217712811693895</v>
      </c>
      <c r="P209" s="23">
        <f t="shared" si="20"/>
        <v>0.194109200343938</v>
      </c>
      <c r="Q209" s="23">
        <f t="shared" si="21"/>
        <v>0.891583728278041</v>
      </c>
      <c r="R209" s="22">
        <f t="shared" si="22"/>
        <v>2.9463873594124399</v>
      </c>
      <c r="S209" s="22">
        <f t="shared" si="23"/>
        <v>3.9463873594124501</v>
      </c>
    </row>
    <row r="210" spans="1:19">
      <c r="A210" s="18" t="s">
        <v>249</v>
      </c>
      <c r="B210" s="18" t="s">
        <v>26</v>
      </c>
      <c r="C210" s="18" t="s">
        <v>48</v>
      </c>
      <c r="D210" s="19">
        <v>44799</v>
      </c>
      <c r="E210" s="20">
        <v>45428</v>
      </c>
      <c r="F210" s="21">
        <v>67715.199999999997</v>
      </c>
      <c r="G210" s="21">
        <v>14027.2</v>
      </c>
      <c r="H210" s="21">
        <v>2880</v>
      </c>
      <c r="I210" s="18">
        <v>4442.8320000000003</v>
      </c>
      <c r="J210" s="18">
        <v>12770.672</v>
      </c>
      <c r="K210" s="18" t="s">
        <v>43</v>
      </c>
      <c r="L210" s="18" t="s">
        <v>44</v>
      </c>
      <c r="M210" s="18" t="s">
        <v>24</v>
      </c>
      <c r="N210" s="22">
        <f t="shared" si="18"/>
        <v>0.20714994565474201</v>
      </c>
      <c r="O210" s="22">
        <f t="shared" si="19"/>
        <v>0.20531538724763301</v>
      </c>
      <c r="P210" s="23">
        <f t="shared" si="20"/>
        <v>0.31672978213756098</v>
      </c>
      <c r="Q210" s="23">
        <f t="shared" si="21"/>
        <v>1.5426500000000001</v>
      </c>
      <c r="R210" s="22">
        <f t="shared" si="22"/>
        <v>1.8744440483007201</v>
      </c>
      <c r="S210" s="22">
        <f t="shared" si="23"/>
        <v>2.8744440483007199</v>
      </c>
    </row>
    <row r="211" spans="1:19">
      <c r="A211" s="18" t="s">
        <v>250</v>
      </c>
      <c r="B211" s="18" t="s">
        <v>47</v>
      </c>
      <c r="C211" s="18" t="s">
        <v>41</v>
      </c>
      <c r="D211" s="19">
        <v>44954</v>
      </c>
      <c r="E211" s="20">
        <v>45557</v>
      </c>
      <c r="F211" s="21">
        <v>47508.800000000003</v>
      </c>
      <c r="G211" s="21">
        <v>32628.799999999999</v>
      </c>
      <c r="H211" s="21">
        <v>24128</v>
      </c>
      <c r="I211" s="18">
        <v>6420.72</v>
      </c>
      <c r="J211" s="18">
        <v>25156.416000000001</v>
      </c>
      <c r="K211" s="18" t="s">
        <v>65</v>
      </c>
      <c r="L211" s="18" t="s">
        <v>35</v>
      </c>
      <c r="M211" s="18" t="s">
        <v>24</v>
      </c>
      <c r="N211" s="22">
        <f t="shared" si="18"/>
        <v>0.68679486747718299</v>
      </c>
      <c r="O211" s="22">
        <f t="shared" si="19"/>
        <v>0.73946942578335695</v>
      </c>
      <c r="P211" s="23">
        <f t="shared" si="20"/>
        <v>0.196780758103271</v>
      </c>
      <c r="Q211" s="23">
        <f t="shared" si="21"/>
        <v>0.26611074270557</v>
      </c>
      <c r="R211" s="22">
        <f t="shared" si="22"/>
        <v>2.9180054573318901</v>
      </c>
      <c r="S211" s="22">
        <f t="shared" si="23"/>
        <v>3.9180054573318901</v>
      </c>
    </row>
    <row r="212" spans="1:19">
      <c r="A212" s="18" t="s">
        <v>251</v>
      </c>
      <c r="B212" s="18" t="s">
        <v>28</v>
      </c>
      <c r="C212" s="18" t="s">
        <v>21</v>
      </c>
      <c r="D212" s="19">
        <v>44728</v>
      </c>
      <c r="E212" s="20">
        <v>45349</v>
      </c>
      <c r="F212" s="21">
        <v>4457.6000000000004</v>
      </c>
      <c r="G212" s="21">
        <v>3635.2</v>
      </c>
      <c r="H212" s="21">
        <v>833.6</v>
      </c>
      <c r="I212" s="18">
        <v>906.8</v>
      </c>
      <c r="J212" s="18">
        <v>1690.144</v>
      </c>
      <c r="K212" s="18" t="s">
        <v>22</v>
      </c>
      <c r="L212" s="18" t="s">
        <v>31</v>
      </c>
      <c r="M212" s="18" t="s">
        <v>32</v>
      </c>
      <c r="N212" s="22">
        <f t="shared" si="18"/>
        <v>0.81550610193826301</v>
      </c>
      <c r="O212" s="22">
        <f t="shared" si="19"/>
        <v>0.22931338028168999</v>
      </c>
      <c r="P212" s="23">
        <f t="shared" si="20"/>
        <v>0.249449823943662</v>
      </c>
      <c r="Q212" s="23">
        <f t="shared" si="21"/>
        <v>1.08781190019194</v>
      </c>
      <c r="R212" s="22">
        <f t="shared" si="22"/>
        <v>0.86385531539479499</v>
      </c>
      <c r="S212" s="22">
        <f t="shared" si="23"/>
        <v>1.8638553153947901</v>
      </c>
    </row>
    <row r="213" spans="1:19">
      <c r="A213" s="18" t="s">
        <v>252</v>
      </c>
      <c r="B213" s="18" t="s">
        <v>40</v>
      </c>
      <c r="C213" s="18" t="s">
        <v>48</v>
      </c>
      <c r="D213" s="19">
        <v>44729</v>
      </c>
      <c r="E213" s="20">
        <v>45354</v>
      </c>
      <c r="F213" s="21">
        <v>23776</v>
      </c>
      <c r="G213" s="21">
        <v>23764.799999999999</v>
      </c>
      <c r="H213" s="21">
        <v>3908.8</v>
      </c>
      <c r="I213" s="18">
        <v>2463.0720000000001</v>
      </c>
      <c r="J213" s="18">
        <v>9420.3680000000004</v>
      </c>
      <c r="K213" s="18" t="s">
        <v>30</v>
      </c>
      <c r="L213" s="18" t="s">
        <v>44</v>
      </c>
      <c r="M213" s="18" t="s">
        <v>24</v>
      </c>
      <c r="N213" s="22">
        <f t="shared" si="18"/>
        <v>0.99952893674293397</v>
      </c>
      <c r="O213" s="22">
        <f t="shared" si="19"/>
        <v>0.164478556520568</v>
      </c>
      <c r="P213" s="23">
        <f t="shared" si="20"/>
        <v>0.10364370834174901</v>
      </c>
      <c r="Q213" s="23">
        <f t="shared" si="21"/>
        <v>0.63013507981989403</v>
      </c>
      <c r="R213" s="22">
        <f t="shared" si="22"/>
        <v>2.8246417481908801</v>
      </c>
      <c r="S213" s="22">
        <f t="shared" si="23"/>
        <v>3.8246417481908801</v>
      </c>
    </row>
    <row r="214" spans="1:19">
      <c r="A214" s="18" t="s">
        <v>253</v>
      </c>
      <c r="B214" s="18" t="s">
        <v>20</v>
      </c>
      <c r="C214" s="18" t="s">
        <v>48</v>
      </c>
      <c r="D214" s="19">
        <v>44976</v>
      </c>
      <c r="E214" s="20">
        <v>45596</v>
      </c>
      <c r="F214" s="21">
        <v>45985.599999999999</v>
      </c>
      <c r="G214" s="21">
        <v>18195.2</v>
      </c>
      <c r="H214" s="21">
        <v>6672</v>
      </c>
      <c r="I214" s="18">
        <v>7114.0959999999995</v>
      </c>
      <c r="J214" s="18">
        <v>18946.975999999999</v>
      </c>
      <c r="K214" s="18" t="s">
        <v>38</v>
      </c>
      <c r="L214" s="18" t="s">
        <v>44</v>
      </c>
      <c r="M214" s="18" t="s">
        <v>24</v>
      </c>
      <c r="N214" s="22">
        <f t="shared" si="18"/>
        <v>0.39567168852858298</v>
      </c>
      <c r="O214" s="22">
        <f t="shared" si="19"/>
        <v>0.36669011607456897</v>
      </c>
      <c r="P214" s="23">
        <f t="shared" si="20"/>
        <v>0.39098751319029201</v>
      </c>
      <c r="Q214" s="23">
        <f t="shared" si="21"/>
        <v>1.06626139088729</v>
      </c>
      <c r="R214" s="22">
        <f t="shared" si="22"/>
        <v>1.66330057958172</v>
      </c>
      <c r="S214" s="22">
        <f t="shared" si="23"/>
        <v>2.66330057958172</v>
      </c>
    </row>
    <row r="215" spans="1:19">
      <c r="A215" s="18" t="s">
        <v>254</v>
      </c>
      <c r="B215" s="18" t="s">
        <v>40</v>
      </c>
      <c r="C215" s="18" t="s">
        <v>48</v>
      </c>
      <c r="D215" s="19">
        <v>44799</v>
      </c>
      <c r="E215" s="20">
        <v>45408</v>
      </c>
      <c r="F215" s="21">
        <v>50355.199999999997</v>
      </c>
      <c r="G215" s="21">
        <v>1480</v>
      </c>
      <c r="H215" s="21">
        <v>569.6</v>
      </c>
      <c r="I215" s="18">
        <v>2126.9760000000001</v>
      </c>
      <c r="J215" s="18">
        <v>4976.4960000000001</v>
      </c>
      <c r="K215" s="18" t="s">
        <v>22</v>
      </c>
      <c r="L215" s="18" t="s">
        <v>35</v>
      </c>
      <c r="M215" s="18" t="s">
        <v>24</v>
      </c>
      <c r="N215" s="22">
        <f t="shared" si="18"/>
        <v>2.9391204880528699E-2</v>
      </c>
      <c r="O215" s="22">
        <f t="shared" si="19"/>
        <v>0.38486486486486499</v>
      </c>
      <c r="P215" s="23">
        <f t="shared" si="20"/>
        <v>1.4371459459459499</v>
      </c>
      <c r="Q215" s="23">
        <f t="shared" si="21"/>
        <v>3.73415730337079</v>
      </c>
      <c r="R215" s="22">
        <f t="shared" si="22"/>
        <v>1.33970482036469</v>
      </c>
      <c r="S215" s="22">
        <f t="shared" si="23"/>
        <v>2.3397048203646902</v>
      </c>
    </row>
    <row r="216" spans="1:19">
      <c r="A216" s="18" t="s">
        <v>255</v>
      </c>
      <c r="B216" s="18" t="s">
        <v>28</v>
      </c>
      <c r="C216" s="18" t="s">
        <v>29</v>
      </c>
      <c r="D216" s="19">
        <v>44811</v>
      </c>
      <c r="E216" s="20">
        <v>45420</v>
      </c>
      <c r="F216" s="21">
        <v>62651.199999999997</v>
      </c>
      <c r="G216" s="21">
        <v>10817.6</v>
      </c>
      <c r="H216" s="21">
        <v>1123.2</v>
      </c>
      <c r="I216" s="18">
        <v>3718.0320000000002</v>
      </c>
      <c r="J216" s="18">
        <v>7976.0640000000003</v>
      </c>
      <c r="K216" s="18" t="s">
        <v>30</v>
      </c>
      <c r="L216" s="18" t="s">
        <v>31</v>
      </c>
      <c r="M216" s="18" t="s">
        <v>24</v>
      </c>
      <c r="N216" s="22">
        <f t="shared" si="18"/>
        <v>0.17266389151365</v>
      </c>
      <c r="O216" s="22">
        <f t="shared" si="19"/>
        <v>0.10383079426120401</v>
      </c>
      <c r="P216" s="23">
        <f t="shared" si="20"/>
        <v>0.34370211507173498</v>
      </c>
      <c r="Q216" s="23">
        <f t="shared" si="21"/>
        <v>3.3102136752136802</v>
      </c>
      <c r="R216" s="22">
        <f t="shared" si="22"/>
        <v>1.14523812597632</v>
      </c>
      <c r="S216" s="22">
        <f t="shared" si="23"/>
        <v>2.14523812597632</v>
      </c>
    </row>
    <row r="217" spans="1:19">
      <c r="A217" s="18" t="s">
        <v>256</v>
      </c>
      <c r="B217" s="18" t="s">
        <v>34</v>
      </c>
      <c r="C217" s="18" t="s">
        <v>21</v>
      </c>
      <c r="D217" s="19">
        <v>44909</v>
      </c>
      <c r="E217" s="20">
        <v>45533</v>
      </c>
      <c r="F217" s="21">
        <v>49881.599999999999</v>
      </c>
      <c r="G217" s="21">
        <v>5158.3999999999996</v>
      </c>
      <c r="H217" s="21">
        <v>704</v>
      </c>
      <c r="I217" s="18">
        <v>7735.44</v>
      </c>
      <c r="J217" s="18">
        <v>15807.888000000001</v>
      </c>
      <c r="K217" s="18" t="s">
        <v>65</v>
      </c>
      <c r="L217" s="18" t="s">
        <v>23</v>
      </c>
      <c r="M217" s="18" t="s">
        <v>24</v>
      </c>
      <c r="N217" s="22">
        <f t="shared" si="18"/>
        <v>0.103412881703875</v>
      </c>
      <c r="O217" s="22">
        <f t="shared" si="19"/>
        <v>0.13647642679900701</v>
      </c>
      <c r="P217" s="23">
        <f t="shared" si="20"/>
        <v>1.49958126550868</v>
      </c>
      <c r="Q217" s="23">
        <f t="shared" si="21"/>
        <v>10.987840909090901</v>
      </c>
      <c r="R217" s="22">
        <f t="shared" si="22"/>
        <v>1.04356675250535</v>
      </c>
      <c r="S217" s="22">
        <f t="shared" si="23"/>
        <v>2.0435667525053498</v>
      </c>
    </row>
    <row r="218" spans="1:19">
      <c r="A218" s="18" t="s">
        <v>257</v>
      </c>
      <c r="B218" s="18" t="s">
        <v>34</v>
      </c>
      <c r="C218" s="18" t="s">
        <v>41</v>
      </c>
      <c r="D218" s="19">
        <v>44925</v>
      </c>
      <c r="E218" s="20">
        <v>45552</v>
      </c>
      <c r="F218" s="21">
        <v>49776</v>
      </c>
      <c r="G218" s="21">
        <v>22211.200000000001</v>
      </c>
      <c r="H218" s="21">
        <v>21777.599999999999</v>
      </c>
      <c r="I218" s="18">
        <v>5251.7280000000001</v>
      </c>
      <c r="J218" s="18">
        <v>18571.936000000002</v>
      </c>
      <c r="K218" s="18" t="s">
        <v>30</v>
      </c>
      <c r="L218" s="18" t="s">
        <v>23</v>
      </c>
      <c r="M218" s="18" t="s">
        <v>32</v>
      </c>
      <c r="N218" s="22">
        <f t="shared" si="18"/>
        <v>0.446223079395693</v>
      </c>
      <c r="O218" s="22">
        <f t="shared" si="19"/>
        <v>0.98047831724535395</v>
      </c>
      <c r="P218" s="23">
        <f t="shared" si="20"/>
        <v>0.23644503673822201</v>
      </c>
      <c r="Q218" s="23">
        <f t="shared" si="21"/>
        <v>0.24115274410403401</v>
      </c>
      <c r="R218" s="22">
        <f t="shared" si="22"/>
        <v>2.5363476554764501</v>
      </c>
      <c r="S218" s="22">
        <f t="shared" si="23"/>
        <v>3.5363476554764501</v>
      </c>
    </row>
    <row r="219" spans="1:19">
      <c r="A219" s="18" t="s">
        <v>258</v>
      </c>
      <c r="B219" s="18" t="s">
        <v>20</v>
      </c>
      <c r="C219" s="18" t="s">
        <v>41</v>
      </c>
      <c r="D219" s="19">
        <v>44696</v>
      </c>
      <c r="E219" s="20">
        <v>45312</v>
      </c>
      <c r="F219" s="21">
        <v>29148.799999999999</v>
      </c>
      <c r="G219" s="21">
        <v>28937.599999999999</v>
      </c>
      <c r="H219" s="21">
        <v>21944</v>
      </c>
      <c r="I219" s="18">
        <v>7948.2240000000002</v>
      </c>
      <c r="J219" s="18">
        <v>29508.896000000001</v>
      </c>
      <c r="K219" s="18" t="s">
        <v>30</v>
      </c>
      <c r="L219" s="18" t="s">
        <v>23</v>
      </c>
      <c r="M219" s="18" t="s">
        <v>24</v>
      </c>
      <c r="N219" s="22">
        <f t="shared" si="18"/>
        <v>0.99275441870677394</v>
      </c>
      <c r="O219" s="22">
        <f t="shared" si="19"/>
        <v>0.75832135353312002</v>
      </c>
      <c r="P219" s="23">
        <f t="shared" si="20"/>
        <v>0.274667698772531</v>
      </c>
      <c r="Q219" s="23">
        <f t="shared" si="21"/>
        <v>0.36220488516223098</v>
      </c>
      <c r="R219" s="22">
        <f t="shared" si="22"/>
        <v>2.7126402074224401</v>
      </c>
      <c r="S219" s="22">
        <f t="shared" si="23"/>
        <v>3.7126402074224401</v>
      </c>
    </row>
    <row r="220" spans="1:19">
      <c r="A220" s="18" t="s">
        <v>259</v>
      </c>
      <c r="B220" s="18" t="s">
        <v>40</v>
      </c>
      <c r="C220" s="18" t="s">
        <v>48</v>
      </c>
      <c r="D220" s="19">
        <v>44718</v>
      </c>
      <c r="E220" s="20">
        <v>45322</v>
      </c>
      <c r="F220" s="21">
        <v>57516.800000000003</v>
      </c>
      <c r="G220" s="21">
        <v>35022.400000000001</v>
      </c>
      <c r="H220" s="21">
        <v>440</v>
      </c>
      <c r="I220" s="18">
        <v>4908.4480000000003</v>
      </c>
      <c r="J220" s="18">
        <v>18161.84</v>
      </c>
      <c r="K220" s="18" t="s">
        <v>38</v>
      </c>
      <c r="L220" s="18" t="s">
        <v>50</v>
      </c>
      <c r="M220" s="18" t="s">
        <v>32</v>
      </c>
      <c r="N220" s="22">
        <f t="shared" si="18"/>
        <v>0.60890731055969705</v>
      </c>
      <c r="O220" s="22">
        <f t="shared" si="19"/>
        <v>1.25633880031066E-2</v>
      </c>
      <c r="P220" s="23">
        <f t="shared" si="20"/>
        <v>0.140151674356983</v>
      </c>
      <c r="Q220" s="23">
        <f t="shared" si="21"/>
        <v>11.155563636363601</v>
      </c>
      <c r="R220" s="22">
        <f t="shared" si="22"/>
        <v>2.7001186525761298</v>
      </c>
      <c r="S220" s="22">
        <f t="shared" si="23"/>
        <v>3.7001186525761298</v>
      </c>
    </row>
    <row r="221" spans="1:19">
      <c r="A221" s="18" t="s">
        <v>260</v>
      </c>
      <c r="B221" s="18" t="s">
        <v>34</v>
      </c>
      <c r="C221" s="18" t="s">
        <v>41</v>
      </c>
      <c r="D221" s="19">
        <v>44971</v>
      </c>
      <c r="E221" s="20">
        <v>45599</v>
      </c>
      <c r="F221" s="21">
        <v>9076.7999999999993</v>
      </c>
      <c r="G221" s="21">
        <v>904</v>
      </c>
      <c r="H221" s="21">
        <v>19.2</v>
      </c>
      <c r="I221" s="18">
        <v>1545.5519999999999</v>
      </c>
      <c r="J221" s="18">
        <v>4124.2879999999996</v>
      </c>
      <c r="K221" s="18" t="s">
        <v>38</v>
      </c>
      <c r="L221" s="18" t="s">
        <v>23</v>
      </c>
      <c r="M221" s="18" t="s">
        <v>24</v>
      </c>
      <c r="N221" s="22">
        <f t="shared" si="18"/>
        <v>9.9594570773840999E-2</v>
      </c>
      <c r="O221" s="22">
        <f t="shared" si="19"/>
        <v>2.12389380530973E-2</v>
      </c>
      <c r="P221" s="23">
        <f t="shared" si="20"/>
        <v>1.7096814159292</v>
      </c>
      <c r="Q221" s="23">
        <f t="shared" si="21"/>
        <v>80.497500000000002</v>
      </c>
      <c r="R221" s="22">
        <f t="shared" si="22"/>
        <v>1.66848866942038</v>
      </c>
      <c r="S221" s="22">
        <f t="shared" si="23"/>
        <v>2.6684886694203702</v>
      </c>
    </row>
    <row r="222" spans="1:19">
      <c r="A222" s="18" t="s">
        <v>261</v>
      </c>
      <c r="B222" s="18" t="s">
        <v>40</v>
      </c>
      <c r="C222" s="18" t="s">
        <v>48</v>
      </c>
      <c r="D222" s="19">
        <v>44951</v>
      </c>
      <c r="E222" s="20">
        <v>45555</v>
      </c>
      <c r="F222" s="21">
        <v>19243.2</v>
      </c>
      <c r="G222" s="21">
        <v>8739.2000000000007</v>
      </c>
      <c r="H222" s="21">
        <v>5908.8</v>
      </c>
      <c r="I222" s="18">
        <v>7142.9920000000002</v>
      </c>
      <c r="J222" s="18">
        <v>24675.903999999999</v>
      </c>
      <c r="K222" s="18" t="s">
        <v>38</v>
      </c>
      <c r="L222" s="18" t="s">
        <v>44</v>
      </c>
      <c r="M222" s="18" t="s">
        <v>24</v>
      </c>
      <c r="N222" s="22">
        <f t="shared" si="18"/>
        <v>0.45414484077492301</v>
      </c>
      <c r="O222" s="22">
        <f t="shared" si="19"/>
        <v>0.67612596118637902</v>
      </c>
      <c r="P222" s="23">
        <f t="shared" si="20"/>
        <v>0.81735078725741495</v>
      </c>
      <c r="Q222" s="23">
        <f t="shared" si="21"/>
        <v>1.20887354454373</v>
      </c>
      <c r="R222" s="22">
        <f t="shared" si="22"/>
        <v>2.4545613378819402</v>
      </c>
      <c r="S222" s="22">
        <f t="shared" si="23"/>
        <v>3.4545613378819402</v>
      </c>
    </row>
    <row r="223" spans="1:19">
      <c r="A223" s="18" t="s">
        <v>262</v>
      </c>
      <c r="B223" s="18" t="s">
        <v>47</v>
      </c>
      <c r="C223" s="18" t="s">
        <v>48</v>
      </c>
      <c r="D223" s="19">
        <v>44791</v>
      </c>
      <c r="E223" s="20">
        <v>45414</v>
      </c>
      <c r="F223" s="21">
        <v>55075.199999999997</v>
      </c>
      <c r="G223" s="21">
        <v>7649.6</v>
      </c>
      <c r="H223" s="21">
        <v>3918.4</v>
      </c>
      <c r="I223" s="18">
        <v>1840.0319999999999</v>
      </c>
      <c r="J223" s="18">
        <v>4907.0559999999996</v>
      </c>
      <c r="K223" s="18" t="s">
        <v>43</v>
      </c>
      <c r="L223" s="18" t="s">
        <v>50</v>
      </c>
      <c r="M223" s="18" t="s">
        <v>24</v>
      </c>
      <c r="N223" s="22">
        <f t="shared" si="18"/>
        <v>0.13889373075358799</v>
      </c>
      <c r="O223" s="22">
        <f t="shared" si="19"/>
        <v>0.51223593390504096</v>
      </c>
      <c r="P223" s="23">
        <f t="shared" si="20"/>
        <v>0.24053963605940201</v>
      </c>
      <c r="Q223" s="23">
        <f t="shared" si="21"/>
        <v>0.46958758677010998</v>
      </c>
      <c r="R223" s="22">
        <f t="shared" si="22"/>
        <v>1.6668318811846701</v>
      </c>
      <c r="S223" s="22">
        <f t="shared" si="23"/>
        <v>2.6668318811846699</v>
      </c>
    </row>
    <row r="224" spans="1:19">
      <c r="A224" s="18" t="s">
        <v>263</v>
      </c>
      <c r="B224" s="18" t="s">
        <v>40</v>
      </c>
      <c r="C224" s="18" t="s">
        <v>21</v>
      </c>
      <c r="D224" s="19">
        <v>44943</v>
      </c>
      <c r="E224" s="20">
        <v>45556</v>
      </c>
      <c r="F224" s="21">
        <v>28056</v>
      </c>
      <c r="G224" s="21">
        <v>6680</v>
      </c>
      <c r="H224" s="21">
        <v>3097.6</v>
      </c>
      <c r="I224" s="18">
        <v>1483.136</v>
      </c>
      <c r="J224" s="18">
        <v>3906.3679999999999</v>
      </c>
      <c r="K224" s="18" t="s">
        <v>65</v>
      </c>
      <c r="L224" s="18" t="s">
        <v>23</v>
      </c>
      <c r="M224" s="18" t="s">
        <v>24</v>
      </c>
      <c r="N224" s="22">
        <f t="shared" si="18"/>
        <v>0.238095238095238</v>
      </c>
      <c r="O224" s="22">
        <f t="shared" si="19"/>
        <v>0.46371257485029899</v>
      </c>
      <c r="P224" s="23">
        <f t="shared" si="20"/>
        <v>0.222026347305389</v>
      </c>
      <c r="Q224" s="23">
        <f t="shared" si="21"/>
        <v>0.47880165289256199</v>
      </c>
      <c r="R224" s="22">
        <f t="shared" si="22"/>
        <v>1.6338569086044701</v>
      </c>
      <c r="S224" s="22">
        <f t="shared" si="23"/>
        <v>2.6338569086044701</v>
      </c>
    </row>
    <row r="225" spans="1:19">
      <c r="A225" s="18" t="s">
        <v>264</v>
      </c>
      <c r="B225" s="18" t="s">
        <v>26</v>
      </c>
      <c r="C225" s="18" t="s">
        <v>41</v>
      </c>
      <c r="D225" s="19">
        <v>44830</v>
      </c>
      <c r="E225" s="20">
        <v>45437</v>
      </c>
      <c r="F225" s="21">
        <v>15635.2</v>
      </c>
      <c r="G225" s="21">
        <v>3737.6</v>
      </c>
      <c r="H225" s="21">
        <v>1313.6</v>
      </c>
      <c r="I225" s="18">
        <v>2740.1759999999999</v>
      </c>
      <c r="J225" s="18">
        <v>10839.696</v>
      </c>
      <c r="K225" s="18" t="s">
        <v>43</v>
      </c>
      <c r="L225" s="18" t="s">
        <v>44</v>
      </c>
      <c r="M225" s="18" t="s">
        <v>24</v>
      </c>
      <c r="N225" s="22">
        <f t="shared" si="18"/>
        <v>0.239050347932869</v>
      </c>
      <c r="O225" s="22">
        <f t="shared" si="19"/>
        <v>0.35145547945205502</v>
      </c>
      <c r="P225" s="23">
        <f t="shared" si="20"/>
        <v>0.73313784246575298</v>
      </c>
      <c r="Q225" s="23">
        <f t="shared" si="21"/>
        <v>2.08600487210719</v>
      </c>
      <c r="R225" s="22">
        <f t="shared" si="22"/>
        <v>2.95583933294796</v>
      </c>
      <c r="S225" s="22">
        <f t="shared" si="23"/>
        <v>3.95583933294796</v>
      </c>
    </row>
    <row r="226" spans="1:19">
      <c r="A226" s="18" t="s">
        <v>265</v>
      </c>
      <c r="B226" s="18" t="s">
        <v>34</v>
      </c>
      <c r="C226" s="18" t="s">
        <v>48</v>
      </c>
      <c r="D226" s="19">
        <v>44929</v>
      </c>
      <c r="E226" s="20">
        <v>45537</v>
      </c>
      <c r="F226" s="21">
        <v>11368</v>
      </c>
      <c r="G226" s="21">
        <v>4406.3999999999996</v>
      </c>
      <c r="H226" s="21">
        <v>3371.2</v>
      </c>
      <c r="I226" s="18">
        <v>3156.7840000000001</v>
      </c>
      <c r="J226" s="18">
        <v>10240.48</v>
      </c>
      <c r="K226" s="18" t="s">
        <v>38</v>
      </c>
      <c r="L226" s="18" t="s">
        <v>23</v>
      </c>
      <c r="M226" s="18" t="s">
        <v>24</v>
      </c>
      <c r="N226" s="22">
        <f t="shared" si="18"/>
        <v>0.38761435608726202</v>
      </c>
      <c r="O226" s="22">
        <f t="shared" si="19"/>
        <v>0.76506899055918698</v>
      </c>
      <c r="P226" s="23">
        <f t="shared" si="20"/>
        <v>0.71640885984023295</v>
      </c>
      <c r="Q226" s="23">
        <f t="shared" si="21"/>
        <v>0.93639772187945003</v>
      </c>
      <c r="R226" s="22">
        <f t="shared" si="22"/>
        <v>2.2439596754164999</v>
      </c>
      <c r="S226" s="22">
        <f t="shared" si="23"/>
        <v>3.2439596754164999</v>
      </c>
    </row>
    <row r="227" spans="1:19">
      <c r="A227" s="18" t="s">
        <v>266</v>
      </c>
      <c r="B227" s="18" t="s">
        <v>20</v>
      </c>
      <c r="C227" s="18" t="s">
        <v>21</v>
      </c>
      <c r="D227" s="19">
        <v>44881</v>
      </c>
      <c r="E227" s="20">
        <v>45502</v>
      </c>
      <c r="F227" s="21">
        <v>4619.2</v>
      </c>
      <c r="G227" s="21">
        <v>4460.8</v>
      </c>
      <c r="H227" s="21">
        <v>2435.1999999999998</v>
      </c>
      <c r="I227" s="18">
        <v>7547.3119999999999</v>
      </c>
      <c r="J227" s="18">
        <v>13963.248</v>
      </c>
      <c r="K227" s="18" t="s">
        <v>38</v>
      </c>
      <c r="L227" s="18" t="s">
        <v>31</v>
      </c>
      <c r="M227" s="18" t="s">
        <v>24</v>
      </c>
      <c r="N227" s="22">
        <f t="shared" si="18"/>
        <v>0.96570834776584702</v>
      </c>
      <c r="O227" s="22">
        <f t="shared" si="19"/>
        <v>0.54591104734576801</v>
      </c>
      <c r="P227" s="23">
        <f t="shared" si="20"/>
        <v>1.6919189383070301</v>
      </c>
      <c r="Q227" s="23">
        <f t="shared" si="21"/>
        <v>3.0992575558475699</v>
      </c>
      <c r="R227" s="22">
        <f t="shared" si="22"/>
        <v>0.85009550420070101</v>
      </c>
      <c r="S227" s="22">
        <f t="shared" si="23"/>
        <v>1.8500955042006999</v>
      </c>
    </row>
    <row r="228" spans="1:19">
      <c r="A228" s="18" t="s">
        <v>267</v>
      </c>
      <c r="B228" s="18" t="s">
        <v>47</v>
      </c>
      <c r="C228" s="18" t="s">
        <v>29</v>
      </c>
      <c r="D228" s="19">
        <v>44887</v>
      </c>
      <c r="E228" s="20">
        <v>45516</v>
      </c>
      <c r="F228" s="21">
        <v>53073.599999999999</v>
      </c>
      <c r="G228" s="21">
        <v>26928</v>
      </c>
      <c r="H228" s="21">
        <v>2598.4</v>
      </c>
      <c r="I228" s="18">
        <v>7682.2719999999999</v>
      </c>
      <c r="J228" s="18">
        <v>10639.263999999999</v>
      </c>
      <c r="K228" s="18" t="s">
        <v>65</v>
      </c>
      <c r="L228" s="18" t="s">
        <v>44</v>
      </c>
      <c r="M228" s="18" t="s">
        <v>24</v>
      </c>
      <c r="N228" s="22">
        <f t="shared" si="18"/>
        <v>0.50737089626481002</v>
      </c>
      <c r="O228" s="22">
        <f t="shared" si="19"/>
        <v>9.6494355317884695E-2</v>
      </c>
      <c r="P228" s="23">
        <f t="shared" si="20"/>
        <v>0.28528936423054102</v>
      </c>
      <c r="Q228" s="23">
        <f t="shared" si="21"/>
        <v>2.9565394088669898</v>
      </c>
      <c r="R228" s="22">
        <f t="shared" si="22"/>
        <v>0.38491113045724001</v>
      </c>
      <c r="S228" s="22">
        <f t="shared" si="23"/>
        <v>1.3849111304572399</v>
      </c>
    </row>
    <row r="229" spans="1:19">
      <c r="A229" s="18" t="s">
        <v>268</v>
      </c>
      <c r="B229" s="18" t="s">
        <v>34</v>
      </c>
      <c r="C229" s="18" t="s">
        <v>21</v>
      </c>
      <c r="D229" s="19">
        <v>44894</v>
      </c>
      <c r="E229" s="20">
        <v>45513</v>
      </c>
      <c r="F229" s="21">
        <v>67334.399999999994</v>
      </c>
      <c r="G229" s="21">
        <v>12390.4</v>
      </c>
      <c r="H229" s="21">
        <v>7017.6</v>
      </c>
      <c r="I229" s="18">
        <v>4499.7759999999998</v>
      </c>
      <c r="J229" s="18">
        <v>14963.04</v>
      </c>
      <c r="K229" s="18" t="s">
        <v>38</v>
      </c>
      <c r="L229" s="18" t="s">
        <v>23</v>
      </c>
      <c r="M229" s="18" t="s">
        <v>24</v>
      </c>
      <c r="N229" s="22">
        <f t="shared" si="18"/>
        <v>0.184012926527897</v>
      </c>
      <c r="O229" s="22">
        <f t="shared" si="19"/>
        <v>0.56637396694214903</v>
      </c>
      <c r="P229" s="23">
        <f t="shared" si="20"/>
        <v>0.36316632231404999</v>
      </c>
      <c r="Q229" s="23">
        <f t="shared" si="21"/>
        <v>0.64121295029639802</v>
      </c>
      <c r="R229" s="22">
        <f t="shared" si="22"/>
        <v>2.3252855253239302</v>
      </c>
      <c r="S229" s="22">
        <f t="shared" si="23"/>
        <v>3.3252855253239302</v>
      </c>
    </row>
    <row r="230" spans="1:19">
      <c r="A230" s="18" t="s">
        <v>269</v>
      </c>
      <c r="B230" s="18" t="s">
        <v>34</v>
      </c>
      <c r="C230" s="18" t="s">
        <v>41</v>
      </c>
      <c r="D230" s="19">
        <v>44706</v>
      </c>
      <c r="E230" s="20">
        <v>45333</v>
      </c>
      <c r="F230" s="21">
        <v>68646.399999999994</v>
      </c>
      <c r="G230" s="21">
        <v>1564.8</v>
      </c>
      <c r="H230" s="21">
        <v>947.2</v>
      </c>
      <c r="I230" s="18">
        <v>1140.7840000000001</v>
      </c>
      <c r="J230" s="18">
        <v>3006.72</v>
      </c>
      <c r="K230" s="18" t="s">
        <v>30</v>
      </c>
      <c r="L230" s="18" t="s">
        <v>35</v>
      </c>
      <c r="M230" s="18" t="s">
        <v>24</v>
      </c>
      <c r="N230" s="22">
        <f t="shared" si="18"/>
        <v>2.2795077382062299E-2</v>
      </c>
      <c r="O230" s="22">
        <f t="shared" si="19"/>
        <v>0.60531697341513302</v>
      </c>
      <c r="P230" s="23">
        <f t="shared" si="20"/>
        <v>0.72902862985685102</v>
      </c>
      <c r="Q230" s="23">
        <f t="shared" si="21"/>
        <v>1.204375</v>
      </c>
      <c r="R230" s="22">
        <f t="shared" si="22"/>
        <v>1.6356610892158401</v>
      </c>
      <c r="S230" s="22">
        <f t="shared" si="23"/>
        <v>2.6356610892158399</v>
      </c>
    </row>
    <row r="231" spans="1:19">
      <c r="A231" s="18" t="s">
        <v>270</v>
      </c>
      <c r="B231" s="18" t="s">
        <v>20</v>
      </c>
      <c r="C231" s="18" t="s">
        <v>21</v>
      </c>
      <c r="D231" s="19">
        <v>44930</v>
      </c>
      <c r="E231" s="20">
        <v>45532</v>
      </c>
      <c r="F231" s="21">
        <v>63360</v>
      </c>
      <c r="G231" s="21">
        <v>11356.8</v>
      </c>
      <c r="H231" s="21">
        <v>5512</v>
      </c>
      <c r="I231" s="18">
        <v>6855.232</v>
      </c>
      <c r="J231" s="18">
        <v>25890.576000000001</v>
      </c>
      <c r="K231" s="18" t="s">
        <v>30</v>
      </c>
      <c r="L231" s="18" t="s">
        <v>31</v>
      </c>
      <c r="M231" s="18" t="s">
        <v>24</v>
      </c>
      <c r="N231" s="22">
        <f t="shared" si="18"/>
        <v>0.17924242424242401</v>
      </c>
      <c r="O231" s="22">
        <f t="shared" si="19"/>
        <v>0.48534798534798501</v>
      </c>
      <c r="P231" s="23">
        <f t="shared" si="20"/>
        <v>0.60362355593124795</v>
      </c>
      <c r="Q231" s="23">
        <f t="shared" si="21"/>
        <v>1.2436923076923101</v>
      </c>
      <c r="R231" s="22">
        <f t="shared" si="22"/>
        <v>2.7767614575261601</v>
      </c>
      <c r="S231" s="22">
        <f t="shared" si="23"/>
        <v>3.7767614575261601</v>
      </c>
    </row>
    <row r="232" spans="1:19">
      <c r="A232" s="18" t="s">
        <v>271</v>
      </c>
      <c r="B232" s="18" t="s">
        <v>20</v>
      </c>
      <c r="C232" s="18" t="s">
        <v>48</v>
      </c>
      <c r="D232" s="19">
        <v>44937</v>
      </c>
      <c r="E232" s="20">
        <v>45547</v>
      </c>
      <c r="F232" s="21">
        <v>31233.599999999999</v>
      </c>
      <c r="G232" s="21">
        <v>4224</v>
      </c>
      <c r="H232" s="21">
        <v>3262.4</v>
      </c>
      <c r="I232" s="18">
        <v>6061.2640000000001</v>
      </c>
      <c r="J232" s="18">
        <v>21595.103999999999</v>
      </c>
      <c r="K232" s="18" t="s">
        <v>38</v>
      </c>
      <c r="L232" s="18" t="s">
        <v>23</v>
      </c>
      <c r="M232" s="18" t="s">
        <v>24</v>
      </c>
      <c r="N232" s="22">
        <f t="shared" si="18"/>
        <v>0.135238973413247</v>
      </c>
      <c r="O232" s="22">
        <f t="shared" si="19"/>
        <v>0.77234848484848495</v>
      </c>
      <c r="P232" s="23">
        <f t="shared" si="20"/>
        <v>1.43495833333333</v>
      </c>
      <c r="Q232" s="23">
        <f t="shared" si="21"/>
        <v>1.85791564492398</v>
      </c>
      <c r="R232" s="22">
        <f t="shared" si="22"/>
        <v>2.5628053818477499</v>
      </c>
      <c r="S232" s="22">
        <f t="shared" si="23"/>
        <v>3.5628053818477499</v>
      </c>
    </row>
    <row r="233" spans="1:19">
      <c r="A233" s="18" t="s">
        <v>272</v>
      </c>
      <c r="B233" s="18" t="s">
        <v>28</v>
      </c>
      <c r="C233" s="18" t="s">
        <v>29</v>
      </c>
      <c r="D233" s="19">
        <v>44777</v>
      </c>
      <c r="E233" s="20">
        <v>45399</v>
      </c>
      <c r="F233" s="21">
        <v>48721.599999999999</v>
      </c>
      <c r="G233" s="21">
        <v>33841.599999999999</v>
      </c>
      <c r="H233" s="21">
        <v>1307.2</v>
      </c>
      <c r="I233" s="18">
        <v>2643.0880000000002</v>
      </c>
      <c r="J233" s="18">
        <v>8050.1279999999997</v>
      </c>
      <c r="K233" s="18" t="s">
        <v>22</v>
      </c>
      <c r="L233" s="18" t="s">
        <v>44</v>
      </c>
      <c r="M233" s="18" t="s">
        <v>24</v>
      </c>
      <c r="N233" s="22">
        <f t="shared" si="18"/>
        <v>0.69459131063019297</v>
      </c>
      <c r="O233" s="22">
        <f t="shared" si="19"/>
        <v>3.86270152711456E-2</v>
      </c>
      <c r="P233" s="23">
        <f t="shared" si="20"/>
        <v>7.8101744598364206E-2</v>
      </c>
      <c r="Q233" s="23">
        <f t="shared" si="21"/>
        <v>2.02194614443084</v>
      </c>
      <c r="R233" s="22">
        <f t="shared" si="22"/>
        <v>2.0457283298929099</v>
      </c>
      <c r="S233" s="22">
        <f t="shared" si="23"/>
        <v>3.0457283298929099</v>
      </c>
    </row>
    <row r="234" spans="1:19">
      <c r="A234" s="18" t="s">
        <v>273</v>
      </c>
      <c r="B234" s="18" t="s">
        <v>47</v>
      </c>
      <c r="C234" s="18" t="s">
        <v>29</v>
      </c>
      <c r="D234" s="19">
        <v>44982</v>
      </c>
      <c r="E234" s="20">
        <v>45587</v>
      </c>
      <c r="F234" s="21">
        <v>24126.400000000001</v>
      </c>
      <c r="G234" s="21">
        <v>16318.4</v>
      </c>
      <c r="H234" s="21">
        <v>8756.7999999999993</v>
      </c>
      <c r="I234" s="18">
        <v>5628.9120000000003</v>
      </c>
      <c r="J234" s="18">
        <v>9627.44</v>
      </c>
      <c r="K234" s="18" t="s">
        <v>30</v>
      </c>
      <c r="L234" s="18" t="s">
        <v>35</v>
      </c>
      <c r="M234" s="18" t="s">
        <v>32</v>
      </c>
      <c r="N234" s="22">
        <f t="shared" si="18"/>
        <v>0.67637111214271495</v>
      </c>
      <c r="O234" s="22">
        <f t="shared" si="19"/>
        <v>0.53662123737621303</v>
      </c>
      <c r="P234" s="23">
        <f t="shared" si="20"/>
        <v>0.34494264143543502</v>
      </c>
      <c r="Q234" s="23">
        <f t="shared" si="21"/>
        <v>0.64280467750776504</v>
      </c>
      <c r="R234" s="22">
        <f t="shared" si="22"/>
        <v>0.71035539372440004</v>
      </c>
      <c r="S234" s="22">
        <f t="shared" si="23"/>
        <v>1.7103553937244</v>
      </c>
    </row>
    <row r="235" spans="1:19">
      <c r="A235" s="18" t="s">
        <v>274</v>
      </c>
      <c r="B235" s="18" t="s">
        <v>34</v>
      </c>
      <c r="C235" s="18" t="s">
        <v>48</v>
      </c>
      <c r="D235" s="19">
        <v>44872</v>
      </c>
      <c r="E235" s="20">
        <v>45487</v>
      </c>
      <c r="F235" s="21">
        <v>23342.400000000001</v>
      </c>
      <c r="G235" s="21">
        <v>8011.2</v>
      </c>
      <c r="H235" s="21">
        <v>5204.8</v>
      </c>
      <c r="I235" s="18">
        <v>7621.4080000000004</v>
      </c>
      <c r="J235" s="18">
        <v>12773.328</v>
      </c>
      <c r="K235" s="18" t="s">
        <v>30</v>
      </c>
      <c r="L235" s="18" t="s">
        <v>31</v>
      </c>
      <c r="M235" s="18" t="s">
        <v>24</v>
      </c>
      <c r="N235" s="22">
        <f t="shared" si="18"/>
        <v>0.34320378367262999</v>
      </c>
      <c r="O235" s="22">
        <f t="shared" si="19"/>
        <v>0.64969043339324895</v>
      </c>
      <c r="P235" s="23">
        <f t="shared" si="20"/>
        <v>0.95134411823447196</v>
      </c>
      <c r="Q235" s="23">
        <f t="shared" si="21"/>
        <v>1.4643037196434101</v>
      </c>
      <c r="R235" s="22">
        <f t="shared" si="22"/>
        <v>0.67598008137079102</v>
      </c>
      <c r="S235" s="22">
        <f t="shared" si="23"/>
        <v>1.6759800813707899</v>
      </c>
    </row>
    <row r="236" spans="1:19">
      <c r="A236" s="18" t="s">
        <v>275</v>
      </c>
      <c r="B236" s="18" t="s">
        <v>20</v>
      </c>
      <c r="C236" s="18" t="s">
        <v>29</v>
      </c>
      <c r="D236" s="19">
        <v>44740</v>
      </c>
      <c r="E236" s="20">
        <v>45357</v>
      </c>
      <c r="F236" s="21">
        <v>29027.200000000001</v>
      </c>
      <c r="G236" s="21">
        <v>1025.5999999999999</v>
      </c>
      <c r="H236" s="21">
        <v>307.2</v>
      </c>
      <c r="I236" s="18">
        <v>4614.72</v>
      </c>
      <c r="J236" s="18">
        <v>14170.832</v>
      </c>
      <c r="K236" s="18" t="s">
        <v>38</v>
      </c>
      <c r="L236" s="18" t="s">
        <v>44</v>
      </c>
      <c r="M236" s="18" t="s">
        <v>24</v>
      </c>
      <c r="N236" s="22">
        <f t="shared" si="18"/>
        <v>3.5332377907617701E-2</v>
      </c>
      <c r="O236" s="22">
        <f t="shared" si="19"/>
        <v>0.29953198127925101</v>
      </c>
      <c r="P236" s="23">
        <f t="shared" si="20"/>
        <v>4.49953198127925</v>
      </c>
      <c r="Q236" s="23">
        <f t="shared" si="21"/>
        <v>15.021875</v>
      </c>
      <c r="R236" s="22">
        <f t="shared" si="22"/>
        <v>2.07078912696762</v>
      </c>
      <c r="S236" s="22">
        <f t="shared" si="23"/>
        <v>3.07078912696762</v>
      </c>
    </row>
    <row r="237" spans="1:19">
      <c r="A237" s="18" t="s">
        <v>276</v>
      </c>
      <c r="B237" s="18" t="s">
        <v>34</v>
      </c>
      <c r="C237" s="18" t="s">
        <v>29</v>
      </c>
      <c r="D237" s="19">
        <v>44716</v>
      </c>
      <c r="E237" s="20">
        <v>45335</v>
      </c>
      <c r="F237" s="21">
        <v>54387.199999999997</v>
      </c>
      <c r="G237" s="21">
        <v>27587.200000000001</v>
      </c>
      <c r="H237" s="21">
        <v>12096</v>
      </c>
      <c r="I237" s="18">
        <v>2446.56</v>
      </c>
      <c r="J237" s="18">
        <v>8975.6319999999996</v>
      </c>
      <c r="K237" s="18" t="s">
        <v>22</v>
      </c>
      <c r="L237" s="18" t="s">
        <v>50</v>
      </c>
      <c r="M237" s="18" t="s">
        <v>32</v>
      </c>
      <c r="N237" s="22">
        <f t="shared" si="18"/>
        <v>0.50723699694045699</v>
      </c>
      <c r="O237" s="22">
        <f t="shared" si="19"/>
        <v>0.43846421528825003</v>
      </c>
      <c r="P237" s="23">
        <f t="shared" si="20"/>
        <v>8.8684607354135206E-2</v>
      </c>
      <c r="Q237" s="23">
        <f t="shared" si="21"/>
        <v>0.202261904761905</v>
      </c>
      <c r="R237" s="22">
        <f t="shared" si="22"/>
        <v>2.6686743836243498</v>
      </c>
      <c r="S237" s="22">
        <f t="shared" si="23"/>
        <v>3.6686743836243498</v>
      </c>
    </row>
    <row r="238" spans="1:19">
      <c r="A238" s="18" t="s">
        <v>277</v>
      </c>
      <c r="B238" s="18" t="s">
        <v>34</v>
      </c>
      <c r="C238" s="18" t="s">
        <v>21</v>
      </c>
      <c r="D238" s="19">
        <v>44745</v>
      </c>
      <c r="E238" s="20">
        <v>45362</v>
      </c>
      <c r="F238" s="21">
        <v>40612.800000000003</v>
      </c>
      <c r="G238" s="21">
        <v>5100.8</v>
      </c>
      <c r="H238" s="21">
        <v>1726.4</v>
      </c>
      <c r="I238" s="18">
        <v>3830.864</v>
      </c>
      <c r="J238" s="18">
        <v>14404.608</v>
      </c>
      <c r="K238" s="18" t="s">
        <v>38</v>
      </c>
      <c r="L238" s="18" t="s">
        <v>44</v>
      </c>
      <c r="M238" s="18" t="s">
        <v>24</v>
      </c>
      <c r="N238" s="22">
        <f t="shared" si="18"/>
        <v>0.125595871252413</v>
      </c>
      <c r="O238" s="22">
        <f t="shared" si="19"/>
        <v>0.33845671267252198</v>
      </c>
      <c r="P238" s="23">
        <f t="shared" si="20"/>
        <v>0.75103199498117901</v>
      </c>
      <c r="Q238" s="23">
        <f t="shared" si="21"/>
        <v>2.2189898053753501</v>
      </c>
      <c r="R238" s="22">
        <f t="shared" si="22"/>
        <v>2.7601460140584502</v>
      </c>
      <c r="S238" s="22">
        <f t="shared" si="23"/>
        <v>3.7601460140584502</v>
      </c>
    </row>
    <row r="239" spans="1:19">
      <c r="A239" s="18" t="s">
        <v>278</v>
      </c>
      <c r="B239" s="18" t="s">
        <v>47</v>
      </c>
      <c r="C239" s="18" t="s">
        <v>21</v>
      </c>
      <c r="D239" s="19">
        <v>44832</v>
      </c>
      <c r="E239" s="20">
        <v>45438</v>
      </c>
      <c r="F239" s="21">
        <v>35384</v>
      </c>
      <c r="G239" s="21">
        <v>8704</v>
      </c>
      <c r="H239" s="21">
        <v>1720</v>
      </c>
      <c r="I239" s="18">
        <v>2652.192</v>
      </c>
      <c r="J239" s="18">
        <v>5350.9759999999997</v>
      </c>
      <c r="K239" s="18" t="s">
        <v>38</v>
      </c>
      <c r="L239" s="18" t="s">
        <v>44</v>
      </c>
      <c r="M239" s="18" t="s">
        <v>24</v>
      </c>
      <c r="N239" s="22">
        <f t="shared" si="18"/>
        <v>0.245986886728465</v>
      </c>
      <c r="O239" s="22">
        <f t="shared" si="19"/>
        <v>0.197610294117647</v>
      </c>
      <c r="P239" s="23">
        <f t="shared" si="20"/>
        <v>0.30470955882352901</v>
      </c>
      <c r="Q239" s="23">
        <f t="shared" si="21"/>
        <v>1.5419720930232601</v>
      </c>
      <c r="R239" s="22">
        <f t="shared" si="22"/>
        <v>1.0175673556062299</v>
      </c>
      <c r="S239" s="22">
        <f t="shared" si="23"/>
        <v>2.0175673556062299</v>
      </c>
    </row>
    <row r="240" spans="1:19">
      <c r="A240" s="18" t="s">
        <v>279</v>
      </c>
      <c r="B240" s="18" t="s">
        <v>34</v>
      </c>
      <c r="C240" s="18" t="s">
        <v>48</v>
      </c>
      <c r="D240" s="19">
        <v>44824</v>
      </c>
      <c r="E240" s="20">
        <v>45443</v>
      </c>
      <c r="F240" s="21">
        <v>16689.599999999999</v>
      </c>
      <c r="G240" s="21">
        <v>9211.2000000000007</v>
      </c>
      <c r="H240" s="21">
        <v>6480</v>
      </c>
      <c r="I240" s="18">
        <v>7422.5919999999996</v>
      </c>
      <c r="J240" s="18">
        <v>22216.752</v>
      </c>
      <c r="K240" s="18" t="s">
        <v>65</v>
      </c>
      <c r="L240" s="18" t="s">
        <v>23</v>
      </c>
      <c r="M240" s="18" t="s">
        <v>32</v>
      </c>
      <c r="N240" s="22">
        <f t="shared" si="18"/>
        <v>0.55191256830601099</v>
      </c>
      <c r="O240" s="22">
        <f t="shared" si="19"/>
        <v>0.70349140177175595</v>
      </c>
      <c r="P240" s="23">
        <f t="shared" si="20"/>
        <v>0.80582247698454001</v>
      </c>
      <c r="Q240" s="23">
        <f t="shared" si="21"/>
        <v>1.1454617283950601</v>
      </c>
      <c r="R240" s="22">
        <f t="shared" si="22"/>
        <v>1.99312585145459</v>
      </c>
      <c r="S240" s="22">
        <f t="shared" si="23"/>
        <v>2.99312585145459</v>
      </c>
    </row>
    <row r="241" spans="1:19">
      <c r="A241" s="18" t="s">
        <v>280</v>
      </c>
      <c r="B241" s="18" t="s">
        <v>47</v>
      </c>
      <c r="C241" s="18" t="s">
        <v>48</v>
      </c>
      <c r="D241" s="19">
        <v>44943</v>
      </c>
      <c r="E241" s="20">
        <v>45553</v>
      </c>
      <c r="F241" s="21">
        <v>53984</v>
      </c>
      <c r="G241" s="21">
        <v>53972.800000000003</v>
      </c>
      <c r="H241" s="21">
        <v>29348.799999999999</v>
      </c>
      <c r="I241" s="18">
        <v>7087.8879999999999</v>
      </c>
      <c r="J241" s="18">
        <v>9309.5040000000008</v>
      </c>
      <c r="K241" s="18" t="s">
        <v>43</v>
      </c>
      <c r="L241" s="18" t="s">
        <v>23</v>
      </c>
      <c r="M241" s="18" t="s">
        <v>24</v>
      </c>
      <c r="N241" s="22">
        <f t="shared" si="18"/>
        <v>0.99979253112033195</v>
      </c>
      <c r="O241" s="22">
        <f t="shared" si="19"/>
        <v>0.54377019535766202</v>
      </c>
      <c r="P241" s="23">
        <f t="shared" si="20"/>
        <v>0.131323333234518</v>
      </c>
      <c r="Q241" s="23">
        <f t="shared" si="21"/>
        <v>0.24150520634574499</v>
      </c>
      <c r="R241" s="22">
        <f t="shared" si="22"/>
        <v>0.313438361328509</v>
      </c>
      <c r="S241" s="22">
        <f t="shared" si="23"/>
        <v>1.3134383613285101</v>
      </c>
    </row>
    <row r="242" spans="1:19">
      <c r="A242" s="18" t="s">
        <v>281</v>
      </c>
      <c r="B242" s="18" t="s">
        <v>40</v>
      </c>
      <c r="C242" s="18" t="s">
        <v>41</v>
      </c>
      <c r="D242" s="19">
        <v>44902</v>
      </c>
      <c r="E242" s="20">
        <v>45531</v>
      </c>
      <c r="F242" s="21">
        <v>49547.199999999997</v>
      </c>
      <c r="G242" s="21">
        <v>42747.199999999997</v>
      </c>
      <c r="H242" s="21">
        <v>39625.599999999999</v>
      </c>
      <c r="I242" s="18">
        <v>1590.56</v>
      </c>
      <c r="J242" s="18">
        <v>2845.3119999999999</v>
      </c>
      <c r="K242" s="18" t="s">
        <v>30</v>
      </c>
      <c r="L242" s="18" t="s">
        <v>35</v>
      </c>
      <c r="M242" s="18" t="s">
        <v>32</v>
      </c>
      <c r="N242" s="22">
        <f t="shared" si="18"/>
        <v>0.86275712855620501</v>
      </c>
      <c r="O242" s="22">
        <f t="shared" si="19"/>
        <v>0.92697533405696797</v>
      </c>
      <c r="P242" s="23">
        <f t="shared" si="20"/>
        <v>3.7208518920537503E-2</v>
      </c>
      <c r="Q242" s="23">
        <f t="shared" si="21"/>
        <v>4.0139707663732503E-2</v>
      </c>
      <c r="R242" s="22">
        <f t="shared" si="22"/>
        <v>0.78887435871642697</v>
      </c>
      <c r="S242" s="22">
        <f t="shared" si="23"/>
        <v>1.78887435871643</v>
      </c>
    </row>
    <row r="243" spans="1:19">
      <c r="A243" s="18" t="s">
        <v>282</v>
      </c>
      <c r="B243" s="18" t="s">
        <v>34</v>
      </c>
      <c r="C243" s="18" t="s">
        <v>29</v>
      </c>
      <c r="D243" s="19">
        <v>44911</v>
      </c>
      <c r="E243" s="20">
        <v>45516</v>
      </c>
      <c r="F243" s="21">
        <v>71230.399999999994</v>
      </c>
      <c r="G243" s="21">
        <v>26193.599999999999</v>
      </c>
      <c r="H243" s="21">
        <v>20982.400000000001</v>
      </c>
      <c r="I243" s="18">
        <v>1989.84</v>
      </c>
      <c r="J243" s="18">
        <v>7874</v>
      </c>
      <c r="K243" s="18" t="s">
        <v>22</v>
      </c>
      <c r="L243" s="18" t="s">
        <v>50</v>
      </c>
      <c r="M243" s="18" t="s">
        <v>24</v>
      </c>
      <c r="N243" s="22">
        <f t="shared" si="18"/>
        <v>0.36773063186504601</v>
      </c>
      <c r="O243" s="22">
        <f t="shared" si="19"/>
        <v>0.80105063832386503</v>
      </c>
      <c r="P243" s="23">
        <f t="shared" si="20"/>
        <v>7.5966648341579596E-2</v>
      </c>
      <c r="Q243" s="23">
        <f t="shared" si="21"/>
        <v>9.4833765441512896E-2</v>
      </c>
      <c r="R243" s="22">
        <f t="shared" si="22"/>
        <v>2.95710207855908</v>
      </c>
      <c r="S243" s="22">
        <f t="shared" si="23"/>
        <v>3.95710207855908</v>
      </c>
    </row>
    <row r="244" spans="1:19">
      <c r="A244" s="18" t="s">
        <v>283</v>
      </c>
      <c r="B244" s="18" t="s">
        <v>26</v>
      </c>
      <c r="C244" s="18" t="s">
        <v>29</v>
      </c>
      <c r="D244" s="19">
        <v>44803</v>
      </c>
      <c r="E244" s="20">
        <v>45430</v>
      </c>
      <c r="F244" s="21">
        <v>43025.599999999999</v>
      </c>
      <c r="G244" s="21">
        <v>39075.199999999997</v>
      </c>
      <c r="H244" s="21">
        <v>752</v>
      </c>
      <c r="I244" s="18">
        <v>5749.232</v>
      </c>
      <c r="J244" s="18">
        <v>10060.224</v>
      </c>
      <c r="K244" s="18" t="s">
        <v>30</v>
      </c>
      <c r="L244" s="18" t="s">
        <v>31</v>
      </c>
      <c r="M244" s="18" t="s">
        <v>24</v>
      </c>
      <c r="N244" s="22">
        <f t="shared" si="18"/>
        <v>0.908184894574393</v>
      </c>
      <c r="O244" s="22">
        <f t="shared" si="19"/>
        <v>1.9244943084104502E-2</v>
      </c>
      <c r="P244" s="23">
        <f t="shared" si="20"/>
        <v>0.147132503480468</v>
      </c>
      <c r="Q244" s="23">
        <f t="shared" si="21"/>
        <v>7.6452553191489399</v>
      </c>
      <c r="R244" s="22">
        <f t="shared" si="22"/>
        <v>0.749837891391407</v>
      </c>
      <c r="S244" s="22">
        <f t="shared" si="23"/>
        <v>1.7498378913914101</v>
      </c>
    </row>
    <row r="245" spans="1:19">
      <c r="A245" s="18" t="s">
        <v>284</v>
      </c>
      <c r="B245" s="18" t="s">
        <v>34</v>
      </c>
      <c r="C245" s="18" t="s">
        <v>41</v>
      </c>
      <c r="D245" s="19">
        <v>44986</v>
      </c>
      <c r="E245" s="20">
        <v>45610</v>
      </c>
      <c r="F245" s="21">
        <v>46212.800000000003</v>
      </c>
      <c r="G245" s="21">
        <v>42828.800000000003</v>
      </c>
      <c r="H245" s="21">
        <v>35329.599999999999</v>
      </c>
      <c r="I245" s="18">
        <v>7856.64</v>
      </c>
      <c r="J245" s="18">
        <v>22232.944</v>
      </c>
      <c r="K245" s="18" t="s">
        <v>38</v>
      </c>
      <c r="L245" s="18" t="s">
        <v>31</v>
      </c>
      <c r="M245" s="18" t="s">
        <v>32</v>
      </c>
      <c r="N245" s="22">
        <f t="shared" si="18"/>
        <v>0.92677353460513101</v>
      </c>
      <c r="O245" s="22">
        <f t="shared" si="19"/>
        <v>0.82490286909743005</v>
      </c>
      <c r="P245" s="23">
        <f t="shared" si="20"/>
        <v>0.18344291691572001</v>
      </c>
      <c r="Q245" s="23">
        <f t="shared" si="21"/>
        <v>0.22238123273402499</v>
      </c>
      <c r="R245" s="22">
        <f t="shared" si="22"/>
        <v>1.8298285272075601</v>
      </c>
      <c r="S245" s="22">
        <f t="shared" si="23"/>
        <v>2.8298285272075598</v>
      </c>
    </row>
    <row r="246" spans="1:19">
      <c r="A246" s="18" t="s">
        <v>285</v>
      </c>
      <c r="B246" s="18" t="s">
        <v>26</v>
      </c>
      <c r="C246" s="18" t="s">
        <v>21</v>
      </c>
      <c r="D246" s="19">
        <v>44896</v>
      </c>
      <c r="E246" s="20">
        <v>45524</v>
      </c>
      <c r="F246" s="21">
        <v>25550.400000000001</v>
      </c>
      <c r="G246" s="21">
        <v>22099.200000000001</v>
      </c>
      <c r="H246" s="21">
        <v>1142.4000000000001</v>
      </c>
      <c r="I246" s="18">
        <v>3915.76</v>
      </c>
      <c r="J246" s="18">
        <v>9771.3119999999999</v>
      </c>
      <c r="K246" s="18" t="s">
        <v>30</v>
      </c>
      <c r="L246" s="18" t="s">
        <v>35</v>
      </c>
      <c r="M246" s="18" t="s">
        <v>32</v>
      </c>
      <c r="N246" s="22">
        <f t="shared" si="18"/>
        <v>0.86492579372534295</v>
      </c>
      <c r="O246" s="22">
        <f t="shared" si="19"/>
        <v>5.1694178974804501E-2</v>
      </c>
      <c r="P246" s="23">
        <f t="shared" si="20"/>
        <v>0.177190124529395</v>
      </c>
      <c r="Q246" s="23">
        <f t="shared" si="21"/>
        <v>3.4276610644257701</v>
      </c>
      <c r="R246" s="22">
        <f t="shared" si="22"/>
        <v>1.4953807179193801</v>
      </c>
      <c r="S246" s="22">
        <f t="shared" si="23"/>
        <v>2.4953807179193799</v>
      </c>
    </row>
    <row r="247" spans="1:19">
      <c r="A247" s="18" t="s">
        <v>286</v>
      </c>
      <c r="B247" s="18" t="s">
        <v>34</v>
      </c>
      <c r="C247" s="18" t="s">
        <v>41</v>
      </c>
      <c r="D247" s="19">
        <v>44990</v>
      </c>
      <c r="E247" s="20">
        <v>45593</v>
      </c>
      <c r="F247" s="21">
        <v>37808</v>
      </c>
      <c r="G247" s="21">
        <v>37145.599999999999</v>
      </c>
      <c r="H247" s="21">
        <v>34857.599999999999</v>
      </c>
      <c r="I247" s="18">
        <v>3980.6880000000001</v>
      </c>
      <c r="J247" s="18">
        <v>10650.495999999999</v>
      </c>
      <c r="K247" s="18" t="s">
        <v>30</v>
      </c>
      <c r="L247" s="18" t="s">
        <v>50</v>
      </c>
      <c r="M247" s="18" t="s">
        <v>32</v>
      </c>
      <c r="N247" s="22">
        <f t="shared" si="18"/>
        <v>0.98247989843419403</v>
      </c>
      <c r="O247" s="22">
        <f t="shared" si="19"/>
        <v>0.93840454858718103</v>
      </c>
      <c r="P247" s="23">
        <f t="shared" si="20"/>
        <v>0.107164455547898</v>
      </c>
      <c r="Q247" s="23">
        <f t="shared" si="21"/>
        <v>0.11419856788763399</v>
      </c>
      <c r="R247" s="22">
        <f t="shared" si="22"/>
        <v>1.6755415144316801</v>
      </c>
      <c r="S247" s="22">
        <f t="shared" si="23"/>
        <v>2.6755415144316799</v>
      </c>
    </row>
    <row r="248" spans="1:19">
      <c r="A248" s="18" t="s">
        <v>287</v>
      </c>
      <c r="B248" s="18" t="s">
        <v>40</v>
      </c>
      <c r="C248" s="18" t="s">
        <v>29</v>
      </c>
      <c r="D248" s="19">
        <v>44907</v>
      </c>
      <c r="E248" s="20">
        <v>45527</v>
      </c>
      <c r="F248" s="21">
        <v>1960</v>
      </c>
      <c r="G248" s="21">
        <v>857.6</v>
      </c>
      <c r="H248" s="21">
        <v>403.2</v>
      </c>
      <c r="I248" s="18">
        <v>559.44000000000005</v>
      </c>
      <c r="J248" s="18">
        <v>1591.4559999999999</v>
      </c>
      <c r="K248" s="18" t="s">
        <v>22</v>
      </c>
      <c r="L248" s="18" t="s">
        <v>35</v>
      </c>
      <c r="M248" s="18" t="s">
        <v>24</v>
      </c>
      <c r="N248" s="22">
        <f t="shared" si="18"/>
        <v>0.43755102040816302</v>
      </c>
      <c r="O248" s="22">
        <f t="shared" si="19"/>
        <v>0.47014925373134298</v>
      </c>
      <c r="P248" s="23">
        <f t="shared" si="20"/>
        <v>0.65233208955223898</v>
      </c>
      <c r="Q248" s="23">
        <f t="shared" si="21"/>
        <v>1.3875</v>
      </c>
      <c r="R248" s="22">
        <f t="shared" si="22"/>
        <v>1.84473044473044</v>
      </c>
      <c r="S248" s="22">
        <f t="shared" si="23"/>
        <v>2.8447304447304398</v>
      </c>
    </row>
    <row r="249" spans="1:19">
      <c r="A249" s="18" t="s">
        <v>288</v>
      </c>
      <c r="B249" s="18" t="s">
        <v>28</v>
      </c>
      <c r="C249" s="18" t="s">
        <v>48</v>
      </c>
      <c r="D249" s="19">
        <v>44792</v>
      </c>
      <c r="E249" s="20">
        <v>45420</v>
      </c>
      <c r="F249" s="21">
        <v>50884.800000000003</v>
      </c>
      <c r="G249" s="21">
        <v>28569.599999999999</v>
      </c>
      <c r="H249" s="21">
        <v>7769.6</v>
      </c>
      <c r="I249" s="18">
        <v>254.352</v>
      </c>
      <c r="J249" s="18">
        <v>340.4</v>
      </c>
      <c r="K249" s="18" t="s">
        <v>43</v>
      </c>
      <c r="L249" s="18" t="s">
        <v>23</v>
      </c>
      <c r="M249" s="18" t="s">
        <v>24</v>
      </c>
      <c r="N249" s="22">
        <f t="shared" si="18"/>
        <v>0.56145646637109703</v>
      </c>
      <c r="O249" s="22">
        <f t="shared" si="19"/>
        <v>0.27195340501792098</v>
      </c>
      <c r="P249" s="23">
        <f t="shared" si="20"/>
        <v>8.9028897849462406E-3</v>
      </c>
      <c r="Q249" s="23">
        <f t="shared" si="21"/>
        <v>3.2736820428336103E-2</v>
      </c>
      <c r="R249" s="22">
        <f t="shared" si="22"/>
        <v>0.33830282443228299</v>
      </c>
      <c r="S249" s="22">
        <f t="shared" si="23"/>
        <v>1.3383028244322801</v>
      </c>
    </row>
    <row r="250" spans="1:19">
      <c r="A250" s="18" t="s">
        <v>289</v>
      </c>
      <c r="B250" s="18" t="s">
        <v>20</v>
      </c>
      <c r="C250" s="18" t="s">
        <v>48</v>
      </c>
      <c r="D250" s="19">
        <v>44698</v>
      </c>
      <c r="E250" s="20">
        <v>45325</v>
      </c>
      <c r="F250" s="21">
        <v>7963.2</v>
      </c>
      <c r="G250" s="21">
        <v>5566.4</v>
      </c>
      <c r="H250" s="21">
        <v>3302.4</v>
      </c>
      <c r="I250" s="18">
        <v>530.79999999999995</v>
      </c>
      <c r="J250" s="18">
        <v>1471.296</v>
      </c>
      <c r="K250" s="18" t="s">
        <v>22</v>
      </c>
      <c r="L250" s="18" t="s">
        <v>50</v>
      </c>
      <c r="M250" s="18" t="s">
        <v>24</v>
      </c>
      <c r="N250" s="22">
        <f t="shared" si="18"/>
        <v>0.69901547116736995</v>
      </c>
      <c r="O250" s="22">
        <f t="shared" si="19"/>
        <v>0.59327392929002598</v>
      </c>
      <c r="P250" s="23">
        <f t="shared" si="20"/>
        <v>9.5357861454440904E-2</v>
      </c>
      <c r="Q250" s="23">
        <f t="shared" si="21"/>
        <v>0.160731589147287</v>
      </c>
      <c r="R250" s="22">
        <f t="shared" si="22"/>
        <v>1.7718462697814601</v>
      </c>
      <c r="S250" s="22">
        <f t="shared" si="23"/>
        <v>2.7718462697814599</v>
      </c>
    </row>
    <row r="251" spans="1:19">
      <c r="A251" s="18" t="s">
        <v>290</v>
      </c>
      <c r="B251" s="18" t="s">
        <v>20</v>
      </c>
      <c r="C251" s="18" t="s">
        <v>48</v>
      </c>
      <c r="D251" s="19">
        <v>44774</v>
      </c>
      <c r="E251" s="20">
        <v>45376</v>
      </c>
      <c r="F251" s="21">
        <v>36457.599999999999</v>
      </c>
      <c r="G251" s="21">
        <v>32203.200000000001</v>
      </c>
      <c r="H251" s="21">
        <v>4203.2</v>
      </c>
      <c r="I251" s="18">
        <v>6676.9279999999999</v>
      </c>
      <c r="J251" s="18">
        <v>16808.047999999999</v>
      </c>
      <c r="K251" s="18" t="s">
        <v>30</v>
      </c>
      <c r="L251" s="18" t="s">
        <v>23</v>
      </c>
      <c r="M251" s="18" t="s">
        <v>32</v>
      </c>
      <c r="N251" s="22">
        <f t="shared" si="18"/>
        <v>0.88330553848854598</v>
      </c>
      <c r="O251" s="22">
        <f t="shared" si="19"/>
        <v>0.13052119044070201</v>
      </c>
      <c r="P251" s="23">
        <f t="shared" si="20"/>
        <v>0.20733740746261201</v>
      </c>
      <c r="Q251" s="23">
        <f t="shared" si="21"/>
        <v>1.5885344499428999</v>
      </c>
      <c r="R251" s="22">
        <f t="shared" si="22"/>
        <v>1.51733252178247</v>
      </c>
      <c r="S251" s="22">
        <f t="shared" si="23"/>
        <v>2.5173325217824698</v>
      </c>
    </row>
    <row r="252" spans="1:19">
      <c r="A252" s="18" t="s">
        <v>291</v>
      </c>
      <c r="B252" s="18" t="s">
        <v>28</v>
      </c>
      <c r="C252" s="18" t="s">
        <v>48</v>
      </c>
      <c r="D252" s="19">
        <v>44934</v>
      </c>
      <c r="E252" s="20">
        <v>45557</v>
      </c>
      <c r="F252" s="21">
        <v>70545.600000000006</v>
      </c>
      <c r="G252" s="21">
        <v>9758.4</v>
      </c>
      <c r="H252" s="21">
        <v>1294.4000000000001</v>
      </c>
      <c r="I252" s="18">
        <v>680.73599999999999</v>
      </c>
      <c r="J252" s="18">
        <v>2239.1039999999998</v>
      </c>
      <c r="K252" s="18" t="s">
        <v>65</v>
      </c>
      <c r="L252" s="18" t="s">
        <v>23</v>
      </c>
      <c r="M252" s="18" t="s">
        <v>24</v>
      </c>
      <c r="N252" s="22">
        <f t="shared" si="18"/>
        <v>0.13832754984010301</v>
      </c>
      <c r="O252" s="22">
        <f t="shared" si="19"/>
        <v>0.13264469585177899</v>
      </c>
      <c r="P252" s="23">
        <f t="shared" si="20"/>
        <v>6.9758976881456006E-2</v>
      </c>
      <c r="Q252" s="23">
        <f t="shared" si="21"/>
        <v>0.52590852904820795</v>
      </c>
      <c r="R252" s="22">
        <f t="shared" si="22"/>
        <v>2.2892398815399799</v>
      </c>
      <c r="S252" s="22">
        <f t="shared" si="23"/>
        <v>3.2892398815399799</v>
      </c>
    </row>
    <row r="253" spans="1:19">
      <c r="A253" s="18" t="s">
        <v>292</v>
      </c>
      <c r="B253" s="18" t="s">
        <v>26</v>
      </c>
      <c r="C253" s="18" t="s">
        <v>21</v>
      </c>
      <c r="D253" s="19">
        <v>44858</v>
      </c>
      <c r="E253" s="20">
        <v>45460</v>
      </c>
      <c r="F253" s="21">
        <v>48275.199999999997</v>
      </c>
      <c r="G253" s="21">
        <v>31988.799999999999</v>
      </c>
      <c r="H253" s="21">
        <v>11100.8</v>
      </c>
      <c r="I253" s="18">
        <v>1236.24</v>
      </c>
      <c r="J253" s="18">
        <v>4330.5439999999999</v>
      </c>
      <c r="K253" s="18" t="s">
        <v>43</v>
      </c>
      <c r="L253" s="18" t="s">
        <v>23</v>
      </c>
      <c r="M253" s="18" t="s">
        <v>32</v>
      </c>
      <c r="N253" s="22">
        <f t="shared" si="18"/>
        <v>0.66263423041230296</v>
      </c>
      <c r="O253" s="22">
        <f t="shared" si="19"/>
        <v>0.34702145751012903</v>
      </c>
      <c r="P253" s="23">
        <f t="shared" si="20"/>
        <v>3.8646026109138198E-2</v>
      </c>
      <c r="Q253" s="23">
        <f t="shared" si="21"/>
        <v>0.11136494667051</v>
      </c>
      <c r="R253" s="22">
        <f t="shared" si="22"/>
        <v>2.5029961819711399</v>
      </c>
      <c r="S253" s="22">
        <f t="shared" si="23"/>
        <v>3.5029961819711399</v>
      </c>
    </row>
    <row r="254" spans="1:19">
      <c r="A254" s="18" t="s">
        <v>293</v>
      </c>
      <c r="B254" s="18" t="s">
        <v>47</v>
      </c>
      <c r="C254" s="18" t="s">
        <v>29</v>
      </c>
      <c r="D254" s="19">
        <v>44901</v>
      </c>
      <c r="E254" s="20">
        <v>45523</v>
      </c>
      <c r="F254" s="21">
        <v>53374.400000000001</v>
      </c>
      <c r="G254" s="21">
        <v>7758.4</v>
      </c>
      <c r="H254" s="21">
        <v>521.6</v>
      </c>
      <c r="I254" s="18">
        <v>1851.6320000000001</v>
      </c>
      <c r="J254" s="18">
        <v>2838.3359999999998</v>
      </c>
      <c r="K254" s="18" t="s">
        <v>22</v>
      </c>
      <c r="L254" s="18" t="s">
        <v>50</v>
      </c>
      <c r="M254" s="18" t="s">
        <v>24</v>
      </c>
      <c r="N254" s="22">
        <f t="shared" si="18"/>
        <v>0.14535807428280201</v>
      </c>
      <c r="O254" s="22">
        <f t="shared" si="19"/>
        <v>6.7230356774592701E-2</v>
      </c>
      <c r="P254" s="23">
        <f t="shared" si="20"/>
        <v>0.23866157970715601</v>
      </c>
      <c r="Q254" s="23">
        <f t="shared" si="21"/>
        <v>3.5499079754601199</v>
      </c>
      <c r="R254" s="22">
        <f t="shared" si="22"/>
        <v>0.53288342392008803</v>
      </c>
      <c r="S254" s="22">
        <f t="shared" si="23"/>
        <v>1.5328834239200899</v>
      </c>
    </row>
    <row r="255" spans="1:19">
      <c r="A255" s="18" t="s">
        <v>294</v>
      </c>
      <c r="B255" s="18" t="s">
        <v>34</v>
      </c>
      <c r="C255" s="18" t="s">
        <v>48</v>
      </c>
      <c r="D255" s="19">
        <v>44983</v>
      </c>
      <c r="E255" s="20">
        <v>45597</v>
      </c>
      <c r="F255" s="21">
        <v>38824</v>
      </c>
      <c r="G255" s="21">
        <v>37166.400000000001</v>
      </c>
      <c r="H255" s="21">
        <v>30347.200000000001</v>
      </c>
      <c r="I255" s="18">
        <v>3944.4960000000001</v>
      </c>
      <c r="J255" s="18">
        <v>11781.12</v>
      </c>
      <c r="K255" s="18" t="s">
        <v>65</v>
      </c>
      <c r="L255" s="18" t="s">
        <v>23</v>
      </c>
      <c r="M255" s="18" t="s">
        <v>24</v>
      </c>
      <c r="N255" s="22">
        <f t="shared" si="18"/>
        <v>0.95730475994230402</v>
      </c>
      <c r="O255" s="22">
        <f t="shared" si="19"/>
        <v>0.81652245038529403</v>
      </c>
      <c r="P255" s="23">
        <f t="shared" si="20"/>
        <v>0.10613069869559601</v>
      </c>
      <c r="Q255" s="23">
        <f t="shared" si="21"/>
        <v>0.12997891073970599</v>
      </c>
      <c r="R255" s="22">
        <f t="shared" si="22"/>
        <v>1.98672377915962</v>
      </c>
      <c r="S255" s="22">
        <f t="shared" si="23"/>
        <v>2.98672377915962</v>
      </c>
    </row>
    <row r="256" spans="1:19">
      <c r="A256" s="18" t="s">
        <v>295</v>
      </c>
      <c r="B256" s="18" t="s">
        <v>20</v>
      </c>
      <c r="C256" s="18" t="s">
        <v>41</v>
      </c>
      <c r="D256" s="19">
        <v>44988</v>
      </c>
      <c r="E256" s="20">
        <v>45597</v>
      </c>
      <c r="F256" s="21">
        <v>68486.399999999994</v>
      </c>
      <c r="G256" s="21">
        <v>43852.800000000003</v>
      </c>
      <c r="H256" s="21">
        <v>15862.4</v>
      </c>
      <c r="I256" s="18">
        <v>5515.152</v>
      </c>
      <c r="J256" s="18">
        <v>16430.96</v>
      </c>
      <c r="K256" s="18" t="s">
        <v>43</v>
      </c>
      <c r="L256" s="18" t="s">
        <v>23</v>
      </c>
      <c r="M256" s="18" t="s">
        <v>24</v>
      </c>
      <c r="N256" s="22">
        <f t="shared" si="18"/>
        <v>0.64031398934678996</v>
      </c>
      <c r="O256" s="22">
        <f t="shared" si="19"/>
        <v>0.36171920607121999</v>
      </c>
      <c r="P256" s="23">
        <f t="shared" si="20"/>
        <v>0.125765105078809</v>
      </c>
      <c r="Q256" s="23">
        <f t="shared" si="21"/>
        <v>0.34768710913859202</v>
      </c>
      <c r="R256" s="22">
        <f t="shared" si="22"/>
        <v>1.97923973808881</v>
      </c>
      <c r="S256" s="22">
        <f t="shared" si="23"/>
        <v>2.9792397380888098</v>
      </c>
    </row>
    <row r="257" spans="1:19">
      <c r="A257" s="18" t="s">
        <v>296</v>
      </c>
      <c r="B257" s="18" t="s">
        <v>34</v>
      </c>
      <c r="C257" s="18" t="s">
        <v>29</v>
      </c>
      <c r="D257" s="19">
        <v>44859</v>
      </c>
      <c r="E257" s="20">
        <v>45461</v>
      </c>
      <c r="F257" s="21">
        <v>35745.599999999999</v>
      </c>
      <c r="G257" s="21">
        <v>21790.400000000001</v>
      </c>
      <c r="H257" s="21">
        <v>16907.2</v>
      </c>
      <c r="I257" s="18">
        <v>4228.9920000000002</v>
      </c>
      <c r="J257" s="18">
        <v>14133.103999999999</v>
      </c>
      <c r="K257" s="18" t="s">
        <v>43</v>
      </c>
      <c r="L257" s="18" t="s">
        <v>35</v>
      </c>
      <c r="M257" s="18" t="s">
        <v>32</v>
      </c>
      <c r="N257" s="22">
        <f t="shared" si="18"/>
        <v>0.60959670560852297</v>
      </c>
      <c r="O257" s="22">
        <f t="shared" si="19"/>
        <v>0.77590131434026</v>
      </c>
      <c r="P257" s="23">
        <f t="shared" si="20"/>
        <v>0.19407592334238899</v>
      </c>
      <c r="Q257" s="23">
        <f t="shared" si="21"/>
        <v>0.25012964890697498</v>
      </c>
      <c r="R257" s="22">
        <f t="shared" si="22"/>
        <v>2.3419557189987601</v>
      </c>
      <c r="S257" s="22">
        <f t="shared" si="23"/>
        <v>3.3419557189987601</v>
      </c>
    </row>
    <row r="258" spans="1:19">
      <c r="A258" s="18" t="s">
        <v>297</v>
      </c>
      <c r="B258" s="18" t="s">
        <v>26</v>
      </c>
      <c r="C258" s="18" t="s">
        <v>29</v>
      </c>
      <c r="D258" s="19">
        <v>44709</v>
      </c>
      <c r="E258" s="20">
        <v>45337</v>
      </c>
      <c r="F258" s="21">
        <v>47337.599999999999</v>
      </c>
      <c r="G258" s="21">
        <v>30104</v>
      </c>
      <c r="H258" s="21">
        <v>18195.2</v>
      </c>
      <c r="I258" s="18">
        <v>3471.0079999999998</v>
      </c>
      <c r="J258" s="18">
        <v>9466.0319999999992</v>
      </c>
      <c r="K258" s="18" t="s">
        <v>43</v>
      </c>
      <c r="L258" s="18" t="s">
        <v>35</v>
      </c>
      <c r="M258" s="18" t="s">
        <v>24</v>
      </c>
      <c r="N258" s="22">
        <f t="shared" ref="N258:N321" si="24">G258/F258</f>
        <v>0.63594267558980599</v>
      </c>
      <c r="O258" s="22">
        <f t="shared" ref="O258:O321" si="25">H258/G258</f>
        <v>0.60441137390379995</v>
      </c>
      <c r="P258" s="23">
        <f t="shared" ref="P258:P321" si="26">I258/G258</f>
        <v>0.115300558065373</v>
      </c>
      <c r="Q258" s="23">
        <f t="shared" ref="Q258:Q321" si="27">I258/H258</f>
        <v>0.19076503693281699</v>
      </c>
      <c r="R258" s="22">
        <f t="shared" ref="R258:R321" si="28">(J258-I258)/I258</f>
        <v>1.7271708967539099</v>
      </c>
      <c r="S258" s="22">
        <f t="shared" ref="S258:S321" si="29">J258/I258</f>
        <v>2.7271708967539099</v>
      </c>
    </row>
    <row r="259" spans="1:19">
      <c r="A259" s="18" t="s">
        <v>298</v>
      </c>
      <c r="B259" s="18" t="s">
        <v>34</v>
      </c>
      <c r="C259" s="18" t="s">
        <v>29</v>
      </c>
      <c r="D259" s="19">
        <v>44787</v>
      </c>
      <c r="E259" s="20">
        <v>45410</v>
      </c>
      <c r="F259" s="21">
        <v>13804.8</v>
      </c>
      <c r="G259" s="21">
        <v>4275.2</v>
      </c>
      <c r="H259" s="21">
        <v>1665.6</v>
      </c>
      <c r="I259" s="18">
        <v>6684.4960000000001</v>
      </c>
      <c r="J259" s="18">
        <v>12245.808000000001</v>
      </c>
      <c r="K259" s="18" t="s">
        <v>65</v>
      </c>
      <c r="L259" s="18" t="s">
        <v>23</v>
      </c>
      <c r="M259" s="18" t="s">
        <v>24</v>
      </c>
      <c r="N259" s="22">
        <f t="shared" si="24"/>
        <v>0.309689383402874</v>
      </c>
      <c r="O259" s="22">
        <f t="shared" si="25"/>
        <v>0.38959580838323399</v>
      </c>
      <c r="P259" s="23">
        <f t="shared" si="26"/>
        <v>1.56355164670659</v>
      </c>
      <c r="Q259" s="23">
        <f t="shared" si="27"/>
        <v>4.0132660902977904</v>
      </c>
      <c r="R259" s="22">
        <f t="shared" si="28"/>
        <v>0.83197177468577999</v>
      </c>
      <c r="S259" s="22">
        <f t="shared" si="29"/>
        <v>1.83197177468578</v>
      </c>
    </row>
    <row r="260" spans="1:19">
      <c r="A260" s="18" t="s">
        <v>299</v>
      </c>
      <c r="B260" s="18" t="s">
        <v>34</v>
      </c>
      <c r="C260" s="18" t="s">
        <v>41</v>
      </c>
      <c r="D260" s="19">
        <v>44716</v>
      </c>
      <c r="E260" s="20">
        <v>45340</v>
      </c>
      <c r="F260" s="21">
        <v>75803.199999999997</v>
      </c>
      <c r="G260" s="21">
        <v>72264</v>
      </c>
      <c r="H260" s="21">
        <v>25977.599999999999</v>
      </c>
      <c r="I260" s="18">
        <v>2981.2</v>
      </c>
      <c r="J260" s="18">
        <v>11496.4</v>
      </c>
      <c r="K260" s="18" t="s">
        <v>43</v>
      </c>
      <c r="L260" s="18" t="s">
        <v>44</v>
      </c>
      <c r="M260" s="18" t="s">
        <v>24</v>
      </c>
      <c r="N260" s="22">
        <f t="shared" si="24"/>
        <v>0.95331067817717496</v>
      </c>
      <c r="O260" s="22">
        <f t="shared" si="25"/>
        <v>0.35948189970109601</v>
      </c>
      <c r="P260" s="23">
        <f t="shared" si="26"/>
        <v>4.1254289826192801E-2</v>
      </c>
      <c r="Q260" s="23">
        <f t="shared" si="27"/>
        <v>0.114760408967726</v>
      </c>
      <c r="R260" s="22">
        <f t="shared" si="28"/>
        <v>2.8562994767207801</v>
      </c>
      <c r="S260" s="22">
        <f t="shared" si="29"/>
        <v>3.8562994767207801</v>
      </c>
    </row>
    <row r="261" spans="1:19">
      <c r="A261" s="18" t="s">
        <v>300</v>
      </c>
      <c r="B261" s="18" t="s">
        <v>20</v>
      </c>
      <c r="C261" s="18" t="s">
        <v>21</v>
      </c>
      <c r="D261" s="19">
        <v>44722</v>
      </c>
      <c r="E261" s="20">
        <v>45341</v>
      </c>
      <c r="F261" s="21">
        <v>58328</v>
      </c>
      <c r="G261" s="21">
        <v>44494.400000000001</v>
      </c>
      <c r="H261" s="21">
        <v>7686.4</v>
      </c>
      <c r="I261" s="18">
        <v>2029.0239999999999</v>
      </c>
      <c r="J261" s="18">
        <v>6335.424</v>
      </c>
      <c r="K261" s="18" t="s">
        <v>65</v>
      </c>
      <c r="L261" s="18" t="s">
        <v>50</v>
      </c>
      <c r="M261" s="18" t="s">
        <v>24</v>
      </c>
      <c r="N261" s="22">
        <f t="shared" si="24"/>
        <v>0.76283088739541904</v>
      </c>
      <c r="O261" s="22">
        <f t="shared" si="25"/>
        <v>0.172749829191988</v>
      </c>
      <c r="P261" s="23">
        <f t="shared" si="26"/>
        <v>4.56017835952389E-2</v>
      </c>
      <c r="Q261" s="23">
        <f t="shared" si="27"/>
        <v>0.26397585345545399</v>
      </c>
      <c r="R261" s="22">
        <f t="shared" si="28"/>
        <v>2.1223997350450299</v>
      </c>
      <c r="S261" s="22">
        <f t="shared" si="29"/>
        <v>3.1223997350450299</v>
      </c>
    </row>
    <row r="262" spans="1:19">
      <c r="A262" s="18" t="s">
        <v>301</v>
      </c>
      <c r="B262" s="18" t="s">
        <v>40</v>
      </c>
      <c r="C262" s="18" t="s">
        <v>48</v>
      </c>
      <c r="D262" s="19">
        <v>44805</v>
      </c>
      <c r="E262" s="20">
        <v>45413</v>
      </c>
      <c r="F262" s="21">
        <v>63577.599999999999</v>
      </c>
      <c r="G262" s="21">
        <v>7190.4</v>
      </c>
      <c r="H262" s="21">
        <v>5603.2</v>
      </c>
      <c r="I262" s="18">
        <v>4877.92</v>
      </c>
      <c r="J262" s="18">
        <v>6768.56</v>
      </c>
      <c r="K262" s="18" t="s">
        <v>30</v>
      </c>
      <c r="L262" s="18" t="s">
        <v>50</v>
      </c>
      <c r="M262" s="18" t="s">
        <v>24</v>
      </c>
      <c r="N262" s="22">
        <f t="shared" si="24"/>
        <v>0.113096436480773</v>
      </c>
      <c r="O262" s="22">
        <f t="shared" si="25"/>
        <v>0.77926123720516205</v>
      </c>
      <c r="P262" s="23">
        <f t="shared" si="26"/>
        <v>0.67839341344014203</v>
      </c>
      <c r="Q262" s="23">
        <f t="shared" si="27"/>
        <v>0.87055968018275298</v>
      </c>
      <c r="R262" s="22">
        <f t="shared" si="28"/>
        <v>0.38759143241381599</v>
      </c>
      <c r="S262" s="22">
        <f t="shared" si="29"/>
        <v>1.3875914324138201</v>
      </c>
    </row>
    <row r="263" spans="1:19">
      <c r="A263" s="18" t="s">
        <v>302</v>
      </c>
      <c r="B263" s="18" t="s">
        <v>34</v>
      </c>
      <c r="C263" s="18" t="s">
        <v>29</v>
      </c>
      <c r="D263" s="19">
        <v>44717</v>
      </c>
      <c r="E263" s="20">
        <v>45335</v>
      </c>
      <c r="F263" s="21">
        <v>61100.800000000003</v>
      </c>
      <c r="G263" s="21">
        <v>3308.8</v>
      </c>
      <c r="H263" s="21">
        <v>465.6</v>
      </c>
      <c r="I263" s="18">
        <v>2888.6239999999998</v>
      </c>
      <c r="J263" s="18">
        <v>10165.424000000001</v>
      </c>
      <c r="K263" s="18" t="s">
        <v>22</v>
      </c>
      <c r="L263" s="18" t="s">
        <v>35</v>
      </c>
      <c r="M263" s="18" t="s">
        <v>24</v>
      </c>
      <c r="N263" s="22">
        <f t="shared" si="24"/>
        <v>5.4153137111134397E-2</v>
      </c>
      <c r="O263" s="22">
        <f t="shared" si="25"/>
        <v>0.140715667311412</v>
      </c>
      <c r="P263" s="23">
        <f t="shared" si="26"/>
        <v>0.87301257253384901</v>
      </c>
      <c r="Q263" s="23">
        <f t="shared" si="27"/>
        <v>6.2040893470790399</v>
      </c>
      <c r="R263" s="22">
        <f t="shared" si="28"/>
        <v>2.5191232919203101</v>
      </c>
      <c r="S263" s="22">
        <f t="shared" si="29"/>
        <v>3.5191232919203101</v>
      </c>
    </row>
    <row r="264" spans="1:19">
      <c r="A264" s="18" t="s">
        <v>303</v>
      </c>
      <c r="B264" s="18" t="s">
        <v>47</v>
      </c>
      <c r="C264" s="18" t="s">
        <v>41</v>
      </c>
      <c r="D264" s="19">
        <v>44878</v>
      </c>
      <c r="E264" s="20">
        <v>45497</v>
      </c>
      <c r="F264" s="21">
        <v>12929.6</v>
      </c>
      <c r="G264" s="21">
        <v>9244.7999999999993</v>
      </c>
      <c r="H264" s="21">
        <v>1009.6</v>
      </c>
      <c r="I264" s="18">
        <v>4965.5519999999997</v>
      </c>
      <c r="J264" s="18">
        <v>7712.6559999999999</v>
      </c>
      <c r="K264" s="18" t="s">
        <v>43</v>
      </c>
      <c r="L264" s="18" t="s">
        <v>35</v>
      </c>
      <c r="M264" s="18" t="s">
        <v>24</v>
      </c>
      <c r="N264" s="22">
        <f t="shared" si="24"/>
        <v>0.71501051850018604</v>
      </c>
      <c r="O264" s="22">
        <f t="shared" si="25"/>
        <v>0.10920733817930101</v>
      </c>
      <c r="P264" s="23">
        <f t="shared" si="26"/>
        <v>0.53711838006230495</v>
      </c>
      <c r="Q264" s="23">
        <f t="shared" si="27"/>
        <v>4.9183359746434201</v>
      </c>
      <c r="R264" s="22">
        <f t="shared" si="28"/>
        <v>0.55323234959577505</v>
      </c>
      <c r="S264" s="22">
        <f t="shared" si="29"/>
        <v>1.55323234959578</v>
      </c>
    </row>
    <row r="265" spans="1:19">
      <c r="A265" s="18" t="s">
        <v>304</v>
      </c>
      <c r="B265" s="18" t="s">
        <v>34</v>
      </c>
      <c r="C265" s="18" t="s">
        <v>41</v>
      </c>
      <c r="D265" s="19">
        <v>44967</v>
      </c>
      <c r="E265" s="20">
        <v>45594</v>
      </c>
      <c r="F265" s="21">
        <v>24347.200000000001</v>
      </c>
      <c r="G265" s="21">
        <v>734.4</v>
      </c>
      <c r="H265" s="21">
        <v>526.4</v>
      </c>
      <c r="I265" s="18">
        <v>290.976</v>
      </c>
      <c r="J265" s="18">
        <v>618.43200000000002</v>
      </c>
      <c r="K265" s="18" t="s">
        <v>43</v>
      </c>
      <c r="L265" s="18" t="s">
        <v>23</v>
      </c>
      <c r="M265" s="18" t="s">
        <v>32</v>
      </c>
      <c r="N265" s="22">
        <f t="shared" si="24"/>
        <v>3.0163632779128601E-2</v>
      </c>
      <c r="O265" s="22">
        <f t="shared" si="25"/>
        <v>0.71677559912854005</v>
      </c>
      <c r="P265" s="23">
        <f t="shared" si="26"/>
        <v>0.39620915032679699</v>
      </c>
      <c r="Q265" s="23">
        <f t="shared" si="27"/>
        <v>0.55276595744680901</v>
      </c>
      <c r="R265" s="22">
        <f t="shared" si="28"/>
        <v>1.12537116463213</v>
      </c>
      <c r="S265" s="22">
        <f t="shared" si="29"/>
        <v>2.12537116463213</v>
      </c>
    </row>
    <row r="266" spans="1:19">
      <c r="A266" s="18" t="s">
        <v>305</v>
      </c>
      <c r="B266" s="18" t="s">
        <v>28</v>
      </c>
      <c r="C266" s="18" t="s">
        <v>21</v>
      </c>
      <c r="D266" s="19">
        <v>44758</v>
      </c>
      <c r="E266" s="20">
        <v>45373</v>
      </c>
      <c r="F266" s="21">
        <v>55875.199999999997</v>
      </c>
      <c r="G266" s="21">
        <v>13592</v>
      </c>
      <c r="H266" s="21">
        <v>1139.2</v>
      </c>
      <c r="I266" s="18">
        <v>3342.9760000000001</v>
      </c>
      <c r="J266" s="18">
        <v>13092.816000000001</v>
      </c>
      <c r="K266" s="18" t="s">
        <v>43</v>
      </c>
      <c r="L266" s="18" t="s">
        <v>23</v>
      </c>
      <c r="M266" s="18" t="s">
        <v>32</v>
      </c>
      <c r="N266" s="22">
        <f t="shared" si="24"/>
        <v>0.243256399977092</v>
      </c>
      <c r="O266" s="22">
        <f t="shared" si="25"/>
        <v>8.3814008240141305E-2</v>
      </c>
      <c r="P266" s="23">
        <f t="shared" si="26"/>
        <v>0.24595173631548001</v>
      </c>
      <c r="Q266" s="23">
        <f t="shared" si="27"/>
        <v>2.93449438202247</v>
      </c>
      <c r="R266" s="22">
        <f t="shared" si="28"/>
        <v>2.9165151051039602</v>
      </c>
      <c r="S266" s="22">
        <f t="shared" si="29"/>
        <v>3.9165151051039602</v>
      </c>
    </row>
    <row r="267" spans="1:19">
      <c r="A267" s="18" t="s">
        <v>306</v>
      </c>
      <c r="B267" s="18" t="s">
        <v>26</v>
      </c>
      <c r="C267" s="18" t="s">
        <v>41</v>
      </c>
      <c r="D267" s="19">
        <v>44867</v>
      </c>
      <c r="E267" s="20">
        <v>45479</v>
      </c>
      <c r="F267" s="21">
        <v>45150.400000000001</v>
      </c>
      <c r="G267" s="21">
        <v>3851.2</v>
      </c>
      <c r="H267" s="21">
        <v>1857.6</v>
      </c>
      <c r="I267" s="18">
        <v>6104.8320000000003</v>
      </c>
      <c r="J267" s="18">
        <v>7878.6719999999996</v>
      </c>
      <c r="K267" s="18" t="s">
        <v>38</v>
      </c>
      <c r="L267" s="18" t="s">
        <v>23</v>
      </c>
      <c r="M267" s="18" t="s">
        <v>24</v>
      </c>
      <c r="N267" s="22">
        <f t="shared" si="24"/>
        <v>8.5297140224671303E-2</v>
      </c>
      <c r="O267" s="22">
        <f t="shared" si="25"/>
        <v>0.48234316576651398</v>
      </c>
      <c r="P267" s="23">
        <f t="shared" si="26"/>
        <v>1.58517656834234</v>
      </c>
      <c r="Q267" s="23">
        <f t="shared" si="27"/>
        <v>3.2864082687338501</v>
      </c>
      <c r="R267" s="22">
        <f t="shared" si="28"/>
        <v>0.29056327839979901</v>
      </c>
      <c r="S267" s="22">
        <f t="shared" si="29"/>
        <v>1.2905632783998</v>
      </c>
    </row>
    <row r="268" spans="1:19">
      <c r="A268" s="18" t="s">
        <v>307</v>
      </c>
      <c r="B268" s="18" t="s">
        <v>20</v>
      </c>
      <c r="C268" s="18" t="s">
        <v>29</v>
      </c>
      <c r="D268" s="19">
        <v>44942</v>
      </c>
      <c r="E268" s="20">
        <v>45572</v>
      </c>
      <c r="F268" s="21">
        <v>67326.399999999994</v>
      </c>
      <c r="G268" s="21">
        <v>13553.6</v>
      </c>
      <c r="H268" s="21">
        <v>915.2</v>
      </c>
      <c r="I268" s="18">
        <v>6705.9040000000005</v>
      </c>
      <c r="J268" s="18">
        <v>12213.647999999999</v>
      </c>
      <c r="K268" s="18" t="s">
        <v>22</v>
      </c>
      <c r="L268" s="18" t="s">
        <v>31</v>
      </c>
      <c r="M268" s="18" t="s">
        <v>32</v>
      </c>
      <c r="N268" s="22">
        <f t="shared" si="24"/>
        <v>0.201311818246631</v>
      </c>
      <c r="O268" s="22">
        <f t="shared" si="25"/>
        <v>6.7524495337032198E-2</v>
      </c>
      <c r="P268" s="23">
        <f t="shared" si="26"/>
        <v>0.49476921260772</v>
      </c>
      <c r="Q268" s="23">
        <f t="shared" si="27"/>
        <v>7.3272552447552401</v>
      </c>
      <c r="R268" s="22">
        <f t="shared" si="28"/>
        <v>0.82132759431092295</v>
      </c>
      <c r="S268" s="22">
        <f t="shared" si="29"/>
        <v>1.82132759431092</v>
      </c>
    </row>
    <row r="269" spans="1:19">
      <c r="A269" s="18" t="s">
        <v>308</v>
      </c>
      <c r="B269" s="18" t="s">
        <v>20</v>
      </c>
      <c r="C269" s="18" t="s">
        <v>21</v>
      </c>
      <c r="D269" s="19">
        <v>44834</v>
      </c>
      <c r="E269" s="20">
        <v>45449</v>
      </c>
      <c r="F269" s="21">
        <v>76478.399999999994</v>
      </c>
      <c r="G269" s="21">
        <v>18636.8</v>
      </c>
      <c r="H269" s="21">
        <v>2990.4</v>
      </c>
      <c r="I269" s="18">
        <v>7415.4560000000001</v>
      </c>
      <c r="J269" s="18">
        <v>18313.072</v>
      </c>
      <c r="K269" s="18" t="s">
        <v>43</v>
      </c>
      <c r="L269" s="18" t="s">
        <v>35</v>
      </c>
      <c r="M269" s="18" t="s">
        <v>24</v>
      </c>
      <c r="N269" s="22">
        <f t="shared" si="24"/>
        <v>0.243687106424821</v>
      </c>
      <c r="O269" s="22">
        <f t="shared" si="25"/>
        <v>0.160456730769231</v>
      </c>
      <c r="P269" s="23">
        <f t="shared" si="26"/>
        <v>0.39789320054945099</v>
      </c>
      <c r="Q269" s="23">
        <f t="shared" si="27"/>
        <v>2.4797538790797198</v>
      </c>
      <c r="R269" s="22">
        <f t="shared" si="28"/>
        <v>1.4695813716648001</v>
      </c>
      <c r="S269" s="22">
        <f t="shared" si="29"/>
        <v>2.4695813716648001</v>
      </c>
    </row>
    <row r="270" spans="1:19">
      <c r="A270" s="18" t="s">
        <v>309</v>
      </c>
      <c r="B270" s="18" t="s">
        <v>28</v>
      </c>
      <c r="C270" s="18" t="s">
        <v>41</v>
      </c>
      <c r="D270" s="19">
        <v>44816</v>
      </c>
      <c r="E270" s="20">
        <v>45418</v>
      </c>
      <c r="F270" s="21">
        <v>75144</v>
      </c>
      <c r="G270" s="21">
        <v>39713.599999999999</v>
      </c>
      <c r="H270" s="21">
        <v>19572.8</v>
      </c>
      <c r="I270" s="18">
        <v>3616.192</v>
      </c>
      <c r="J270" s="18">
        <v>4367.3119999999999</v>
      </c>
      <c r="K270" s="18" t="s">
        <v>30</v>
      </c>
      <c r="L270" s="18" t="s">
        <v>44</v>
      </c>
      <c r="M270" s="18" t="s">
        <v>32</v>
      </c>
      <c r="N270" s="22">
        <f t="shared" si="24"/>
        <v>0.52849994676887002</v>
      </c>
      <c r="O270" s="22">
        <f t="shared" si="25"/>
        <v>0.49284879738930698</v>
      </c>
      <c r="P270" s="23">
        <f t="shared" si="26"/>
        <v>9.1056766447766002E-2</v>
      </c>
      <c r="Q270" s="23">
        <f t="shared" si="27"/>
        <v>0.18475598790157799</v>
      </c>
      <c r="R270" s="22">
        <f t="shared" si="28"/>
        <v>0.207710210077341</v>
      </c>
      <c r="S270" s="22">
        <f t="shared" si="29"/>
        <v>1.20771021007734</v>
      </c>
    </row>
    <row r="271" spans="1:19">
      <c r="A271" s="18" t="s">
        <v>310</v>
      </c>
      <c r="B271" s="18" t="s">
        <v>34</v>
      </c>
      <c r="C271" s="18" t="s">
        <v>41</v>
      </c>
      <c r="D271" s="19">
        <v>44726</v>
      </c>
      <c r="E271" s="20">
        <v>45327</v>
      </c>
      <c r="F271" s="21">
        <v>25379.200000000001</v>
      </c>
      <c r="G271" s="21">
        <v>8910.4</v>
      </c>
      <c r="H271" s="21">
        <v>6793.6</v>
      </c>
      <c r="I271" s="18">
        <v>2321.152</v>
      </c>
      <c r="J271" s="18">
        <v>9241.9840000000004</v>
      </c>
      <c r="K271" s="18" t="s">
        <v>38</v>
      </c>
      <c r="L271" s="18" t="s">
        <v>44</v>
      </c>
      <c r="M271" s="18" t="s">
        <v>24</v>
      </c>
      <c r="N271" s="22">
        <f t="shared" si="24"/>
        <v>0.35109065691590002</v>
      </c>
      <c r="O271" s="22">
        <f t="shared" si="25"/>
        <v>0.76243490752379295</v>
      </c>
      <c r="P271" s="23">
        <f t="shared" si="26"/>
        <v>0.260499191955468</v>
      </c>
      <c r="Q271" s="23">
        <f t="shared" si="27"/>
        <v>0.34166745171926499</v>
      </c>
      <c r="R271" s="22">
        <f t="shared" si="28"/>
        <v>2.98163670453292</v>
      </c>
      <c r="S271" s="22">
        <f t="shared" si="29"/>
        <v>3.98163670453292</v>
      </c>
    </row>
    <row r="272" spans="1:19">
      <c r="A272" s="18" t="s">
        <v>311</v>
      </c>
      <c r="B272" s="18" t="s">
        <v>34</v>
      </c>
      <c r="C272" s="18" t="s">
        <v>41</v>
      </c>
      <c r="D272" s="19">
        <v>44778</v>
      </c>
      <c r="E272" s="20">
        <v>45408</v>
      </c>
      <c r="F272" s="21">
        <v>52198.400000000001</v>
      </c>
      <c r="G272" s="21">
        <v>30601.599999999999</v>
      </c>
      <c r="H272" s="21">
        <v>22480</v>
      </c>
      <c r="I272" s="18">
        <v>1429.4079999999999</v>
      </c>
      <c r="J272" s="18">
        <v>2861.12</v>
      </c>
      <c r="K272" s="18" t="s">
        <v>22</v>
      </c>
      <c r="L272" s="18" t="s">
        <v>44</v>
      </c>
      <c r="M272" s="18" t="s">
        <v>24</v>
      </c>
      <c r="N272" s="22">
        <f t="shared" si="24"/>
        <v>0.58625551741049498</v>
      </c>
      <c r="O272" s="22">
        <f t="shared" si="25"/>
        <v>0.73460211230785299</v>
      </c>
      <c r="P272" s="23">
        <f t="shared" si="26"/>
        <v>4.6710237373209201E-2</v>
      </c>
      <c r="Q272" s="23">
        <f t="shared" si="27"/>
        <v>6.3585765124555202E-2</v>
      </c>
      <c r="R272" s="22">
        <f t="shared" si="28"/>
        <v>1.0016118560970699</v>
      </c>
      <c r="S272" s="22">
        <f t="shared" si="29"/>
        <v>2.0016118560970702</v>
      </c>
    </row>
    <row r="273" spans="1:19">
      <c r="A273" s="18" t="s">
        <v>312</v>
      </c>
      <c r="B273" s="18" t="s">
        <v>28</v>
      </c>
      <c r="C273" s="18" t="s">
        <v>41</v>
      </c>
      <c r="D273" s="19">
        <v>44906</v>
      </c>
      <c r="E273" s="20">
        <v>45511</v>
      </c>
      <c r="F273" s="21">
        <v>30848</v>
      </c>
      <c r="G273" s="21">
        <v>9926.4</v>
      </c>
      <c r="H273" s="21">
        <v>9532.7999999999993</v>
      </c>
      <c r="I273" s="18">
        <v>7535.152</v>
      </c>
      <c r="J273" s="18">
        <v>16054.208000000001</v>
      </c>
      <c r="K273" s="18" t="s">
        <v>65</v>
      </c>
      <c r="L273" s="18" t="s">
        <v>31</v>
      </c>
      <c r="M273" s="18" t="s">
        <v>32</v>
      </c>
      <c r="N273" s="22">
        <f t="shared" si="24"/>
        <v>0.32178423236514497</v>
      </c>
      <c r="O273" s="22">
        <f t="shared" si="25"/>
        <v>0.960348162475822</v>
      </c>
      <c r="P273" s="23">
        <f t="shared" si="26"/>
        <v>0.75910219213410701</v>
      </c>
      <c r="Q273" s="23">
        <f t="shared" si="27"/>
        <v>0.79044478012756003</v>
      </c>
      <c r="R273" s="22">
        <f t="shared" si="28"/>
        <v>1.1305752027298199</v>
      </c>
      <c r="S273" s="22">
        <f t="shared" si="29"/>
        <v>2.1305752027298199</v>
      </c>
    </row>
    <row r="274" spans="1:19">
      <c r="A274" s="18" t="s">
        <v>313</v>
      </c>
      <c r="B274" s="18" t="s">
        <v>40</v>
      </c>
      <c r="C274" s="18" t="s">
        <v>41</v>
      </c>
      <c r="D274" s="19">
        <v>44785</v>
      </c>
      <c r="E274" s="20">
        <v>45407</v>
      </c>
      <c r="F274" s="21">
        <v>33452.800000000003</v>
      </c>
      <c r="G274" s="21">
        <v>16945.599999999999</v>
      </c>
      <c r="H274" s="21">
        <v>9993.6</v>
      </c>
      <c r="I274" s="18">
        <v>558.76800000000003</v>
      </c>
      <c r="J274" s="18">
        <v>2073.1840000000002</v>
      </c>
      <c r="K274" s="18" t="s">
        <v>30</v>
      </c>
      <c r="L274" s="18" t="s">
        <v>35</v>
      </c>
      <c r="M274" s="18" t="s">
        <v>32</v>
      </c>
      <c r="N274" s="22">
        <f t="shared" si="24"/>
        <v>0.50655251578343197</v>
      </c>
      <c r="O274" s="22">
        <f t="shared" si="25"/>
        <v>0.58974601076385602</v>
      </c>
      <c r="P274" s="23">
        <f t="shared" si="26"/>
        <v>3.2974223397224098E-2</v>
      </c>
      <c r="Q274" s="23">
        <f t="shared" si="27"/>
        <v>5.5912584053794401E-2</v>
      </c>
      <c r="R274" s="22">
        <f t="shared" si="28"/>
        <v>2.7102768948830298</v>
      </c>
      <c r="S274" s="22">
        <f t="shared" si="29"/>
        <v>3.7102768948830298</v>
      </c>
    </row>
    <row r="275" spans="1:19">
      <c r="A275" s="18" t="s">
        <v>314</v>
      </c>
      <c r="B275" s="18" t="s">
        <v>40</v>
      </c>
      <c r="C275" s="18" t="s">
        <v>21</v>
      </c>
      <c r="D275" s="19">
        <v>44768</v>
      </c>
      <c r="E275" s="20">
        <v>45382</v>
      </c>
      <c r="F275" s="21">
        <v>15556.8</v>
      </c>
      <c r="G275" s="21">
        <v>2782.4</v>
      </c>
      <c r="H275" s="21">
        <v>262.39999999999998</v>
      </c>
      <c r="I275" s="18">
        <v>664.28800000000001</v>
      </c>
      <c r="J275" s="18">
        <v>1030.752</v>
      </c>
      <c r="K275" s="18" t="s">
        <v>22</v>
      </c>
      <c r="L275" s="18" t="s">
        <v>23</v>
      </c>
      <c r="M275" s="18" t="s">
        <v>24</v>
      </c>
      <c r="N275" s="22">
        <f t="shared" si="24"/>
        <v>0.178854263087524</v>
      </c>
      <c r="O275" s="22">
        <f t="shared" si="25"/>
        <v>9.4307073030477306E-2</v>
      </c>
      <c r="P275" s="23">
        <f t="shared" si="26"/>
        <v>0.23874640598044899</v>
      </c>
      <c r="Q275" s="23">
        <f t="shared" si="27"/>
        <v>2.53158536585366</v>
      </c>
      <c r="R275" s="22">
        <f t="shared" si="28"/>
        <v>0.55166433835926598</v>
      </c>
      <c r="S275" s="22">
        <f t="shared" si="29"/>
        <v>1.5516643383592701</v>
      </c>
    </row>
    <row r="276" spans="1:19">
      <c r="A276" s="18" t="s">
        <v>315</v>
      </c>
      <c r="B276" s="18" t="s">
        <v>40</v>
      </c>
      <c r="C276" s="18" t="s">
        <v>21</v>
      </c>
      <c r="D276" s="19">
        <v>44982</v>
      </c>
      <c r="E276" s="20">
        <v>45608</v>
      </c>
      <c r="F276" s="21">
        <v>22180.799999999999</v>
      </c>
      <c r="G276" s="21">
        <v>5868.8</v>
      </c>
      <c r="H276" s="21">
        <v>2809.6</v>
      </c>
      <c r="I276" s="18">
        <v>3384.6239999999998</v>
      </c>
      <c r="J276" s="18">
        <v>10515.008</v>
      </c>
      <c r="K276" s="18" t="s">
        <v>30</v>
      </c>
      <c r="L276" s="18" t="s">
        <v>50</v>
      </c>
      <c r="M276" s="18" t="s">
        <v>32</v>
      </c>
      <c r="N276" s="22">
        <f t="shared" si="24"/>
        <v>0.26458919425809702</v>
      </c>
      <c r="O276" s="22">
        <f t="shared" si="25"/>
        <v>0.47873500545256298</v>
      </c>
      <c r="P276" s="23">
        <f t="shared" si="26"/>
        <v>0.57671483097055598</v>
      </c>
      <c r="Q276" s="23">
        <f t="shared" si="27"/>
        <v>1.2046640091116201</v>
      </c>
      <c r="R276" s="22">
        <f t="shared" si="28"/>
        <v>2.1066990011298201</v>
      </c>
      <c r="S276" s="22">
        <f t="shared" si="29"/>
        <v>3.1066990011298201</v>
      </c>
    </row>
    <row r="277" spans="1:19">
      <c r="A277" s="18" t="s">
        <v>316</v>
      </c>
      <c r="B277" s="18" t="s">
        <v>26</v>
      </c>
      <c r="C277" s="18" t="s">
        <v>48</v>
      </c>
      <c r="D277" s="19">
        <v>44845</v>
      </c>
      <c r="E277" s="20">
        <v>45456</v>
      </c>
      <c r="F277" s="21">
        <v>19563.2</v>
      </c>
      <c r="G277" s="21">
        <v>2504</v>
      </c>
      <c r="H277" s="21">
        <v>836.8</v>
      </c>
      <c r="I277" s="18">
        <v>2788.4639999999999</v>
      </c>
      <c r="J277" s="18">
        <v>4448.4960000000001</v>
      </c>
      <c r="K277" s="18" t="s">
        <v>22</v>
      </c>
      <c r="L277" s="18" t="s">
        <v>35</v>
      </c>
      <c r="M277" s="18" t="s">
        <v>32</v>
      </c>
      <c r="N277" s="22">
        <f t="shared" si="24"/>
        <v>0.12799541997219299</v>
      </c>
      <c r="O277" s="22">
        <f t="shared" si="25"/>
        <v>0.33418530351437697</v>
      </c>
      <c r="P277" s="23">
        <f t="shared" si="26"/>
        <v>1.1136038338658101</v>
      </c>
      <c r="Q277" s="23">
        <f t="shared" si="27"/>
        <v>3.3322944550669198</v>
      </c>
      <c r="R277" s="22">
        <f t="shared" si="28"/>
        <v>0.59532129516465004</v>
      </c>
      <c r="S277" s="22">
        <f t="shared" si="29"/>
        <v>1.59532129516465</v>
      </c>
    </row>
    <row r="278" spans="1:19">
      <c r="A278" s="18" t="s">
        <v>317</v>
      </c>
      <c r="B278" s="18" t="s">
        <v>20</v>
      </c>
      <c r="C278" s="18" t="s">
        <v>29</v>
      </c>
      <c r="D278" s="19">
        <v>44943</v>
      </c>
      <c r="E278" s="20">
        <v>45544</v>
      </c>
      <c r="F278" s="21">
        <v>65126.400000000001</v>
      </c>
      <c r="G278" s="21">
        <v>18915.2</v>
      </c>
      <c r="H278" s="21">
        <v>15489.6</v>
      </c>
      <c r="I278" s="18">
        <v>4990.3360000000002</v>
      </c>
      <c r="J278" s="18">
        <v>11657.183999999999</v>
      </c>
      <c r="K278" s="18" t="s">
        <v>30</v>
      </c>
      <c r="L278" s="18" t="s">
        <v>50</v>
      </c>
      <c r="M278" s="18" t="s">
        <v>32</v>
      </c>
      <c r="N278" s="22">
        <f t="shared" si="24"/>
        <v>0.29043828616352202</v>
      </c>
      <c r="O278" s="22">
        <f t="shared" si="25"/>
        <v>0.81889697174758902</v>
      </c>
      <c r="P278" s="23">
        <f t="shared" si="26"/>
        <v>0.26382676366097102</v>
      </c>
      <c r="Q278" s="23">
        <f t="shared" si="27"/>
        <v>0.32217332920152902</v>
      </c>
      <c r="R278" s="22">
        <f t="shared" si="28"/>
        <v>1.3359517274989099</v>
      </c>
      <c r="S278" s="22">
        <f t="shared" si="29"/>
        <v>2.3359517274989101</v>
      </c>
    </row>
    <row r="279" spans="1:19">
      <c r="A279" s="18" t="s">
        <v>318</v>
      </c>
      <c r="B279" s="18" t="s">
        <v>20</v>
      </c>
      <c r="C279" s="18" t="s">
        <v>41</v>
      </c>
      <c r="D279" s="19">
        <v>44751</v>
      </c>
      <c r="E279" s="20">
        <v>45368</v>
      </c>
      <c r="F279" s="21">
        <v>76796.800000000003</v>
      </c>
      <c r="G279" s="21">
        <v>50803.199999999997</v>
      </c>
      <c r="H279" s="21">
        <v>25750.400000000001</v>
      </c>
      <c r="I279" s="18">
        <v>5317.5839999999998</v>
      </c>
      <c r="J279" s="18">
        <v>12066.832</v>
      </c>
      <c r="K279" s="18" t="s">
        <v>43</v>
      </c>
      <c r="L279" s="18" t="s">
        <v>50</v>
      </c>
      <c r="M279" s="18" t="s">
        <v>24</v>
      </c>
      <c r="N279" s="22">
        <f t="shared" si="24"/>
        <v>0.66152756364848497</v>
      </c>
      <c r="O279" s="22">
        <f t="shared" si="25"/>
        <v>0.50686570924666197</v>
      </c>
      <c r="P279" s="23">
        <f t="shared" si="26"/>
        <v>0.104670256991686</v>
      </c>
      <c r="Q279" s="23">
        <f t="shared" si="27"/>
        <v>0.206504908661613</v>
      </c>
      <c r="R279" s="22">
        <f t="shared" si="28"/>
        <v>1.26923204222068</v>
      </c>
      <c r="S279" s="22">
        <f t="shared" si="29"/>
        <v>2.26923204222068</v>
      </c>
    </row>
    <row r="280" spans="1:19">
      <c r="A280" s="18" t="s">
        <v>319</v>
      </c>
      <c r="B280" s="18" t="s">
        <v>20</v>
      </c>
      <c r="C280" s="18" t="s">
        <v>41</v>
      </c>
      <c r="D280" s="19">
        <v>44764</v>
      </c>
      <c r="E280" s="20">
        <v>45384</v>
      </c>
      <c r="F280" s="21">
        <v>56288</v>
      </c>
      <c r="G280" s="21">
        <v>50241.599999999999</v>
      </c>
      <c r="H280" s="21">
        <v>31360</v>
      </c>
      <c r="I280" s="18">
        <v>6192.8959999999997</v>
      </c>
      <c r="J280" s="18">
        <v>24197.504000000001</v>
      </c>
      <c r="K280" s="18" t="s">
        <v>65</v>
      </c>
      <c r="L280" s="18" t="s">
        <v>44</v>
      </c>
      <c r="M280" s="18" t="s">
        <v>24</v>
      </c>
      <c r="N280" s="22">
        <f t="shared" si="24"/>
        <v>0.89258101193860095</v>
      </c>
      <c r="O280" s="22">
        <f t="shared" si="25"/>
        <v>0.62418394318652304</v>
      </c>
      <c r="P280" s="23">
        <f t="shared" si="26"/>
        <v>0.123262316486736</v>
      </c>
      <c r="Q280" s="23">
        <f t="shared" si="27"/>
        <v>0.19747755102040801</v>
      </c>
      <c r="R280" s="22">
        <f t="shared" si="28"/>
        <v>2.9073002356248199</v>
      </c>
      <c r="S280" s="22">
        <f t="shared" si="29"/>
        <v>3.9073002356248199</v>
      </c>
    </row>
    <row r="281" spans="1:19">
      <c r="A281" s="18" t="s">
        <v>320</v>
      </c>
      <c r="B281" s="18" t="s">
        <v>47</v>
      </c>
      <c r="C281" s="18" t="s">
        <v>21</v>
      </c>
      <c r="D281" s="19">
        <v>44911</v>
      </c>
      <c r="E281" s="20">
        <v>45532</v>
      </c>
      <c r="F281" s="21">
        <v>74820.800000000003</v>
      </c>
      <c r="G281" s="21">
        <v>58449.599999999999</v>
      </c>
      <c r="H281" s="21">
        <v>22364.799999999999</v>
      </c>
      <c r="I281" s="18">
        <v>6601.808</v>
      </c>
      <c r="J281" s="18">
        <v>22731.168000000001</v>
      </c>
      <c r="K281" s="18" t="s">
        <v>43</v>
      </c>
      <c r="L281" s="18" t="s">
        <v>50</v>
      </c>
      <c r="M281" s="18" t="s">
        <v>24</v>
      </c>
      <c r="N281" s="22">
        <f t="shared" si="24"/>
        <v>0.78119453414023898</v>
      </c>
      <c r="O281" s="22">
        <f t="shared" si="25"/>
        <v>0.38263392734937501</v>
      </c>
      <c r="P281" s="23">
        <f t="shared" si="26"/>
        <v>0.112948728477184</v>
      </c>
      <c r="Q281" s="23">
        <f t="shared" si="27"/>
        <v>0.295187437401631</v>
      </c>
      <c r="R281" s="22">
        <f t="shared" si="28"/>
        <v>2.44317314287238</v>
      </c>
      <c r="S281" s="22">
        <f t="shared" si="29"/>
        <v>3.44317314287238</v>
      </c>
    </row>
    <row r="282" spans="1:19">
      <c r="A282" s="18" t="s">
        <v>321</v>
      </c>
      <c r="B282" s="18" t="s">
        <v>20</v>
      </c>
      <c r="C282" s="18" t="s">
        <v>29</v>
      </c>
      <c r="D282" s="19">
        <v>44811</v>
      </c>
      <c r="E282" s="20">
        <v>45437</v>
      </c>
      <c r="F282" s="21">
        <v>37283.199999999997</v>
      </c>
      <c r="G282" s="21">
        <v>3785.6</v>
      </c>
      <c r="H282" s="21">
        <v>1308.8</v>
      </c>
      <c r="I282" s="18">
        <v>1812.7840000000001</v>
      </c>
      <c r="J282" s="18">
        <v>3478.5920000000001</v>
      </c>
      <c r="K282" s="18" t="s">
        <v>43</v>
      </c>
      <c r="L282" s="18" t="s">
        <v>23</v>
      </c>
      <c r="M282" s="18" t="s">
        <v>24</v>
      </c>
      <c r="N282" s="22">
        <f t="shared" si="24"/>
        <v>0.101536348811261</v>
      </c>
      <c r="O282" s="22">
        <f t="shared" si="25"/>
        <v>0.34573119188503798</v>
      </c>
      <c r="P282" s="23">
        <f t="shared" si="26"/>
        <v>0.47886306001690598</v>
      </c>
      <c r="Q282" s="23">
        <f t="shared" si="27"/>
        <v>1.3850733496332499</v>
      </c>
      <c r="R282" s="22">
        <f t="shared" si="28"/>
        <v>0.91892249710941798</v>
      </c>
      <c r="S282" s="22">
        <f t="shared" si="29"/>
        <v>1.9189224971094201</v>
      </c>
    </row>
    <row r="283" spans="1:19">
      <c r="A283" s="18" t="s">
        <v>322</v>
      </c>
      <c r="B283" s="18" t="s">
        <v>40</v>
      </c>
      <c r="C283" s="18" t="s">
        <v>48</v>
      </c>
      <c r="D283" s="19">
        <v>44722</v>
      </c>
      <c r="E283" s="20">
        <v>45347</v>
      </c>
      <c r="F283" s="21">
        <v>9793.6</v>
      </c>
      <c r="G283" s="21">
        <v>4572.8</v>
      </c>
      <c r="H283" s="21">
        <v>2076.8000000000002</v>
      </c>
      <c r="I283" s="18">
        <v>3102.2080000000001</v>
      </c>
      <c r="J283" s="18">
        <v>8420.768</v>
      </c>
      <c r="K283" s="18" t="s">
        <v>30</v>
      </c>
      <c r="L283" s="18" t="s">
        <v>50</v>
      </c>
      <c r="M283" s="18" t="s">
        <v>24</v>
      </c>
      <c r="N283" s="22">
        <f t="shared" si="24"/>
        <v>0.46691717039699399</v>
      </c>
      <c r="O283" s="22">
        <f t="shared" si="25"/>
        <v>0.45416375087473798</v>
      </c>
      <c r="P283" s="23">
        <f t="shared" si="26"/>
        <v>0.67840447865640296</v>
      </c>
      <c r="Q283" s="23">
        <f t="shared" si="27"/>
        <v>1.49374422187981</v>
      </c>
      <c r="R283" s="22">
        <f t="shared" si="28"/>
        <v>1.71444338999835</v>
      </c>
      <c r="S283" s="22">
        <f t="shared" si="29"/>
        <v>2.7144433899983502</v>
      </c>
    </row>
    <row r="284" spans="1:19">
      <c r="A284" s="18" t="s">
        <v>323</v>
      </c>
      <c r="B284" s="18" t="s">
        <v>20</v>
      </c>
      <c r="C284" s="18" t="s">
        <v>29</v>
      </c>
      <c r="D284" s="19">
        <v>44950</v>
      </c>
      <c r="E284" s="20">
        <v>45577</v>
      </c>
      <c r="F284" s="21">
        <v>2184</v>
      </c>
      <c r="G284" s="21">
        <v>1342.4</v>
      </c>
      <c r="H284" s="21">
        <v>419.2</v>
      </c>
      <c r="I284" s="18">
        <v>7497.9359999999997</v>
      </c>
      <c r="J284" s="18">
        <v>12831.456</v>
      </c>
      <c r="K284" s="18" t="s">
        <v>65</v>
      </c>
      <c r="L284" s="18" t="s">
        <v>35</v>
      </c>
      <c r="M284" s="18" t="s">
        <v>24</v>
      </c>
      <c r="N284" s="22">
        <f t="shared" si="24"/>
        <v>0.61465201465201502</v>
      </c>
      <c r="O284" s="22">
        <f t="shared" si="25"/>
        <v>0.31227651966626901</v>
      </c>
      <c r="P284" s="23">
        <f t="shared" si="26"/>
        <v>5.5854707985697196</v>
      </c>
      <c r="Q284" s="23">
        <f t="shared" si="27"/>
        <v>17.886297709923699</v>
      </c>
      <c r="R284" s="22">
        <f t="shared" si="28"/>
        <v>0.71133175849993902</v>
      </c>
      <c r="S284" s="22">
        <f t="shared" si="29"/>
        <v>1.7113317584999399</v>
      </c>
    </row>
    <row r="285" spans="1:19">
      <c r="A285" s="18" t="s">
        <v>324</v>
      </c>
      <c r="B285" s="18" t="s">
        <v>20</v>
      </c>
      <c r="C285" s="18" t="s">
        <v>21</v>
      </c>
      <c r="D285" s="19">
        <v>44731</v>
      </c>
      <c r="E285" s="20">
        <v>45332</v>
      </c>
      <c r="F285" s="21">
        <v>14028.8</v>
      </c>
      <c r="G285" s="21">
        <v>2460.8000000000002</v>
      </c>
      <c r="H285" s="21">
        <v>27.2</v>
      </c>
      <c r="I285" s="18">
        <v>6252.56</v>
      </c>
      <c r="J285" s="18">
        <v>9387.7279999999992</v>
      </c>
      <c r="K285" s="18" t="s">
        <v>43</v>
      </c>
      <c r="L285" s="18" t="s">
        <v>31</v>
      </c>
      <c r="M285" s="18" t="s">
        <v>24</v>
      </c>
      <c r="N285" s="22">
        <f t="shared" si="24"/>
        <v>0.175410583941606</v>
      </c>
      <c r="O285" s="22">
        <f t="shared" si="25"/>
        <v>1.1053315994798399E-2</v>
      </c>
      <c r="P285" s="23">
        <f t="shared" si="26"/>
        <v>2.54086475942783</v>
      </c>
      <c r="Q285" s="23">
        <f t="shared" si="27"/>
        <v>229.87352941176499</v>
      </c>
      <c r="R285" s="22">
        <f t="shared" si="28"/>
        <v>0.50142149775451905</v>
      </c>
      <c r="S285" s="22">
        <f t="shared" si="29"/>
        <v>1.5014214977545199</v>
      </c>
    </row>
    <row r="286" spans="1:19">
      <c r="A286" s="18" t="s">
        <v>325</v>
      </c>
      <c r="B286" s="18" t="s">
        <v>40</v>
      </c>
      <c r="C286" s="18" t="s">
        <v>41</v>
      </c>
      <c r="D286" s="19">
        <v>44926</v>
      </c>
      <c r="E286" s="20">
        <v>45536</v>
      </c>
      <c r="F286" s="21">
        <v>58817.599999999999</v>
      </c>
      <c r="G286" s="21">
        <v>55632</v>
      </c>
      <c r="H286" s="21">
        <v>10089.6</v>
      </c>
      <c r="I286" s="18">
        <v>551.88800000000003</v>
      </c>
      <c r="J286" s="18">
        <v>1315.52</v>
      </c>
      <c r="K286" s="18" t="s">
        <v>30</v>
      </c>
      <c r="L286" s="18" t="s">
        <v>31</v>
      </c>
      <c r="M286" s="18" t="s">
        <v>24</v>
      </c>
      <c r="N286" s="22">
        <f t="shared" si="24"/>
        <v>0.94583934060553299</v>
      </c>
      <c r="O286" s="22">
        <f t="shared" si="25"/>
        <v>0.18136324417601399</v>
      </c>
      <c r="P286" s="23">
        <f t="shared" si="26"/>
        <v>9.9203336209375895E-3</v>
      </c>
      <c r="Q286" s="23">
        <f t="shared" si="27"/>
        <v>5.46986996511259E-2</v>
      </c>
      <c r="R286" s="22">
        <f t="shared" si="28"/>
        <v>1.3836720494013299</v>
      </c>
      <c r="S286" s="22">
        <f t="shared" si="29"/>
        <v>2.3836720494013299</v>
      </c>
    </row>
    <row r="287" spans="1:19">
      <c r="A287" s="18" t="s">
        <v>326</v>
      </c>
      <c r="B287" s="18" t="s">
        <v>26</v>
      </c>
      <c r="C287" s="18" t="s">
        <v>21</v>
      </c>
      <c r="D287" s="19">
        <v>44979</v>
      </c>
      <c r="E287" s="20">
        <v>45604</v>
      </c>
      <c r="F287" s="21">
        <v>58329.599999999999</v>
      </c>
      <c r="G287" s="21">
        <v>45942.400000000001</v>
      </c>
      <c r="H287" s="21">
        <v>24779.200000000001</v>
      </c>
      <c r="I287" s="18">
        <v>5921.9040000000005</v>
      </c>
      <c r="J287" s="18">
        <v>15933.664000000001</v>
      </c>
      <c r="K287" s="18" t="s">
        <v>43</v>
      </c>
      <c r="L287" s="18" t="s">
        <v>50</v>
      </c>
      <c r="M287" s="18" t="s">
        <v>24</v>
      </c>
      <c r="N287" s="22">
        <f t="shared" si="24"/>
        <v>0.78763440860215095</v>
      </c>
      <c r="O287" s="22">
        <f t="shared" si="25"/>
        <v>0.53935362540920795</v>
      </c>
      <c r="P287" s="23">
        <f t="shared" si="26"/>
        <v>0.12889844675071399</v>
      </c>
      <c r="Q287" s="23">
        <f t="shared" si="27"/>
        <v>0.23898689223219499</v>
      </c>
      <c r="R287" s="22">
        <f t="shared" si="28"/>
        <v>1.6906319318921801</v>
      </c>
      <c r="S287" s="22">
        <f t="shared" si="29"/>
        <v>2.6906319318921801</v>
      </c>
    </row>
    <row r="288" spans="1:19">
      <c r="A288" s="18" t="s">
        <v>327</v>
      </c>
      <c r="B288" s="18" t="s">
        <v>20</v>
      </c>
      <c r="C288" s="18" t="s">
        <v>29</v>
      </c>
      <c r="D288" s="19">
        <v>44957</v>
      </c>
      <c r="E288" s="20">
        <v>45585</v>
      </c>
      <c r="F288" s="21">
        <v>40913.599999999999</v>
      </c>
      <c r="G288" s="21">
        <v>3707.2</v>
      </c>
      <c r="H288" s="21">
        <v>142.4</v>
      </c>
      <c r="I288" s="18">
        <v>7555.4719999999998</v>
      </c>
      <c r="J288" s="18">
        <v>17378.608</v>
      </c>
      <c r="K288" s="18" t="s">
        <v>22</v>
      </c>
      <c r="L288" s="18" t="s">
        <v>31</v>
      </c>
      <c r="M288" s="18" t="s">
        <v>24</v>
      </c>
      <c r="N288" s="22">
        <f t="shared" si="24"/>
        <v>9.0610457158499899E-2</v>
      </c>
      <c r="O288" s="22">
        <f t="shared" si="25"/>
        <v>3.8411739318083699E-2</v>
      </c>
      <c r="P288" s="23">
        <f t="shared" si="26"/>
        <v>2.0380535174794998</v>
      </c>
      <c r="Q288" s="23">
        <f t="shared" si="27"/>
        <v>53.058089887640399</v>
      </c>
      <c r="R288" s="22">
        <f t="shared" si="28"/>
        <v>1.3001353191435301</v>
      </c>
      <c r="S288" s="22">
        <f t="shared" si="29"/>
        <v>2.3001353191435299</v>
      </c>
    </row>
    <row r="289" spans="1:19">
      <c r="A289" s="18" t="s">
        <v>328</v>
      </c>
      <c r="B289" s="18" t="s">
        <v>34</v>
      </c>
      <c r="C289" s="18" t="s">
        <v>41</v>
      </c>
      <c r="D289" s="19">
        <v>44950</v>
      </c>
      <c r="E289" s="20">
        <v>45566</v>
      </c>
      <c r="F289" s="21">
        <v>69246.399999999994</v>
      </c>
      <c r="G289" s="21">
        <v>40502.400000000001</v>
      </c>
      <c r="H289" s="21">
        <v>38945.599999999999</v>
      </c>
      <c r="I289" s="18">
        <v>6935.5680000000002</v>
      </c>
      <c r="J289" s="18">
        <v>15831.36</v>
      </c>
      <c r="K289" s="18" t="s">
        <v>65</v>
      </c>
      <c r="L289" s="18" t="s">
        <v>23</v>
      </c>
      <c r="M289" s="18" t="s">
        <v>24</v>
      </c>
      <c r="N289" s="22">
        <f t="shared" si="24"/>
        <v>0.58490260865546795</v>
      </c>
      <c r="O289" s="22">
        <f t="shared" si="25"/>
        <v>0.96156277158884396</v>
      </c>
      <c r="P289" s="23">
        <f t="shared" si="26"/>
        <v>0.17123844512917799</v>
      </c>
      <c r="Q289" s="23">
        <f t="shared" si="27"/>
        <v>0.178083480547225</v>
      </c>
      <c r="R289" s="22">
        <f t="shared" si="28"/>
        <v>1.2826335204268799</v>
      </c>
      <c r="S289" s="22">
        <f t="shared" si="29"/>
        <v>2.2826335204268799</v>
      </c>
    </row>
    <row r="290" spans="1:19">
      <c r="A290" s="18" t="s">
        <v>329</v>
      </c>
      <c r="B290" s="18" t="s">
        <v>47</v>
      </c>
      <c r="C290" s="18" t="s">
        <v>29</v>
      </c>
      <c r="D290" s="19">
        <v>44880</v>
      </c>
      <c r="E290" s="20">
        <v>45504</v>
      </c>
      <c r="F290" s="21">
        <v>50486.400000000001</v>
      </c>
      <c r="G290" s="21">
        <v>30041.599999999999</v>
      </c>
      <c r="H290" s="21">
        <v>27483.200000000001</v>
      </c>
      <c r="I290" s="18">
        <v>1255.9680000000001</v>
      </c>
      <c r="J290" s="18">
        <v>4758.2879999999996</v>
      </c>
      <c r="K290" s="18" t="s">
        <v>30</v>
      </c>
      <c r="L290" s="18" t="s">
        <v>35</v>
      </c>
      <c r="M290" s="18" t="s">
        <v>24</v>
      </c>
      <c r="N290" s="22">
        <f t="shared" si="24"/>
        <v>0.59504341763326396</v>
      </c>
      <c r="O290" s="22">
        <f t="shared" si="25"/>
        <v>0.91483809118022996</v>
      </c>
      <c r="P290" s="23">
        <f t="shared" si="26"/>
        <v>4.1807626757562902E-2</v>
      </c>
      <c r="Q290" s="23">
        <f t="shared" si="27"/>
        <v>4.5699481865284997E-2</v>
      </c>
      <c r="R290" s="22">
        <f t="shared" si="28"/>
        <v>2.7885423832454301</v>
      </c>
      <c r="S290" s="22">
        <f t="shared" si="29"/>
        <v>3.7885423832454301</v>
      </c>
    </row>
    <row r="291" spans="1:19">
      <c r="A291" s="18" t="s">
        <v>330</v>
      </c>
      <c r="B291" s="18" t="s">
        <v>26</v>
      </c>
      <c r="C291" s="18" t="s">
        <v>48</v>
      </c>
      <c r="D291" s="19">
        <v>44874</v>
      </c>
      <c r="E291" s="20">
        <v>45490</v>
      </c>
      <c r="F291" s="21">
        <v>39580.800000000003</v>
      </c>
      <c r="G291" s="21">
        <v>36902.400000000001</v>
      </c>
      <c r="H291" s="21">
        <v>18187.2</v>
      </c>
      <c r="I291" s="18">
        <v>5525.616</v>
      </c>
      <c r="J291" s="18">
        <v>17865.28</v>
      </c>
      <c r="K291" s="18" t="s">
        <v>38</v>
      </c>
      <c r="L291" s="18" t="s">
        <v>50</v>
      </c>
      <c r="M291" s="18" t="s">
        <v>24</v>
      </c>
      <c r="N291" s="22">
        <f t="shared" si="24"/>
        <v>0.93233082706766901</v>
      </c>
      <c r="O291" s="22">
        <f t="shared" si="25"/>
        <v>0.49284599375650401</v>
      </c>
      <c r="P291" s="23">
        <f t="shared" si="26"/>
        <v>0.14973595213319499</v>
      </c>
      <c r="Q291" s="23">
        <f t="shared" si="27"/>
        <v>0.30381894959092098</v>
      </c>
      <c r="R291" s="22">
        <f t="shared" si="28"/>
        <v>2.2331743646319202</v>
      </c>
      <c r="S291" s="22">
        <f t="shared" si="29"/>
        <v>3.2331743646319202</v>
      </c>
    </row>
    <row r="292" spans="1:19">
      <c r="A292" s="18" t="s">
        <v>331</v>
      </c>
      <c r="B292" s="18" t="s">
        <v>28</v>
      </c>
      <c r="C292" s="18" t="s">
        <v>29</v>
      </c>
      <c r="D292" s="19">
        <v>44913</v>
      </c>
      <c r="E292" s="20">
        <v>45521</v>
      </c>
      <c r="F292" s="21">
        <v>59059.199999999997</v>
      </c>
      <c r="G292" s="21">
        <v>41291.199999999997</v>
      </c>
      <c r="H292" s="21">
        <v>12252.8</v>
      </c>
      <c r="I292" s="18">
        <v>4067.9839999999999</v>
      </c>
      <c r="J292" s="18">
        <v>14338.128000000001</v>
      </c>
      <c r="K292" s="18" t="s">
        <v>65</v>
      </c>
      <c r="L292" s="18" t="s">
        <v>31</v>
      </c>
      <c r="M292" s="18" t="s">
        <v>24</v>
      </c>
      <c r="N292" s="22">
        <f t="shared" si="24"/>
        <v>0.699149328131773</v>
      </c>
      <c r="O292" s="22">
        <f t="shared" si="25"/>
        <v>0.29674119424962198</v>
      </c>
      <c r="P292" s="23">
        <f t="shared" si="26"/>
        <v>9.8519393962878302E-2</v>
      </c>
      <c r="Q292" s="23">
        <f t="shared" si="27"/>
        <v>0.33200443980151501</v>
      </c>
      <c r="R292" s="22">
        <f t="shared" si="28"/>
        <v>2.5246274321629598</v>
      </c>
      <c r="S292" s="22">
        <f t="shared" si="29"/>
        <v>3.5246274321629598</v>
      </c>
    </row>
    <row r="293" spans="1:19">
      <c r="A293" s="18" t="s">
        <v>332</v>
      </c>
      <c r="B293" s="18" t="s">
        <v>20</v>
      </c>
      <c r="C293" s="18" t="s">
        <v>29</v>
      </c>
      <c r="D293" s="19">
        <v>44920</v>
      </c>
      <c r="E293" s="20">
        <v>45541</v>
      </c>
      <c r="F293" s="21">
        <v>36451.199999999997</v>
      </c>
      <c r="G293" s="21">
        <v>26614.400000000001</v>
      </c>
      <c r="H293" s="21">
        <v>6896</v>
      </c>
      <c r="I293" s="18">
        <v>736.30399999999997</v>
      </c>
      <c r="J293" s="18">
        <v>1185.1679999999999</v>
      </c>
      <c r="K293" s="18" t="s">
        <v>43</v>
      </c>
      <c r="L293" s="18" t="s">
        <v>50</v>
      </c>
      <c r="M293" s="18" t="s">
        <v>24</v>
      </c>
      <c r="N293" s="22">
        <f t="shared" si="24"/>
        <v>0.73013782810991101</v>
      </c>
      <c r="O293" s="22">
        <f t="shared" si="25"/>
        <v>0.259107851388722</v>
      </c>
      <c r="P293" s="23">
        <f t="shared" si="26"/>
        <v>2.7665624624263599E-2</v>
      </c>
      <c r="Q293" s="23">
        <f t="shared" si="27"/>
        <v>0.10677262180974501</v>
      </c>
      <c r="R293" s="22">
        <f t="shared" si="28"/>
        <v>0.60961776657467603</v>
      </c>
      <c r="S293" s="22">
        <f t="shared" si="29"/>
        <v>1.60961776657468</v>
      </c>
    </row>
    <row r="294" spans="1:19">
      <c r="A294" s="18" t="s">
        <v>333</v>
      </c>
      <c r="B294" s="18" t="s">
        <v>20</v>
      </c>
      <c r="C294" s="18" t="s">
        <v>21</v>
      </c>
      <c r="D294" s="19">
        <v>44970</v>
      </c>
      <c r="E294" s="20">
        <v>45585</v>
      </c>
      <c r="F294" s="21">
        <v>34480</v>
      </c>
      <c r="G294" s="21">
        <v>33025.599999999999</v>
      </c>
      <c r="H294" s="21">
        <v>28241.599999999999</v>
      </c>
      <c r="I294" s="18">
        <v>4596.3040000000001</v>
      </c>
      <c r="J294" s="18">
        <v>9381.8880000000008</v>
      </c>
      <c r="K294" s="18" t="s">
        <v>22</v>
      </c>
      <c r="L294" s="18" t="s">
        <v>35</v>
      </c>
      <c r="M294" s="18" t="s">
        <v>32</v>
      </c>
      <c r="N294" s="22">
        <f t="shared" si="24"/>
        <v>0.95781902552204201</v>
      </c>
      <c r="O294" s="22">
        <f t="shared" si="25"/>
        <v>0.855142677195872</v>
      </c>
      <c r="P294" s="23">
        <f t="shared" si="26"/>
        <v>0.13917397412915999</v>
      </c>
      <c r="Q294" s="23">
        <f t="shared" si="27"/>
        <v>0.162749419296357</v>
      </c>
      <c r="R294" s="22">
        <f t="shared" si="28"/>
        <v>1.0411809140561601</v>
      </c>
      <c r="S294" s="22">
        <f t="shared" si="29"/>
        <v>2.0411809140561599</v>
      </c>
    </row>
    <row r="295" spans="1:19">
      <c r="A295" s="18" t="s">
        <v>334</v>
      </c>
      <c r="B295" s="18" t="s">
        <v>26</v>
      </c>
      <c r="C295" s="18" t="s">
        <v>29</v>
      </c>
      <c r="D295" s="19">
        <v>44816</v>
      </c>
      <c r="E295" s="20">
        <v>45418</v>
      </c>
      <c r="F295" s="21">
        <v>40604.800000000003</v>
      </c>
      <c r="G295" s="21">
        <v>2057.6</v>
      </c>
      <c r="H295" s="21">
        <v>1411.2</v>
      </c>
      <c r="I295" s="18">
        <v>4927.6480000000001</v>
      </c>
      <c r="J295" s="18">
        <v>18419.808000000001</v>
      </c>
      <c r="K295" s="18" t="s">
        <v>38</v>
      </c>
      <c r="L295" s="18" t="s">
        <v>35</v>
      </c>
      <c r="M295" s="18" t="s">
        <v>24</v>
      </c>
      <c r="N295" s="22">
        <f t="shared" si="24"/>
        <v>5.0673811963117703E-2</v>
      </c>
      <c r="O295" s="22">
        <f t="shared" si="25"/>
        <v>0.68584758942457202</v>
      </c>
      <c r="P295" s="23">
        <f t="shared" si="26"/>
        <v>2.3948522550544298</v>
      </c>
      <c r="Q295" s="23">
        <f t="shared" si="27"/>
        <v>3.49181405895692</v>
      </c>
      <c r="R295" s="22">
        <f t="shared" si="28"/>
        <v>2.7380527180512901</v>
      </c>
      <c r="S295" s="22">
        <f t="shared" si="29"/>
        <v>3.7380527180512901</v>
      </c>
    </row>
    <row r="296" spans="1:19">
      <c r="A296" s="18" t="s">
        <v>335</v>
      </c>
      <c r="B296" s="18" t="s">
        <v>34</v>
      </c>
      <c r="C296" s="18" t="s">
        <v>48</v>
      </c>
      <c r="D296" s="19">
        <v>44820</v>
      </c>
      <c r="E296" s="20">
        <v>45433</v>
      </c>
      <c r="F296" s="21">
        <v>25484.799999999999</v>
      </c>
      <c r="G296" s="21">
        <v>1758.4</v>
      </c>
      <c r="H296" s="21">
        <v>408</v>
      </c>
      <c r="I296" s="18">
        <v>2778.08</v>
      </c>
      <c r="J296" s="18">
        <v>11038.784</v>
      </c>
      <c r="K296" s="18" t="s">
        <v>65</v>
      </c>
      <c r="L296" s="18" t="s">
        <v>44</v>
      </c>
      <c r="M296" s="18" t="s">
        <v>32</v>
      </c>
      <c r="N296" s="22">
        <f t="shared" si="24"/>
        <v>6.8997990959316899E-2</v>
      </c>
      <c r="O296" s="22">
        <f t="shared" si="25"/>
        <v>0.23202911737943599</v>
      </c>
      <c r="P296" s="23">
        <f t="shared" si="26"/>
        <v>1.57989080982712</v>
      </c>
      <c r="Q296" s="23">
        <f t="shared" si="27"/>
        <v>6.8090196078431404</v>
      </c>
      <c r="R296" s="22">
        <f t="shared" si="28"/>
        <v>2.9735299199447098</v>
      </c>
      <c r="S296" s="22">
        <f t="shared" si="29"/>
        <v>3.9735299199447098</v>
      </c>
    </row>
    <row r="297" spans="1:19">
      <c r="A297" s="18" t="s">
        <v>336</v>
      </c>
      <c r="B297" s="18" t="s">
        <v>20</v>
      </c>
      <c r="C297" s="18" t="s">
        <v>41</v>
      </c>
      <c r="D297" s="19">
        <v>44958</v>
      </c>
      <c r="E297" s="20">
        <v>45582</v>
      </c>
      <c r="F297" s="21">
        <v>7788.8</v>
      </c>
      <c r="G297" s="21">
        <v>5396.8</v>
      </c>
      <c r="H297" s="21">
        <v>4976</v>
      </c>
      <c r="I297" s="18">
        <v>3509.8719999999998</v>
      </c>
      <c r="J297" s="18">
        <v>7840.0159999999996</v>
      </c>
      <c r="K297" s="18" t="s">
        <v>43</v>
      </c>
      <c r="L297" s="18" t="s">
        <v>50</v>
      </c>
      <c r="M297" s="18" t="s">
        <v>24</v>
      </c>
      <c r="N297" s="22">
        <f t="shared" si="24"/>
        <v>0.69289235825801199</v>
      </c>
      <c r="O297" s="22">
        <f t="shared" si="25"/>
        <v>0.92202786836643902</v>
      </c>
      <c r="P297" s="23">
        <f t="shared" si="26"/>
        <v>0.65036169581974501</v>
      </c>
      <c r="Q297" s="23">
        <f t="shared" si="27"/>
        <v>0.70536012861736297</v>
      </c>
      <c r="R297" s="22">
        <f t="shared" si="28"/>
        <v>1.2337042490438399</v>
      </c>
      <c r="S297" s="22">
        <f t="shared" si="29"/>
        <v>2.2337042490438401</v>
      </c>
    </row>
    <row r="298" spans="1:19">
      <c r="A298" s="18" t="s">
        <v>337</v>
      </c>
      <c r="B298" s="18" t="s">
        <v>26</v>
      </c>
      <c r="C298" s="18" t="s">
        <v>41</v>
      </c>
      <c r="D298" s="19">
        <v>44884</v>
      </c>
      <c r="E298" s="20">
        <v>45508</v>
      </c>
      <c r="F298" s="21">
        <v>52683.199999999997</v>
      </c>
      <c r="G298" s="21">
        <v>48313.599999999999</v>
      </c>
      <c r="H298" s="21">
        <v>15830.4</v>
      </c>
      <c r="I298" s="18">
        <v>2161.424</v>
      </c>
      <c r="J298" s="18">
        <v>5687.2479999999996</v>
      </c>
      <c r="K298" s="18" t="s">
        <v>43</v>
      </c>
      <c r="L298" s="18" t="s">
        <v>50</v>
      </c>
      <c r="M298" s="18" t="s">
        <v>24</v>
      </c>
      <c r="N298" s="22">
        <f t="shared" si="24"/>
        <v>0.91705894858323</v>
      </c>
      <c r="O298" s="22">
        <f t="shared" si="25"/>
        <v>0.32765929262153898</v>
      </c>
      <c r="P298" s="23">
        <f t="shared" si="26"/>
        <v>4.4737382434759602E-2</v>
      </c>
      <c r="Q298" s="23">
        <f t="shared" si="27"/>
        <v>0.13653628461694001</v>
      </c>
      <c r="R298" s="22">
        <f t="shared" si="28"/>
        <v>1.6312505089237499</v>
      </c>
      <c r="S298" s="22">
        <f t="shared" si="29"/>
        <v>2.6312505089237499</v>
      </c>
    </row>
    <row r="299" spans="1:19">
      <c r="A299" s="18" t="s">
        <v>338</v>
      </c>
      <c r="B299" s="18" t="s">
        <v>47</v>
      </c>
      <c r="C299" s="18" t="s">
        <v>48</v>
      </c>
      <c r="D299" s="19">
        <v>44695</v>
      </c>
      <c r="E299" s="20">
        <v>45305</v>
      </c>
      <c r="F299" s="21">
        <v>16558.400000000001</v>
      </c>
      <c r="G299" s="21">
        <v>4825.6000000000004</v>
      </c>
      <c r="H299" s="21">
        <v>3238.4</v>
      </c>
      <c r="I299" s="18">
        <v>2965.7759999999998</v>
      </c>
      <c r="J299" s="18">
        <v>4686.24</v>
      </c>
      <c r="K299" s="18" t="s">
        <v>22</v>
      </c>
      <c r="L299" s="18" t="s">
        <v>35</v>
      </c>
      <c r="M299" s="18" t="s">
        <v>24</v>
      </c>
      <c r="N299" s="22">
        <f t="shared" si="24"/>
        <v>0.29142912358681999</v>
      </c>
      <c r="O299" s="22">
        <f t="shared" si="25"/>
        <v>0.67108753315649905</v>
      </c>
      <c r="P299" s="23">
        <f t="shared" si="26"/>
        <v>0.61459217506631303</v>
      </c>
      <c r="Q299" s="23">
        <f t="shared" si="27"/>
        <v>0.915815217391304</v>
      </c>
      <c r="R299" s="22">
        <f t="shared" si="28"/>
        <v>0.58010584750837602</v>
      </c>
      <c r="S299" s="22">
        <f t="shared" si="29"/>
        <v>1.58010584750838</v>
      </c>
    </row>
    <row r="300" spans="1:19">
      <c r="A300" s="18" t="s">
        <v>339</v>
      </c>
      <c r="B300" s="18" t="s">
        <v>26</v>
      </c>
      <c r="C300" s="18" t="s">
        <v>48</v>
      </c>
      <c r="D300" s="19">
        <v>44730</v>
      </c>
      <c r="E300" s="20">
        <v>45359</v>
      </c>
      <c r="F300" s="21">
        <v>18451.2</v>
      </c>
      <c r="G300" s="21">
        <v>13486.4</v>
      </c>
      <c r="H300" s="21">
        <v>4672</v>
      </c>
      <c r="I300" s="18">
        <v>7776.0320000000002</v>
      </c>
      <c r="J300" s="18">
        <v>17724.624</v>
      </c>
      <c r="K300" s="18" t="s">
        <v>43</v>
      </c>
      <c r="L300" s="18" t="s">
        <v>23</v>
      </c>
      <c r="M300" s="18" t="s">
        <v>24</v>
      </c>
      <c r="N300" s="22">
        <f t="shared" si="24"/>
        <v>0.73092265001734302</v>
      </c>
      <c r="O300" s="22">
        <f t="shared" si="25"/>
        <v>0.34642306323407301</v>
      </c>
      <c r="P300" s="23">
        <f t="shared" si="26"/>
        <v>0.576583224581801</v>
      </c>
      <c r="Q300" s="23">
        <f t="shared" si="27"/>
        <v>1.6643904109589001</v>
      </c>
      <c r="R300" s="22">
        <f t="shared" si="28"/>
        <v>1.27939185435451</v>
      </c>
      <c r="S300" s="22">
        <f t="shared" si="29"/>
        <v>2.2793918543545102</v>
      </c>
    </row>
    <row r="301" spans="1:19">
      <c r="A301" s="18" t="s">
        <v>340</v>
      </c>
      <c r="B301" s="18" t="s">
        <v>26</v>
      </c>
      <c r="C301" s="18" t="s">
        <v>48</v>
      </c>
      <c r="D301" s="19">
        <v>44766</v>
      </c>
      <c r="E301" s="20">
        <v>45385</v>
      </c>
      <c r="F301" s="21">
        <v>50328</v>
      </c>
      <c r="G301" s="21">
        <v>8555.2000000000007</v>
      </c>
      <c r="H301" s="21">
        <v>3712</v>
      </c>
      <c r="I301" s="18">
        <v>4122.1760000000004</v>
      </c>
      <c r="J301" s="18">
        <v>10071.472</v>
      </c>
      <c r="K301" s="18" t="s">
        <v>38</v>
      </c>
      <c r="L301" s="18" t="s">
        <v>50</v>
      </c>
      <c r="M301" s="18" t="s">
        <v>32</v>
      </c>
      <c r="N301" s="22">
        <f t="shared" si="24"/>
        <v>0.16998887299316501</v>
      </c>
      <c r="O301" s="22">
        <f t="shared" si="25"/>
        <v>0.43388816158593602</v>
      </c>
      <c r="P301" s="23">
        <f t="shared" si="26"/>
        <v>0.48183280344118201</v>
      </c>
      <c r="Q301" s="23">
        <f t="shared" si="27"/>
        <v>1.1105</v>
      </c>
      <c r="R301" s="22">
        <f t="shared" si="28"/>
        <v>1.4432416277228299</v>
      </c>
      <c r="S301" s="22">
        <f t="shared" si="29"/>
        <v>2.4432416277228302</v>
      </c>
    </row>
    <row r="302" spans="1:19">
      <c r="A302" s="18" t="s">
        <v>341</v>
      </c>
      <c r="B302" s="18" t="s">
        <v>26</v>
      </c>
      <c r="C302" s="18" t="s">
        <v>41</v>
      </c>
      <c r="D302" s="19">
        <v>44966</v>
      </c>
      <c r="E302" s="20">
        <v>45595</v>
      </c>
      <c r="F302" s="21">
        <v>37216</v>
      </c>
      <c r="G302" s="21">
        <v>28211.200000000001</v>
      </c>
      <c r="H302" s="21">
        <v>11248</v>
      </c>
      <c r="I302" s="18">
        <v>4686.5439999999999</v>
      </c>
      <c r="J302" s="18">
        <v>15478.224</v>
      </c>
      <c r="K302" s="18" t="s">
        <v>43</v>
      </c>
      <c r="L302" s="18" t="s">
        <v>35</v>
      </c>
      <c r="M302" s="18" t="s">
        <v>32</v>
      </c>
      <c r="N302" s="22">
        <f t="shared" si="24"/>
        <v>0.75803955288048197</v>
      </c>
      <c r="O302" s="22">
        <f t="shared" si="25"/>
        <v>0.39870689655172398</v>
      </c>
      <c r="P302" s="23">
        <f t="shared" si="26"/>
        <v>0.16612352540834799</v>
      </c>
      <c r="Q302" s="23">
        <f t="shared" si="27"/>
        <v>0.416655761024182</v>
      </c>
      <c r="R302" s="22">
        <f t="shared" si="28"/>
        <v>2.3026946935737702</v>
      </c>
      <c r="S302" s="22">
        <f t="shared" si="29"/>
        <v>3.3026946935737702</v>
      </c>
    </row>
    <row r="303" spans="1:19">
      <c r="A303" s="18" t="s">
        <v>342</v>
      </c>
      <c r="B303" s="18" t="s">
        <v>47</v>
      </c>
      <c r="C303" s="18" t="s">
        <v>41</v>
      </c>
      <c r="D303" s="19">
        <v>44947</v>
      </c>
      <c r="E303" s="20">
        <v>45560</v>
      </c>
      <c r="F303" s="21">
        <v>2425.6</v>
      </c>
      <c r="G303" s="21">
        <v>1155.2</v>
      </c>
      <c r="H303" s="21">
        <v>1132.8</v>
      </c>
      <c r="I303" s="18">
        <v>4156.24</v>
      </c>
      <c r="J303" s="18">
        <v>16273.951999999999</v>
      </c>
      <c r="K303" s="18" t="s">
        <v>22</v>
      </c>
      <c r="L303" s="18" t="s">
        <v>31</v>
      </c>
      <c r="M303" s="18" t="s">
        <v>24</v>
      </c>
      <c r="N303" s="22">
        <f t="shared" si="24"/>
        <v>0.47625329815303402</v>
      </c>
      <c r="O303" s="22">
        <f t="shared" si="25"/>
        <v>0.980609418282548</v>
      </c>
      <c r="P303" s="23">
        <f t="shared" si="26"/>
        <v>3.5978531855955702</v>
      </c>
      <c r="Q303" s="23">
        <f t="shared" si="27"/>
        <v>3.6689971751412398</v>
      </c>
      <c r="R303" s="22">
        <f t="shared" si="28"/>
        <v>2.9155467441726199</v>
      </c>
      <c r="S303" s="22">
        <f t="shared" si="29"/>
        <v>3.9155467441726199</v>
      </c>
    </row>
    <row r="304" spans="1:19">
      <c r="A304" s="18" t="s">
        <v>343</v>
      </c>
      <c r="B304" s="18" t="s">
        <v>20</v>
      </c>
      <c r="C304" s="18" t="s">
        <v>41</v>
      </c>
      <c r="D304" s="19">
        <v>44800</v>
      </c>
      <c r="E304" s="20">
        <v>45419</v>
      </c>
      <c r="F304" s="21">
        <v>71236.800000000003</v>
      </c>
      <c r="G304" s="21">
        <v>50433.599999999999</v>
      </c>
      <c r="H304" s="21">
        <v>12792</v>
      </c>
      <c r="I304" s="18">
        <v>1899.92</v>
      </c>
      <c r="J304" s="18">
        <v>6365.5680000000002</v>
      </c>
      <c r="K304" s="18" t="s">
        <v>30</v>
      </c>
      <c r="L304" s="18" t="s">
        <v>31</v>
      </c>
      <c r="M304" s="18" t="s">
        <v>24</v>
      </c>
      <c r="N304" s="22">
        <f t="shared" si="24"/>
        <v>0.70797116097297996</v>
      </c>
      <c r="O304" s="22">
        <f t="shared" si="25"/>
        <v>0.25364043018939803</v>
      </c>
      <c r="P304" s="23">
        <f t="shared" si="26"/>
        <v>3.76717109228768E-2</v>
      </c>
      <c r="Q304" s="23">
        <f t="shared" si="27"/>
        <v>0.148524077548468</v>
      </c>
      <c r="R304" s="22">
        <f t="shared" si="28"/>
        <v>2.3504400185271002</v>
      </c>
      <c r="S304" s="22">
        <f t="shared" si="29"/>
        <v>3.3504400185271002</v>
      </c>
    </row>
    <row r="305" spans="1:19">
      <c r="A305" s="18" t="s">
        <v>344</v>
      </c>
      <c r="B305" s="18" t="s">
        <v>40</v>
      </c>
      <c r="C305" s="18" t="s">
        <v>21</v>
      </c>
      <c r="D305" s="19">
        <v>44849</v>
      </c>
      <c r="E305" s="20">
        <v>45466</v>
      </c>
      <c r="F305" s="21">
        <v>6659.2</v>
      </c>
      <c r="G305" s="21">
        <v>2881.6</v>
      </c>
      <c r="H305" s="21">
        <v>1292.8</v>
      </c>
      <c r="I305" s="18">
        <v>5448.6559999999999</v>
      </c>
      <c r="J305" s="18">
        <v>12384.175999999999</v>
      </c>
      <c r="K305" s="18" t="s">
        <v>30</v>
      </c>
      <c r="L305" s="18" t="s">
        <v>35</v>
      </c>
      <c r="M305" s="18" t="s">
        <v>32</v>
      </c>
      <c r="N305" s="22">
        <f t="shared" si="24"/>
        <v>0.432724651609803</v>
      </c>
      <c r="O305" s="22">
        <f t="shared" si="25"/>
        <v>0.44863964464186601</v>
      </c>
      <c r="P305" s="23">
        <f t="shared" si="26"/>
        <v>1.89084397556913</v>
      </c>
      <c r="Q305" s="23">
        <f t="shared" si="27"/>
        <v>4.21461633663366</v>
      </c>
      <c r="R305" s="22">
        <f t="shared" si="28"/>
        <v>1.2728863778517101</v>
      </c>
      <c r="S305" s="22">
        <f t="shared" si="29"/>
        <v>2.2728863778517101</v>
      </c>
    </row>
    <row r="306" spans="1:19">
      <c r="A306" s="18" t="s">
        <v>345</v>
      </c>
      <c r="B306" s="18" t="s">
        <v>40</v>
      </c>
      <c r="C306" s="18" t="s">
        <v>29</v>
      </c>
      <c r="D306" s="19">
        <v>44978</v>
      </c>
      <c r="E306" s="20">
        <v>45582</v>
      </c>
      <c r="F306" s="21">
        <v>39134.400000000001</v>
      </c>
      <c r="G306" s="21">
        <v>1328</v>
      </c>
      <c r="H306" s="21">
        <v>910.4</v>
      </c>
      <c r="I306" s="18">
        <v>7409.0240000000003</v>
      </c>
      <c r="J306" s="18">
        <v>24013.759999999998</v>
      </c>
      <c r="K306" s="18" t="s">
        <v>43</v>
      </c>
      <c r="L306" s="18" t="s">
        <v>44</v>
      </c>
      <c r="M306" s="18" t="s">
        <v>24</v>
      </c>
      <c r="N306" s="22">
        <f t="shared" si="24"/>
        <v>3.3934339098082501E-2</v>
      </c>
      <c r="O306" s="22">
        <f t="shared" si="25"/>
        <v>0.68554216867469897</v>
      </c>
      <c r="P306" s="23">
        <f t="shared" si="26"/>
        <v>5.5790843373493999</v>
      </c>
      <c r="Q306" s="23">
        <f t="shared" si="27"/>
        <v>8.1382073813708296</v>
      </c>
      <c r="R306" s="22">
        <f t="shared" si="28"/>
        <v>2.2411502513691399</v>
      </c>
      <c r="S306" s="22">
        <f t="shared" si="29"/>
        <v>3.2411502513691399</v>
      </c>
    </row>
    <row r="307" spans="1:19">
      <c r="A307" s="18" t="s">
        <v>346</v>
      </c>
      <c r="B307" s="18" t="s">
        <v>40</v>
      </c>
      <c r="C307" s="18" t="s">
        <v>48</v>
      </c>
      <c r="D307" s="19">
        <v>44935</v>
      </c>
      <c r="E307" s="20">
        <v>45539</v>
      </c>
      <c r="F307" s="21">
        <v>36771.199999999997</v>
      </c>
      <c r="G307" s="21">
        <v>26979.200000000001</v>
      </c>
      <c r="H307" s="21">
        <v>7769.6</v>
      </c>
      <c r="I307" s="18">
        <v>6487.7280000000001</v>
      </c>
      <c r="J307" s="18">
        <v>18359.632000000001</v>
      </c>
      <c r="K307" s="18" t="s">
        <v>65</v>
      </c>
      <c r="L307" s="18" t="s">
        <v>23</v>
      </c>
      <c r="M307" s="18" t="s">
        <v>32</v>
      </c>
      <c r="N307" s="22">
        <f t="shared" si="24"/>
        <v>0.73370463841267097</v>
      </c>
      <c r="O307" s="22">
        <f t="shared" si="25"/>
        <v>0.28798481793381597</v>
      </c>
      <c r="P307" s="23">
        <f t="shared" si="26"/>
        <v>0.240471474320958</v>
      </c>
      <c r="Q307" s="23">
        <f t="shared" si="27"/>
        <v>0.83501441515650698</v>
      </c>
      <c r="R307" s="22">
        <f t="shared" si="28"/>
        <v>1.82990162349593</v>
      </c>
      <c r="S307" s="22">
        <f t="shared" si="29"/>
        <v>2.82990162349593</v>
      </c>
    </row>
    <row r="308" spans="1:19">
      <c r="A308" s="18" t="s">
        <v>347</v>
      </c>
      <c r="B308" s="18" t="s">
        <v>26</v>
      </c>
      <c r="C308" s="18" t="s">
        <v>21</v>
      </c>
      <c r="D308" s="19">
        <v>44703</v>
      </c>
      <c r="E308" s="20">
        <v>45307</v>
      </c>
      <c r="F308" s="21">
        <v>37596.800000000003</v>
      </c>
      <c r="G308" s="21">
        <v>27433.599999999999</v>
      </c>
      <c r="H308" s="21">
        <v>10560</v>
      </c>
      <c r="I308" s="18">
        <v>5337.2960000000003</v>
      </c>
      <c r="J308" s="18">
        <v>6766.1760000000004</v>
      </c>
      <c r="K308" s="18" t="s">
        <v>65</v>
      </c>
      <c r="L308" s="18" t="s">
        <v>44</v>
      </c>
      <c r="M308" s="18" t="s">
        <v>24</v>
      </c>
      <c r="N308" s="22">
        <f t="shared" si="24"/>
        <v>0.72967912162737203</v>
      </c>
      <c r="O308" s="22">
        <f t="shared" si="25"/>
        <v>0.38492942960457199</v>
      </c>
      <c r="P308" s="23">
        <f t="shared" si="26"/>
        <v>0.19455324857109499</v>
      </c>
      <c r="Q308" s="23">
        <f t="shared" si="27"/>
        <v>0.50542575757575803</v>
      </c>
      <c r="R308" s="22">
        <f t="shared" si="28"/>
        <v>0.26771608694739801</v>
      </c>
      <c r="S308" s="22">
        <f t="shared" si="29"/>
        <v>1.2677160869474</v>
      </c>
    </row>
    <row r="309" spans="1:19">
      <c r="A309" s="18" t="s">
        <v>348</v>
      </c>
      <c r="B309" s="18" t="s">
        <v>28</v>
      </c>
      <c r="C309" s="18" t="s">
        <v>21</v>
      </c>
      <c r="D309" s="19">
        <v>44863</v>
      </c>
      <c r="E309" s="20">
        <v>45477</v>
      </c>
      <c r="F309" s="21">
        <v>28846.400000000001</v>
      </c>
      <c r="G309" s="21">
        <v>707.2</v>
      </c>
      <c r="H309" s="21">
        <v>457.6</v>
      </c>
      <c r="I309" s="18">
        <v>2178.2399999999998</v>
      </c>
      <c r="J309" s="18">
        <v>3142.32</v>
      </c>
      <c r="K309" s="18" t="s">
        <v>43</v>
      </c>
      <c r="L309" s="18" t="s">
        <v>44</v>
      </c>
      <c r="M309" s="18" t="s">
        <v>24</v>
      </c>
      <c r="N309" s="22">
        <f t="shared" si="24"/>
        <v>2.45160574629763E-2</v>
      </c>
      <c r="O309" s="22">
        <f t="shared" si="25"/>
        <v>0.64705882352941202</v>
      </c>
      <c r="P309" s="23">
        <f t="shared" si="26"/>
        <v>3.0800904977375598</v>
      </c>
      <c r="Q309" s="23">
        <f t="shared" si="27"/>
        <v>4.7601398601398603</v>
      </c>
      <c r="R309" s="22">
        <f t="shared" si="28"/>
        <v>0.44259585720581801</v>
      </c>
      <c r="S309" s="22">
        <f t="shared" si="29"/>
        <v>1.44259585720582</v>
      </c>
    </row>
    <row r="310" spans="1:19">
      <c r="A310" s="18" t="s">
        <v>349</v>
      </c>
      <c r="B310" s="18" t="s">
        <v>40</v>
      </c>
      <c r="C310" s="18" t="s">
        <v>48</v>
      </c>
      <c r="D310" s="19">
        <v>44722</v>
      </c>
      <c r="E310" s="20">
        <v>45352</v>
      </c>
      <c r="F310" s="21">
        <v>13804.8</v>
      </c>
      <c r="G310" s="21">
        <v>12545.6</v>
      </c>
      <c r="H310" s="21">
        <v>10731.2</v>
      </c>
      <c r="I310" s="18">
        <v>3218.9760000000001</v>
      </c>
      <c r="J310" s="18">
        <v>9330.2240000000002</v>
      </c>
      <c r="K310" s="18" t="s">
        <v>43</v>
      </c>
      <c r="L310" s="18" t="s">
        <v>31</v>
      </c>
      <c r="M310" s="18" t="s">
        <v>24</v>
      </c>
      <c r="N310" s="22">
        <f t="shared" si="24"/>
        <v>0.90878535002317995</v>
      </c>
      <c r="O310" s="22">
        <f t="shared" si="25"/>
        <v>0.85537558984823403</v>
      </c>
      <c r="P310" s="23">
        <f t="shared" si="26"/>
        <v>0.25658206861369698</v>
      </c>
      <c r="Q310" s="23">
        <f t="shared" si="27"/>
        <v>0.29996421649023403</v>
      </c>
      <c r="R310" s="22">
        <f t="shared" si="28"/>
        <v>1.8985068543536801</v>
      </c>
      <c r="S310" s="22">
        <f t="shared" si="29"/>
        <v>2.8985068543536801</v>
      </c>
    </row>
    <row r="311" spans="1:19">
      <c r="A311" s="18" t="s">
        <v>350</v>
      </c>
      <c r="B311" s="18" t="s">
        <v>40</v>
      </c>
      <c r="C311" s="18" t="s">
        <v>29</v>
      </c>
      <c r="D311" s="19">
        <v>44817</v>
      </c>
      <c r="E311" s="20">
        <v>45432</v>
      </c>
      <c r="F311" s="21">
        <v>4779.2</v>
      </c>
      <c r="G311" s="21">
        <v>1520</v>
      </c>
      <c r="H311" s="21">
        <v>868.8</v>
      </c>
      <c r="I311" s="18">
        <v>3484.6239999999998</v>
      </c>
      <c r="J311" s="18">
        <v>11236.752</v>
      </c>
      <c r="K311" s="18" t="s">
        <v>22</v>
      </c>
      <c r="L311" s="18" t="s">
        <v>50</v>
      </c>
      <c r="M311" s="18" t="s">
        <v>24</v>
      </c>
      <c r="N311" s="22">
        <f t="shared" si="24"/>
        <v>0.31804486106461299</v>
      </c>
      <c r="O311" s="22">
        <f t="shared" si="25"/>
        <v>0.57157894736842096</v>
      </c>
      <c r="P311" s="23">
        <f t="shared" si="26"/>
        <v>2.2925157894736801</v>
      </c>
      <c r="Q311" s="23">
        <f t="shared" si="27"/>
        <v>4.0108471454880297</v>
      </c>
      <c r="R311" s="22">
        <f t="shared" si="28"/>
        <v>2.2246669942008102</v>
      </c>
      <c r="S311" s="22">
        <f t="shared" si="29"/>
        <v>3.2246669942008102</v>
      </c>
    </row>
    <row r="312" spans="1:19">
      <c r="A312" s="18" t="s">
        <v>351</v>
      </c>
      <c r="B312" s="18" t="s">
        <v>26</v>
      </c>
      <c r="C312" s="18" t="s">
        <v>21</v>
      </c>
      <c r="D312" s="19">
        <v>44703</v>
      </c>
      <c r="E312" s="20">
        <v>45313</v>
      </c>
      <c r="F312" s="21">
        <v>45102.400000000001</v>
      </c>
      <c r="G312" s="21">
        <v>9737.6</v>
      </c>
      <c r="H312" s="21">
        <v>5782.4</v>
      </c>
      <c r="I312" s="18">
        <v>952.22400000000005</v>
      </c>
      <c r="J312" s="18">
        <v>1647.7439999999999</v>
      </c>
      <c r="K312" s="18" t="s">
        <v>30</v>
      </c>
      <c r="L312" s="18" t="s">
        <v>23</v>
      </c>
      <c r="M312" s="18" t="s">
        <v>32</v>
      </c>
      <c r="N312" s="22">
        <f t="shared" si="24"/>
        <v>0.215899819078364</v>
      </c>
      <c r="O312" s="22">
        <f t="shared" si="25"/>
        <v>0.59382188629641797</v>
      </c>
      <c r="P312" s="23">
        <f t="shared" si="26"/>
        <v>9.7788366743345401E-2</v>
      </c>
      <c r="Q312" s="23">
        <f t="shared" si="27"/>
        <v>0.164676258992806</v>
      </c>
      <c r="R312" s="22">
        <f t="shared" si="28"/>
        <v>0.73041637261820702</v>
      </c>
      <c r="S312" s="22">
        <f t="shared" si="29"/>
        <v>1.73041637261821</v>
      </c>
    </row>
    <row r="313" spans="1:19">
      <c r="A313" s="18" t="s">
        <v>352</v>
      </c>
      <c r="B313" s="18" t="s">
        <v>40</v>
      </c>
      <c r="C313" s="18" t="s">
        <v>29</v>
      </c>
      <c r="D313" s="19">
        <v>44876</v>
      </c>
      <c r="E313" s="20">
        <v>45478</v>
      </c>
      <c r="F313" s="21">
        <v>26393.599999999999</v>
      </c>
      <c r="G313" s="21">
        <v>3860.8</v>
      </c>
      <c r="H313" s="21">
        <v>2312</v>
      </c>
      <c r="I313" s="18">
        <v>7806.2079999999996</v>
      </c>
      <c r="J313" s="18">
        <v>22404</v>
      </c>
      <c r="K313" s="18" t="s">
        <v>38</v>
      </c>
      <c r="L313" s="18" t="s">
        <v>44</v>
      </c>
      <c r="M313" s="18" t="s">
        <v>24</v>
      </c>
      <c r="N313" s="22">
        <f t="shared" si="24"/>
        <v>0.14627788554801199</v>
      </c>
      <c r="O313" s="22">
        <f t="shared" si="25"/>
        <v>0.59883961873186897</v>
      </c>
      <c r="P313" s="23">
        <f t="shared" si="26"/>
        <v>2.0219146290924201</v>
      </c>
      <c r="Q313" s="23">
        <f t="shared" si="27"/>
        <v>3.3763875432525898</v>
      </c>
      <c r="R313" s="22">
        <f t="shared" si="28"/>
        <v>1.87002344800446</v>
      </c>
      <c r="S313" s="22">
        <f t="shared" si="29"/>
        <v>2.87002344800446</v>
      </c>
    </row>
    <row r="314" spans="1:19">
      <c r="A314" s="18" t="s">
        <v>353</v>
      </c>
      <c r="B314" s="18" t="s">
        <v>26</v>
      </c>
      <c r="C314" s="18" t="s">
        <v>41</v>
      </c>
      <c r="D314" s="19">
        <v>44954</v>
      </c>
      <c r="E314" s="20">
        <v>45577</v>
      </c>
      <c r="F314" s="21">
        <v>71987.199999999997</v>
      </c>
      <c r="G314" s="21">
        <v>49307.199999999997</v>
      </c>
      <c r="H314" s="21">
        <v>49115.199999999997</v>
      </c>
      <c r="I314" s="18">
        <v>5835.2479999999996</v>
      </c>
      <c r="J314" s="18">
        <v>9089.7919999999995</v>
      </c>
      <c r="K314" s="18" t="s">
        <v>38</v>
      </c>
      <c r="L314" s="18" t="s">
        <v>35</v>
      </c>
      <c r="M314" s="18" t="s">
        <v>24</v>
      </c>
      <c r="N314" s="22">
        <f t="shared" si="24"/>
        <v>0.68494399004267403</v>
      </c>
      <c r="O314" s="22">
        <f t="shared" si="25"/>
        <v>0.99610604536457104</v>
      </c>
      <c r="P314" s="23">
        <f t="shared" si="26"/>
        <v>0.118344744783723</v>
      </c>
      <c r="Q314" s="23">
        <f t="shared" si="27"/>
        <v>0.118807375313549</v>
      </c>
      <c r="R314" s="22">
        <f t="shared" si="28"/>
        <v>0.55773876277409296</v>
      </c>
      <c r="S314" s="22">
        <f t="shared" si="29"/>
        <v>1.55773876277409</v>
      </c>
    </row>
    <row r="315" spans="1:19">
      <c r="A315" s="18" t="s">
        <v>354</v>
      </c>
      <c r="B315" s="18" t="s">
        <v>47</v>
      </c>
      <c r="C315" s="18" t="s">
        <v>21</v>
      </c>
      <c r="D315" s="19">
        <v>44846</v>
      </c>
      <c r="E315" s="20">
        <v>45467</v>
      </c>
      <c r="F315" s="21">
        <v>74920</v>
      </c>
      <c r="G315" s="21">
        <v>22952</v>
      </c>
      <c r="H315" s="21">
        <v>11804.8</v>
      </c>
      <c r="I315" s="18">
        <v>2528.864</v>
      </c>
      <c r="J315" s="18">
        <v>6751.2960000000003</v>
      </c>
      <c r="K315" s="18" t="s">
        <v>38</v>
      </c>
      <c r="L315" s="18" t="s">
        <v>35</v>
      </c>
      <c r="M315" s="18" t="s">
        <v>32</v>
      </c>
      <c r="N315" s="22">
        <f t="shared" si="24"/>
        <v>0.30635344367325101</v>
      </c>
      <c r="O315" s="22">
        <f t="shared" si="25"/>
        <v>0.51432554897176697</v>
      </c>
      <c r="P315" s="23">
        <f t="shared" si="26"/>
        <v>0.110180550714535</v>
      </c>
      <c r="Q315" s="23">
        <f t="shared" si="27"/>
        <v>0.21422336676606099</v>
      </c>
      <c r="R315" s="22">
        <f t="shared" si="28"/>
        <v>1.66969516747441</v>
      </c>
      <c r="S315" s="22">
        <f t="shared" si="29"/>
        <v>2.6696951674744098</v>
      </c>
    </row>
    <row r="316" spans="1:19">
      <c r="A316" s="18" t="s">
        <v>355</v>
      </c>
      <c r="B316" s="18" t="s">
        <v>47</v>
      </c>
      <c r="C316" s="18" t="s">
        <v>29</v>
      </c>
      <c r="D316" s="19">
        <v>44712</v>
      </c>
      <c r="E316" s="20">
        <v>45337</v>
      </c>
      <c r="F316" s="21">
        <v>3630.4</v>
      </c>
      <c r="G316" s="21">
        <v>787.2</v>
      </c>
      <c r="H316" s="21">
        <v>132.80000000000001</v>
      </c>
      <c r="I316" s="18">
        <v>2264.9279999999999</v>
      </c>
      <c r="J316" s="18">
        <v>6862.8</v>
      </c>
      <c r="K316" s="18" t="s">
        <v>38</v>
      </c>
      <c r="L316" s="18" t="s">
        <v>31</v>
      </c>
      <c r="M316" s="18" t="s">
        <v>24</v>
      </c>
      <c r="N316" s="22">
        <f t="shared" si="24"/>
        <v>0.216835610401058</v>
      </c>
      <c r="O316" s="22">
        <f t="shared" si="25"/>
        <v>0.16869918699187</v>
      </c>
      <c r="P316" s="23">
        <f t="shared" si="26"/>
        <v>2.8771951219512202</v>
      </c>
      <c r="Q316" s="23">
        <f t="shared" si="27"/>
        <v>17.055180722891599</v>
      </c>
      <c r="R316" s="22">
        <f t="shared" si="28"/>
        <v>2.0300300936718498</v>
      </c>
      <c r="S316" s="22">
        <f t="shared" si="29"/>
        <v>3.0300300936718498</v>
      </c>
    </row>
    <row r="317" spans="1:19">
      <c r="A317" s="18" t="s">
        <v>356</v>
      </c>
      <c r="B317" s="18" t="s">
        <v>20</v>
      </c>
      <c r="C317" s="18" t="s">
        <v>41</v>
      </c>
      <c r="D317" s="19">
        <v>44716</v>
      </c>
      <c r="E317" s="20">
        <v>45330</v>
      </c>
      <c r="F317" s="21">
        <v>48633.599999999999</v>
      </c>
      <c r="G317" s="21">
        <v>43342.400000000001</v>
      </c>
      <c r="H317" s="21">
        <v>23022.400000000001</v>
      </c>
      <c r="I317" s="18">
        <v>4003.3119999999999</v>
      </c>
      <c r="J317" s="18">
        <v>4915.4399999999996</v>
      </c>
      <c r="K317" s="18" t="s">
        <v>65</v>
      </c>
      <c r="L317" s="18" t="s">
        <v>31</v>
      </c>
      <c r="M317" s="18" t="s">
        <v>32</v>
      </c>
      <c r="N317" s="22">
        <f t="shared" si="24"/>
        <v>0.89120278984076895</v>
      </c>
      <c r="O317" s="22">
        <f t="shared" si="25"/>
        <v>0.53117501568902503</v>
      </c>
      <c r="P317" s="23">
        <f t="shared" si="26"/>
        <v>9.2364797519288305E-2</v>
      </c>
      <c r="Q317" s="23">
        <f t="shared" si="27"/>
        <v>0.17388769198693399</v>
      </c>
      <c r="R317" s="22">
        <f t="shared" si="28"/>
        <v>0.22784334570975201</v>
      </c>
      <c r="S317" s="22">
        <f t="shared" si="29"/>
        <v>1.22784334570975</v>
      </c>
    </row>
    <row r="318" spans="1:19">
      <c r="A318" s="18" t="s">
        <v>357</v>
      </c>
      <c r="B318" s="18" t="s">
        <v>28</v>
      </c>
      <c r="C318" s="18" t="s">
        <v>21</v>
      </c>
      <c r="D318" s="19">
        <v>44817</v>
      </c>
      <c r="E318" s="20">
        <v>45437</v>
      </c>
      <c r="F318" s="21">
        <v>23630.400000000001</v>
      </c>
      <c r="G318" s="21">
        <v>13504</v>
      </c>
      <c r="H318" s="21">
        <v>11819.2</v>
      </c>
      <c r="I318" s="18">
        <v>6641.4880000000003</v>
      </c>
      <c r="J318" s="18">
        <v>12050.255999999999</v>
      </c>
      <c r="K318" s="18" t="s">
        <v>43</v>
      </c>
      <c r="L318" s="18" t="s">
        <v>35</v>
      </c>
      <c r="M318" s="18" t="s">
        <v>24</v>
      </c>
      <c r="N318" s="22">
        <f t="shared" si="24"/>
        <v>0.57146726250931001</v>
      </c>
      <c r="O318" s="22">
        <f t="shared" si="25"/>
        <v>0.87523696682464502</v>
      </c>
      <c r="P318" s="23">
        <f t="shared" si="26"/>
        <v>0.49181635071090102</v>
      </c>
      <c r="Q318" s="23">
        <f t="shared" si="27"/>
        <v>0.56192364965479902</v>
      </c>
      <c r="R318" s="22">
        <f t="shared" si="28"/>
        <v>0.81439099189820097</v>
      </c>
      <c r="S318" s="22">
        <f t="shared" si="29"/>
        <v>1.8143909918982</v>
      </c>
    </row>
    <row r="319" spans="1:19">
      <c r="A319" s="18" t="s">
        <v>358</v>
      </c>
      <c r="B319" s="18" t="s">
        <v>28</v>
      </c>
      <c r="C319" s="18" t="s">
        <v>48</v>
      </c>
      <c r="D319" s="19">
        <v>44771</v>
      </c>
      <c r="E319" s="20">
        <v>45373</v>
      </c>
      <c r="F319" s="21">
        <v>69390.399999999994</v>
      </c>
      <c r="G319" s="21">
        <v>40108.800000000003</v>
      </c>
      <c r="H319" s="21">
        <v>29136</v>
      </c>
      <c r="I319" s="18">
        <v>5157.808</v>
      </c>
      <c r="J319" s="18">
        <v>14405.168</v>
      </c>
      <c r="K319" s="18" t="s">
        <v>38</v>
      </c>
      <c r="L319" s="18" t="s">
        <v>23</v>
      </c>
      <c r="M319" s="18" t="s">
        <v>32</v>
      </c>
      <c r="N319" s="22">
        <f t="shared" si="24"/>
        <v>0.57801655560423304</v>
      </c>
      <c r="O319" s="22">
        <f t="shared" si="25"/>
        <v>0.72642412637625697</v>
      </c>
      <c r="P319" s="23">
        <f t="shared" si="26"/>
        <v>0.12859542045635899</v>
      </c>
      <c r="Q319" s="23">
        <f t="shared" si="27"/>
        <v>0.17702526084568901</v>
      </c>
      <c r="R319" s="22">
        <f t="shared" si="28"/>
        <v>1.79288565995477</v>
      </c>
      <c r="S319" s="22">
        <f t="shared" si="29"/>
        <v>2.79288565995477</v>
      </c>
    </row>
    <row r="320" spans="1:19">
      <c r="A320" s="18" t="s">
        <v>359</v>
      </c>
      <c r="B320" s="18" t="s">
        <v>34</v>
      </c>
      <c r="C320" s="18" t="s">
        <v>41</v>
      </c>
      <c r="D320" s="19">
        <v>44751</v>
      </c>
      <c r="E320" s="20">
        <v>45360</v>
      </c>
      <c r="F320" s="21">
        <v>47006.400000000001</v>
      </c>
      <c r="G320" s="21">
        <v>37366.400000000001</v>
      </c>
      <c r="H320" s="21">
        <v>33825.599999999999</v>
      </c>
      <c r="I320" s="18">
        <v>6243.2479999999996</v>
      </c>
      <c r="J320" s="18">
        <v>17523.743999999999</v>
      </c>
      <c r="K320" s="18" t="s">
        <v>30</v>
      </c>
      <c r="L320" s="18" t="s">
        <v>31</v>
      </c>
      <c r="M320" s="18" t="s">
        <v>24</v>
      </c>
      <c r="N320" s="22">
        <f t="shared" si="24"/>
        <v>0.79492154259845504</v>
      </c>
      <c r="O320" s="22">
        <f t="shared" si="25"/>
        <v>0.90524107219320005</v>
      </c>
      <c r="P320" s="23">
        <f t="shared" si="26"/>
        <v>0.16708187034340999</v>
      </c>
      <c r="Q320" s="23">
        <f t="shared" si="27"/>
        <v>0.18457168535074001</v>
      </c>
      <c r="R320" s="22">
        <f t="shared" si="28"/>
        <v>1.80683131600731</v>
      </c>
      <c r="S320" s="22">
        <f t="shared" si="29"/>
        <v>2.80683131600731</v>
      </c>
    </row>
    <row r="321" spans="1:19">
      <c r="A321" s="18" t="s">
        <v>360</v>
      </c>
      <c r="B321" s="18" t="s">
        <v>20</v>
      </c>
      <c r="C321" s="18" t="s">
        <v>41</v>
      </c>
      <c r="D321" s="19">
        <v>44980</v>
      </c>
      <c r="E321" s="20">
        <v>45584</v>
      </c>
      <c r="F321" s="21">
        <v>18521.599999999999</v>
      </c>
      <c r="G321" s="21">
        <v>12203.2</v>
      </c>
      <c r="H321" s="21">
        <v>11350.4</v>
      </c>
      <c r="I321" s="18">
        <v>7297.1360000000004</v>
      </c>
      <c r="J321" s="18">
        <v>20410.96</v>
      </c>
      <c r="K321" s="18" t="s">
        <v>65</v>
      </c>
      <c r="L321" s="18" t="s">
        <v>35</v>
      </c>
      <c r="M321" s="18" t="s">
        <v>32</v>
      </c>
      <c r="N321" s="22">
        <f t="shared" si="24"/>
        <v>0.65886316516931598</v>
      </c>
      <c r="O321" s="22">
        <f t="shared" si="25"/>
        <v>0.93011669070407799</v>
      </c>
      <c r="P321" s="23">
        <f t="shared" si="26"/>
        <v>0.597969057296447</v>
      </c>
      <c r="Q321" s="23">
        <f t="shared" si="27"/>
        <v>0.64289681420919098</v>
      </c>
      <c r="R321" s="22">
        <f t="shared" si="28"/>
        <v>1.79711930817789</v>
      </c>
      <c r="S321" s="22">
        <f t="shared" si="29"/>
        <v>2.7971193081778898</v>
      </c>
    </row>
    <row r="322" spans="1:19">
      <c r="A322" s="18" t="s">
        <v>361</v>
      </c>
      <c r="B322" s="18" t="s">
        <v>34</v>
      </c>
      <c r="C322" s="18" t="s">
        <v>48</v>
      </c>
      <c r="D322" s="19">
        <v>44754</v>
      </c>
      <c r="E322" s="20">
        <v>45361</v>
      </c>
      <c r="F322" s="21">
        <v>76480</v>
      </c>
      <c r="G322" s="21">
        <v>19424</v>
      </c>
      <c r="H322" s="21">
        <v>6273.6</v>
      </c>
      <c r="I322" s="18">
        <v>3454.2240000000002</v>
      </c>
      <c r="J322" s="18">
        <v>6336.0959999999995</v>
      </c>
      <c r="K322" s="18" t="s">
        <v>30</v>
      </c>
      <c r="L322" s="18" t="s">
        <v>44</v>
      </c>
      <c r="M322" s="18" t="s">
        <v>32</v>
      </c>
      <c r="N322" s="22">
        <f t="shared" ref="N322:N385" si="30">G322/F322</f>
        <v>0.25397489539749002</v>
      </c>
      <c r="O322" s="22">
        <f t="shared" ref="O322:O385" si="31">H322/G322</f>
        <v>0.322981878088962</v>
      </c>
      <c r="P322" s="23">
        <f t="shared" ref="P322:P385" si="32">I322/G322</f>
        <v>0.17783278418451401</v>
      </c>
      <c r="Q322" s="23">
        <f t="shared" ref="Q322:Q385" si="33">I322/H322</f>
        <v>0.55059678653404698</v>
      </c>
      <c r="R322" s="22">
        <f t="shared" ref="R322:R385" si="34">(J322-I322)/I322</f>
        <v>0.83430373942164704</v>
      </c>
      <c r="S322" s="22">
        <f t="shared" ref="S322:S385" si="35">J322/I322</f>
        <v>1.8343037394216499</v>
      </c>
    </row>
    <row r="323" spans="1:19">
      <c r="A323" s="18" t="s">
        <v>362</v>
      </c>
      <c r="B323" s="18" t="s">
        <v>47</v>
      </c>
      <c r="C323" s="18" t="s">
        <v>21</v>
      </c>
      <c r="D323" s="19">
        <v>44709</v>
      </c>
      <c r="E323" s="20">
        <v>45332</v>
      </c>
      <c r="F323" s="21">
        <v>14011.2</v>
      </c>
      <c r="G323" s="21">
        <v>5849.6</v>
      </c>
      <c r="H323" s="21">
        <v>2561.6</v>
      </c>
      <c r="I323" s="18">
        <v>5936.0479999999998</v>
      </c>
      <c r="J323" s="18">
        <v>22758.799999999999</v>
      </c>
      <c r="K323" s="18" t="s">
        <v>43</v>
      </c>
      <c r="L323" s="18" t="s">
        <v>44</v>
      </c>
      <c r="M323" s="18" t="s">
        <v>24</v>
      </c>
      <c r="N323" s="22">
        <f t="shared" si="30"/>
        <v>0.41749457576795701</v>
      </c>
      <c r="O323" s="22">
        <f t="shared" si="31"/>
        <v>0.43791028446389502</v>
      </c>
      <c r="P323" s="23">
        <f t="shared" si="32"/>
        <v>1.0147784463895</v>
      </c>
      <c r="Q323" s="23">
        <f t="shared" si="33"/>
        <v>2.31732042473454</v>
      </c>
      <c r="R323" s="22">
        <f t="shared" si="34"/>
        <v>2.8339986469112102</v>
      </c>
      <c r="S323" s="22">
        <f t="shared" si="35"/>
        <v>3.8339986469112102</v>
      </c>
    </row>
    <row r="324" spans="1:19">
      <c r="A324" s="18" t="s">
        <v>363</v>
      </c>
      <c r="B324" s="18" t="s">
        <v>47</v>
      </c>
      <c r="C324" s="18" t="s">
        <v>21</v>
      </c>
      <c r="D324" s="19">
        <v>44904</v>
      </c>
      <c r="E324" s="20">
        <v>45513</v>
      </c>
      <c r="F324" s="21">
        <v>11800</v>
      </c>
      <c r="G324" s="21">
        <v>236.8</v>
      </c>
      <c r="H324" s="21">
        <v>224</v>
      </c>
      <c r="I324" s="18">
        <v>4652.7039999999997</v>
      </c>
      <c r="J324" s="18">
        <v>18339.2</v>
      </c>
      <c r="K324" s="18" t="s">
        <v>65</v>
      </c>
      <c r="L324" s="18" t="s">
        <v>44</v>
      </c>
      <c r="M324" s="18" t="s">
        <v>32</v>
      </c>
      <c r="N324" s="22">
        <f t="shared" si="30"/>
        <v>2.0067796610169501E-2</v>
      </c>
      <c r="O324" s="22">
        <f t="shared" si="31"/>
        <v>0.94594594594594605</v>
      </c>
      <c r="P324" s="23">
        <f t="shared" si="32"/>
        <v>19.648243243243201</v>
      </c>
      <c r="Q324" s="23">
        <f t="shared" si="33"/>
        <v>20.771000000000001</v>
      </c>
      <c r="R324" s="22">
        <f t="shared" si="34"/>
        <v>2.94162190416584</v>
      </c>
      <c r="S324" s="22">
        <f t="shared" si="35"/>
        <v>3.94162190416584</v>
      </c>
    </row>
    <row r="325" spans="1:19">
      <c r="A325" s="18" t="s">
        <v>364</v>
      </c>
      <c r="B325" s="18" t="s">
        <v>47</v>
      </c>
      <c r="C325" s="18" t="s">
        <v>41</v>
      </c>
      <c r="D325" s="19">
        <v>44783</v>
      </c>
      <c r="E325" s="20">
        <v>45384</v>
      </c>
      <c r="F325" s="21">
        <v>67843.199999999997</v>
      </c>
      <c r="G325" s="21">
        <v>46115.199999999997</v>
      </c>
      <c r="H325" s="21">
        <v>1300.8</v>
      </c>
      <c r="I325" s="18">
        <v>2151.056</v>
      </c>
      <c r="J325" s="18">
        <v>7210.2240000000002</v>
      </c>
      <c r="K325" s="18" t="s">
        <v>65</v>
      </c>
      <c r="L325" s="18" t="s">
        <v>50</v>
      </c>
      <c r="M325" s="18" t="s">
        <v>24</v>
      </c>
      <c r="N325" s="22">
        <f t="shared" si="30"/>
        <v>0.67973208810905095</v>
      </c>
      <c r="O325" s="22">
        <f t="shared" si="31"/>
        <v>2.8207619179793201E-2</v>
      </c>
      <c r="P325" s="23">
        <f t="shared" si="32"/>
        <v>4.66452709735619E-2</v>
      </c>
      <c r="Q325" s="23">
        <f t="shared" si="33"/>
        <v>1.6536408364083599</v>
      </c>
      <c r="R325" s="22">
        <f t="shared" si="34"/>
        <v>2.3519462068862902</v>
      </c>
      <c r="S325" s="22">
        <f t="shared" si="35"/>
        <v>3.3519462068862902</v>
      </c>
    </row>
    <row r="326" spans="1:19">
      <c r="A326" s="18" t="s">
        <v>365</v>
      </c>
      <c r="B326" s="18" t="s">
        <v>20</v>
      </c>
      <c r="C326" s="18" t="s">
        <v>48</v>
      </c>
      <c r="D326" s="19">
        <v>44817</v>
      </c>
      <c r="E326" s="20">
        <v>45421</v>
      </c>
      <c r="F326" s="21">
        <v>5305.6</v>
      </c>
      <c r="G326" s="21">
        <v>1608</v>
      </c>
      <c r="H326" s="21">
        <v>1024</v>
      </c>
      <c r="I326" s="18">
        <v>3225.84</v>
      </c>
      <c r="J326" s="18">
        <v>12437.536</v>
      </c>
      <c r="K326" s="18" t="s">
        <v>65</v>
      </c>
      <c r="L326" s="18" t="s">
        <v>31</v>
      </c>
      <c r="M326" s="18" t="s">
        <v>32</v>
      </c>
      <c r="N326" s="22">
        <f t="shared" si="30"/>
        <v>0.30307599517491002</v>
      </c>
      <c r="O326" s="22">
        <f t="shared" si="31"/>
        <v>0.63681592039801005</v>
      </c>
      <c r="P326" s="23">
        <f t="shared" si="32"/>
        <v>2.0061194029850702</v>
      </c>
      <c r="Q326" s="23">
        <f t="shared" si="33"/>
        <v>3.1502343750000001</v>
      </c>
      <c r="R326" s="22">
        <f t="shared" si="34"/>
        <v>2.8555960618009602</v>
      </c>
      <c r="S326" s="22">
        <f t="shared" si="35"/>
        <v>3.8555960618009602</v>
      </c>
    </row>
    <row r="327" spans="1:19">
      <c r="A327" s="18" t="s">
        <v>366</v>
      </c>
      <c r="B327" s="18" t="s">
        <v>20</v>
      </c>
      <c r="C327" s="18" t="s">
        <v>41</v>
      </c>
      <c r="D327" s="19">
        <v>44865</v>
      </c>
      <c r="E327" s="20">
        <v>45482</v>
      </c>
      <c r="F327" s="21">
        <v>26123.200000000001</v>
      </c>
      <c r="G327" s="21">
        <v>23713.599999999999</v>
      </c>
      <c r="H327" s="21">
        <v>3918.4</v>
      </c>
      <c r="I327" s="18">
        <v>3630.3359999999998</v>
      </c>
      <c r="J327" s="18">
        <v>10895.984</v>
      </c>
      <c r="K327" s="18" t="s">
        <v>43</v>
      </c>
      <c r="L327" s="18" t="s">
        <v>35</v>
      </c>
      <c r="M327" s="18" t="s">
        <v>32</v>
      </c>
      <c r="N327" s="22">
        <f t="shared" si="30"/>
        <v>0.90776015189563297</v>
      </c>
      <c r="O327" s="22">
        <f t="shared" si="31"/>
        <v>0.16523851292085601</v>
      </c>
      <c r="P327" s="23">
        <f t="shared" si="32"/>
        <v>0.153090884555698</v>
      </c>
      <c r="Q327" s="23">
        <f t="shared" si="33"/>
        <v>0.92648427929767196</v>
      </c>
      <c r="R327" s="22">
        <f t="shared" si="34"/>
        <v>2.0013706720259501</v>
      </c>
      <c r="S327" s="22">
        <f t="shared" si="35"/>
        <v>3.0013706720259501</v>
      </c>
    </row>
    <row r="328" spans="1:19">
      <c r="A328" s="18" t="s">
        <v>367</v>
      </c>
      <c r="B328" s="18" t="s">
        <v>28</v>
      </c>
      <c r="C328" s="18" t="s">
        <v>29</v>
      </c>
      <c r="D328" s="19">
        <v>44978</v>
      </c>
      <c r="E328" s="20">
        <v>45605</v>
      </c>
      <c r="F328" s="21">
        <v>10142.4</v>
      </c>
      <c r="G328" s="21">
        <v>2024</v>
      </c>
      <c r="H328" s="21">
        <v>142.4</v>
      </c>
      <c r="I328" s="18">
        <v>4393.0240000000003</v>
      </c>
      <c r="J328" s="18">
        <v>13354.88</v>
      </c>
      <c r="K328" s="18" t="s">
        <v>65</v>
      </c>
      <c r="L328" s="18" t="s">
        <v>31</v>
      </c>
      <c r="M328" s="18" t="s">
        <v>32</v>
      </c>
      <c r="N328" s="22">
        <f t="shared" si="30"/>
        <v>0.19955828995109601</v>
      </c>
      <c r="O328" s="22">
        <f t="shared" si="31"/>
        <v>7.0355731225296397E-2</v>
      </c>
      <c r="P328" s="23">
        <f t="shared" si="32"/>
        <v>2.17046640316206</v>
      </c>
      <c r="Q328" s="23">
        <f t="shared" si="33"/>
        <v>30.849887640449399</v>
      </c>
      <c r="R328" s="22">
        <f t="shared" si="34"/>
        <v>2.0400198132311602</v>
      </c>
      <c r="S328" s="22">
        <f t="shared" si="35"/>
        <v>3.0400198132311602</v>
      </c>
    </row>
    <row r="329" spans="1:19">
      <c r="A329" s="18" t="s">
        <v>368</v>
      </c>
      <c r="B329" s="18" t="s">
        <v>28</v>
      </c>
      <c r="C329" s="18" t="s">
        <v>21</v>
      </c>
      <c r="D329" s="19">
        <v>44785</v>
      </c>
      <c r="E329" s="20">
        <v>45393</v>
      </c>
      <c r="F329" s="21">
        <v>30758.400000000001</v>
      </c>
      <c r="G329" s="21">
        <v>23832</v>
      </c>
      <c r="H329" s="21">
        <v>10264</v>
      </c>
      <c r="I329" s="18">
        <v>6127.4719999999998</v>
      </c>
      <c r="J329" s="18">
        <v>16675.696</v>
      </c>
      <c r="K329" s="18" t="s">
        <v>65</v>
      </c>
      <c r="L329" s="18" t="s">
        <v>23</v>
      </c>
      <c r="M329" s="18" t="s">
        <v>32</v>
      </c>
      <c r="N329" s="22">
        <f t="shared" si="30"/>
        <v>0.77481273408239704</v>
      </c>
      <c r="O329" s="22">
        <f t="shared" si="31"/>
        <v>0.43068143672373299</v>
      </c>
      <c r="P329" s="23">
        <f t="shared" si="32"/>
        <v>0.25711111111111101</v>
      </c>
      <c r="Q329" s="23">
        <f t="shared" si="33"/>
        <v>0.59698674980514399</v>
      </c>
      <c r="R329" s="22">
        <f t="shared" si="34"/>
        <v>1.7214642514890299</v>
      </c>
      <c r="S329" s="22">
        <f t="shared" si="35"/>
        <v>2.7214642514890302</v>
      </c>
    </row>
    <row r="330" spans="1:19">
      <c r="A330" s="18" t="s">
        <v>369</v>
      </c>
      <c r="B330" s="18" t="s">
        <v>40</v>
      </c>
      <c r="C330" s="18" t="s">
        <v>21</v>
      </c>
      <c r="D330" s="19">
        <v>44861</v>
      </c>
      <c r="E330" s="20">
        <v>45491</v>
      </c>
      <c r="F330" s="21">
        <v>34844.800000000003</v>
      </c>
      <c r="G330" s="21">
        <v>9996.7999999999993</v>
      </c>
      <c r="H330" s="21">
        <v>3977.6</v>
      </c>
      <c r="I330" s="18">
        <v>549.82399999999996</v>
      </c>
      <c r="J330" s="18">
        <v>2019.4880000000001</v>
      </c>
      <c r="K330" s="18" t="s">
        <v>65</v>
      </c>
      <c r="L330" s="18" t="s">
        <v>35</v>
      </c>
      <c r="M330" s="18" t="s">
        <v>24</v>
      </c>
      <c r="N330" s="22">
        <f t="shared" si="30"/>
        <v>0.28689503168335001</v>
      </c>
      <c r="O330" s="22">
        <f t="shared" si="31"/>
        <v>0.397887323943662</v>
      </c>
      <c r="P330" s="23">
        <f t="shared" si="32"/>
        <v>5.5E-2</v>
      </c>
      <c r="Q330" s="23">
        <f t="shared" si="33"/>
        <v>0.138230088495575</v>
      </c>
      <c r="R330" s="22">
        <f t="shared" si="34"/>
        <v>2.6729717145850298</v>
      </c>
      <c r="S330" s="22">
        <f t="shared" si="35"/>
        <v>3.6729717145850298</v>
      </c>
    </row>
    <row r="331" spans="1:19">
      <c r="A331" s="18" t="s">
        <v>370</v>
      </c>
      <c r="B331" s="18" t="s">
        <v>28</v>
      </c>
      <c r="C331" s="18" t="s">
        <v>48</v>
      </c>
      <c r="D331" s="19">
        <v>44698</v>
      </c>
      <c r="E331" s="20">
        <v>45319</v>
      </c>
      <c r="F331" s="21">
        <v>38948.800000000003</v>
      </c>
      <c r="G331" s="21">
        <v>16649.599999999999</v>
      </c>
      <c r="H331" s="21">
        <v>4969.6000000000004</v>
      </c>
      <c r="I331" s="18">
        <v>4825.3599999999997</v>
      </c>
      <c r="J331" s="18">
        <v>7673.68</v>
      </c>
      <c r="K331" s="18" t="s">
        <v>22</v>
      </c>
      <c r="L331" s="18" t="s">
        <v>44</v>
      </c>
      <c r="M331" s="18" t="s">
        <v>24</v>
      </c>
      <c r="N331" s="22">
        <f t="shared" si="30"/>
        <v>0.42747401717126099</v>
      </c>
      <c r="O331" s="22">
        <f t="shared" si="31"/>
        <v>0.29848164520469</v>
      </c>
      <c r="P331" s="23">
        <f t="shared" si="32"/>
        <v>0.289818374014991</v>
      </c>
      <c r="Q331" s="23">
        <f t="shared" si="33"/>
        <v>0.97097553122987801</v>
      </c>
      <c r="R331" s="22">
        <f t="shared" si="34"/>
        <v>0.59028134688396305</v>
      </c>
      <c r="S331" s="22">
        <f t="shared" si="35"/>
        <v>1.5902813468839601</v>
      </c>
    </row>
    <row r="332" spans="1:19">
      <c r="A332" s="18" t="s">
        <v>371</v>
      </c>
      <c r="B332" s="18" t="s">
        <v>26</v>
      </c>
      <c r="C332" s="18" t="s">
        <v>21</v>
      </c>
      <c r="D332" s="19">
        <v>44868</v>
      </c>
      <c r="E332" s="20">
        <v>45480</v>
      </c>
      <c r="F332" s="21">
        <v>39422.400000000001</v>
      </c>
      <c r="G332" s="21">
        <v>22268.799999999999</v>
      </c>
      <c r="H332" s="21">
        <v>16184</v>
      </c>
      <c r="I332" s="18">
        <v>3117.056</v>
      </c>
      <c r="J332" s="18">
        <v>8399.3760000000002</v>
      </c>
      <c r="K332" s="18" t="s">
        <v>22</v>
      </c>
      <c r="L332" s="18" t="s">
        <v>35</v>
      </c>
      <c r="M332" s="18" t="s">
        <v>32</v>
      </c>
      <c r="N332" s="22">
        <f t="shared" si="30"/>
        <v>0.56487682129956596</v>
      </c>
      <c r="O332" s="22">
        <f t="shared" si="31"/>
        <v>0.72675671791924101</v>
      </c>
      <c r="P332" s="23">
        <f t="shared" si="32"/>
        <v>0.13997413421468599</v>
      </c>
      <c r="Q332" s="23">
        <f t="shared" si="33"/>
        <v>0.19260108749382099</v>
      </c>
      <c r="R332" s="22">
        <f t="shared" si="34"/>
        <v>1.6946503367279899</v>
      </c>
      <c r="S332" s="22">
        <f t="shared" si="35"/>
        <v>2.6946503367279901</v>
      </c>
    </row>
    <row r="333" spans="1:19">
      <c r="A333" s="18" t="s">
        <v>372</v>
      </c>
      <c r="B333" s="18" t="s">
        <v>47</v>
      </c>
      <c r="C333" s="18" t="s">
        <v>41</v>
      </c>
      <c r="D333" s="19">
        <v>44722</v>
      </c>
      <c r="E333" s="20">
        <v>45349</v>
      </c>
      <c r="F333" s="21">
        <v>78904</v>
      </c>
      <c r="G333" s="21">
        <v>52968</v>
      </c>
      <c r="H333" s="21">
        <v>16483.2</v>
      </c>
      <c r="I333" s="18">
        <v>3830.4319999999998</v>
      </c>
      <c r="J333" s="18">
        <v>7220.1760000000004</v>
      </c>
      <c r="K333" s="18" t="s">
        <v>38</v>
      </c>
      <c r="L333" s="18" t="s">
        <v>50</v>
      </c>
      <c r="M333" s="18" t="s">
        <v>24</v>
      </c>
      <c r="N333" s="22">
        <f t="shared" si="30"/>
        <v>0.671296765689952</v>
      </c>
      <c r="O333" s="22">
        <f t="shared" si="31"/>
        <v>0.31119166289080202</v>
      </c>
      <c r="P333" s="23">
        <f t="shared" si="32"/>
        <v>7.2315964355837495E-2</v>
      </c>
      <c r="Q333" s="23">
        <f t="shared" si="33"/>
        <v>0.232384003106193</v>
      </c>
      <c r="R333" s="22">
        <f t="shared" si="34"/>
        <v>0.88495083583261602</v>
      </c>
      <c r="S333" s="22">
        <f t="shared" si="35"/>
        <v>1.8849508358326199</v>
      </c>
    </row>
    <row r="334" spans="1:19">
      <c r="A334" s="18" t="s">
        <v>373</v>
      </c>
      <c r="B334" s="18" t="s">
        <v>20</v>
      </c>
      <c r="C334" s="18" t="s">
        <v>48</v>
      </c>
      <c r="D334" s="19">
        <v>44761</v>
      </c>
      <c r="E334" s="20">
        <v>45362</v>
      </c>
      <c r="F334" s="21">
        <v>73144</v>
      </c>
      <c r="G334" s="21">
        <v>20592</v>
      </c>
      <c r="H334" s="21">
        <v>13067.2</v>
      </c>
      <c r="I334" s="18">
        <v>3922.3359999999998</v>
      </c>
      <c r="J334" s="18">
        <v>11802.976000000001</v>
      </c>
      <c r="K334" s="18" t="s">
        <v>38</v>
      </c>
      <c r="L334" s="18" t="s">
        <v>31</v>
      </c>
      <c r="M334" s="18" t="s">
        <v>24</v>
      </c>
      <c r="N334" s="22">
        <f t="shared" si="30"/>
        <v>0.28152685114295101</v>
      </c>
      <c r="O334" s="22">
        <f t="shared" si="31"/>
        <v>0.63457653457653496</v>
      </c>
      <c r="P334" s="23">
        <f t="shared" si="32"/>
        <v>0.190478632478632</v>
      </c>
      <c r="Q334" s="23">
        <f t="shared" si="33"/>
        <v>0.30016652381535402</v>
      </c>
      <c r="R334" s="22">
        <f t="shared" si="34"/>
        <v>2.00917004560548</v>
      </c>
      <c r="S334" s="22">
        <f t="shared" si="35"/>
        <v>3.00917004560548</v>
      </c>
    </row>
    <row r="335" spans="1:19">
      <c r="A335" s="18" t="s">
        <v>374</v>
      </c>
      <c r="B335" s="18" t="s">
        <v>40</v>
      </c>
      <c r="C335" s="18" t="s">
        <v>21</v>
      </c>
      <c r="D335" s="19">
        <v>44831</v>
      </c>
      <c r="E335" s="20">
        <v>45438</v>
      </c>
      <c r="F335" s="21">
        <v>33123.199999999997</v>
      </c>
      <c r="G335" s="21">
        <v>17376</v>
      </c>
      <c r="H335" s="21">
        <v>8611.2000000000007</v>
      </c>
      <c r="I335" s="18">
        <v>3131.52</v>
      </c>
      <c r="J335" s="18">
        <v>5386.6080000000002</v>
      </c>
      <c r="K335" s="18" t="s">
        <v>65</v>
      </c>
      <c r="L335" s="18" t="s">
        <v>50</v>
      </c>
      <c r="M335" s="18" t="s">
        <v>24</v>
      </c>
      <c r="N335" s="22">
        <f t="shared" si="30"/>
        <v>0.52458699642546602</v>
      </c>
      <c r="O335" s="22">
        <f t="shared" si="31"/>
        <v>0.49558011049723799</v>
      </c>
      <c r="P335" s="23">
        <f t="shared" si="32"/>
        <v>0.18022099447513801</v>
      </c>
      <c r="Q335" s="23">
        <f t="shared" si="33"/>
        <v>0.36365663322185099</v>
      </c>
      <c r="R335" s="22">
        <f t="shared" si="34"/>
        <v>0.72012568976088298</v>
      </c>
      <c r="S335" s="22">
        <f t="shared" si="35"/>
        <v>1.7201256897608801</v>
      </c>
    </row>
    <row r="336" spans="1:19">
      <c r="A336" s="18" t="s">
        <v>375</v>
      </c>
      <c r="B336" s="18" t="s">
        <v>26</v>
      </c>
      <c r="C336" s="18" t="s">
        <v>21</v>
      </c>
      <c r="D336" s="19">
        <v>44836</v>
      </c>
      <c r="E336" s="20">
        <v>45441</v>
      </c>
      <c r="F336" s="21">
        <v>10036.799999999999</v>
      </c>
      <c r="G336" s="21">
        <v>9784</v>
      </c>
      <c r="H336" s="21">
        <v>5704</v>
      </c>
      <c r="I336" s="18">
        <v>2368.0639999999999</v>
      </c>
      <c r="J336" s="18">
        <v>8802.7039999999997</v>
      </c>
      <c r="K336" s="18" t="s">
        <v>30</v>
      </c>
      <c r="L336" s="18" t="s">
        <v>35</v>
      </c>
      <c r="M336" s="18" t="s">
        <v>32</v>
      </c>
      <c r="N336" s="22">
        <f t="shared" si="30"/>
        <v>0.97481268930336396</v>
      </c>
      <c r="O336" s="22">
        <f t="shared" si="31"/>
        <v>0.58299264104660697</v>
      </c>
      <c r="P336" s="23">
        <f t="shared" si="32"/>
        <v>0.24203434178250199</v>
      </c>
      <c r="Q336" s="23">
        <f t="shared" si="33"/>
        <v>0.41515848527349197</v>
      </c>
      <c r="R336" s="22">
        <f t="shared" si="34"/>
        <v>2.71725764168536</v>
      </c>
      <c r="S336" s="22">
        <f t="shared" si="35"/>
        <v>3.71725764168536</v>
      </c>
    </row>
    <row r="337" spans="1:19">
      <c r="A337" s="18" t="s">
        <v>376</v>
      </c>
      <c r="B337" s="18" t="s">
        <v>34</v>
      </c>
      <c r="C337" s="18" t="s">
        <v>48</v>
      </c>
      <c r="D337" s="19">
        <v>44892</v>
      </c>
      <c r="E337" s="20">
        <v>45495</v>
      </c>
      <c r="F337" s="21">
        <v>25032</v>
      </c>
      <c r="G337" s="21">
        <v>1083.2</v>
      </c>
      <c r="H337" s="21">
        <v>52.8</v>
      </c>
      <c r="I337" s="18">
        <v>1112.6559999999999</v>
      </c>
      <c r="J337" s="18">
        <v>2430.944</v>
      </c>
      <c r="K337" s="18" t="s">
        <v>30</v>
      </c>
      <c r="L337" s="18" t="s">
        <v>35</v>
      </c>
      <c r="M337" s="18" t="s">
        <v>24</v>
      </c>
      <c r="N337" s="22">
        <f t="shared" si="30"/>
        <v>4.3272611057846001E-2</v>
      </c>
      <c r="O337" s="22">
        <f t="shared" si="31"/>
        <v>4.8744460856720802E-2</v>
      </c>
      <c r="P337" s="23">
        <f t="shared" si="32"/>
        <v>1.02719350073855</v>
      </c>
      <c r="Q337" s="23">
        <f t="shared" si="33"/>
        <v>21.073030303030301</v>
      </c>
      <c r="R337" s="22">
        <f t="shared" si="34"/>
        <v>1.18481183762097</v>
      </c>
      <c r="S337" s="22">
        <f t="shared" si="35"/>
        <v>2.1848118376209702</v>
      </c>
    </row>
    <row r="338" spans="1:19">
      <c r="A338" s="18" t="s">
        <v>377</v>
      </c>
      <c r="B338" s="18" t="s">
        <v>28</v>
      </c>
      <c r="C338" s="18" t="s">
        <v>41</v>
      </c>
      <c r="D338" s="19">
        <v>44854</v>
      </c>
      <c r="E338" s="20">
        <v>45466</v>
      </c>
      <c r="F338" s="21">
        <v>50851.199999999997</v>
      </c>
      <c r="G338" s="21">
        <v>13233.6</v>
      </c>
      <c r="H338" s="21">
        <v>3785.6</v>
      </c>
      <c r="I338" s="18">
        <v>1606.16</v>
      </c>
      <c r="J338" s="18">
        <v>2146.1439999999998</v>
      </c>
      <c r="K338" s="18" t="s">
        <v>30</v>
      </c>
      <c r="L338" s="18" t="s">
        <v>44</v>
      </c>
      <c r="M338" s="18" t="s">
        <v>32</v>
      </c>
      <c r="N338" s="22">
        <f t="shared" si="30"/>
        <v>0.26024164621483897</v>
      </c>
      <c r="O338" s="22">
        <f t="shared" si="31"/>
        <v>0.286059726756136</v>
      </c>
      <c r="P338" s="23">
        <f t="shared" si="32"/>
        <v>0.121369846451457</v>
      </c>
      <c r="Q338" s="23">
        <f t="shared" si="33"/>
        <v>0.42428148774302599</v>
      </c>
      <c r="R338" s="22">
        <f t="shared" si="34"/>
        <v>0.33619564675997399</v>
      </c>
      <c r="S338" s="22">
        <f t="shared" si="35"/>
        <v>1.33619564675997</v>
      </c>
    </row>
    <row r="339" spans="1:19">
      <c r="A339" s="18" t="s">
        <v>378</v>
      </c>
      <c r="B339" s="18" t="s">
        <v>26</v>
      </c>
      <c r="C339" s="18" t="s">
        <v>41</v>
      </c>
      <c r="D339" s="19">
        <v>44987</v>
      </c>
      <c r="E339" s="20">
        <v>45615</v>
      </c>
      <c r="F339" s="21">
        <v>79657.600000000006</v>
      </c>
      <c r="G339" s="21">
        <v>46822.400000000001</v>
      </c>
      <c r="H339" s="21">
        <v>12369.6</v>
      </c>
      <c r="I339" s="18">
        <v>3612.32</v>
      </c>
      <c r="J339" s="18">
        <v>12427.44</v>
      </c>
      <c r="K339" s="18" t="s">
        <v>43</v>
      </c>
      <c r="L339" s="18" t="s">
        <v>23</v>
      </c>
      <c r="M339" s="18" t="s">
        <v>24</v>
      </c>
      <c r="N339" s="22">
        <f t="shared" si="30"/>
        <v>0.58779576587795801</v>
      </c>
      <c r="O339" s="22">
        <f t="shared" si="31"/>
        <v>0.26418124658283199</v>
      </c>
      <c r="P339" s="23">
        <f t="shared" si="32"/>
        <v>7.7149398578458206E-2</v>
      </c>
      <c r="Q339" s="23">
        <f t="shared" si="33"/>
        <v>0.29203207864441899</v>
      </c>
      <c r="R339" s="22">
        <f t="shared" si="34"/>
        <v>2.4402932187624602</v>
      </c>
      <c r="S339" s="22">
        <f t="shared" si="35"/>
        <v>3.4402932187624602</v>
      </c>
    </row>
    <row r="340" spans="1:19">
      <c r="A340" s="18" t="s">
        <v>379</v>
      </c>
      <c r="B340" s="18" t="s">
        <v>28</v>
      </c>
      <c r="C340" s="18" t="s">
        <v>29</v>
      </c>
      <c r="D340" s="19">
        <v>44789</v>
      </c>
      <c r="E340" s="20">
        <v>45396</v>
      </c>
      <c r="F340" s="21">
        <v>3736</v>
      </c>
      <c r="G340" s="21">
        <v>1296</v>
      </c>
      <c r="H340" s="21">
        <v>1244.8</v>
      </c>
      <c r="I340" s="18">
        <v>1746.816</v>
      </c>
      <c r="J340" s="18">
        <v>6476.6559999999999</v>
      </c>
      <c r="K340" s="18" t="s">
        <v>43</v>
      </c>
      <c r="L340" s="18" t="s">
        <v>31</v>
      </c>
      <c r="M340" s="18" t="s">
        <v>24</v>
      </c>
      <c r="N340" s="22">
        <f t="shared" si="30"/>
        <v>0.34689507494646699</v>
      </c>
      <c r="O340" s="22">
        <f t="shared" si="31"/>
        <v>0.96049382716049403</v>
      </c>
      <c r="P340" s="23">
        <f t="shared" si="32"/>
        <v>1.3478518518518501</v>
      </c>
      <c r="Q340" s="23">
        <f t="shared" si="33"/>
        <v>1.40329048843188</v>
      </c>
      <c r="R340" s="22">
        <f t="shared" si="34"/>
        <v>2.7076921667765799</v>
      </c>
      <c r="S340" s="22">
        <f t="shared" si="35"/>
        <v>3.7076921667765799</v>
      </c>
    </row>
    <row r="341" spans="1:19">
      <c r="A341" s="18" t="s">
        <v>380</v>
      </c>
      <c r="B341" s="18" t="s">
        <v>40</v>
      </c>
      <c r="C341" s="18" t="s">
        <v>29</v>
      </c>
      <c r="D341" s="19">
        <v>44693</v>
      </c>
      <c r="E341" s="20">
        <v>45308</v>
      </c>
      <c r="F341" s="21">
        <v>39680</v>
      </c>
      <c r="G341" s="21">
        <v>14705.6</v>
      </c>
      <c r="H341" s="21">
        <v>8780.7999999999993</v>
      </c>
      <c r="I341" s="18">
        <v>6171.616</v>
      </c>
      <c r="J341" s="18">
        <v>10052.992</v>
      </c>
      <c r="K341" s="18" t="s">
        <v>22</v>
      </c>
      <c r="L341" s="18" t="s">
        <v>23</v>
      </c>
      <c r="M341" s="18" t="s">
        <v>32</v>
      </c>
      <c r="N341" s="22">
        <f t="shared" si="30"/>
        <v>0.37060483870967698</v>
      </c>
      <c r="O341" s="22">
        <f t="shared" si="31"/>
        <v>0.59710586443259706</v>
      </c>
      <c r="P341" s="23">
        <f t="shared" si="32"/>
        <v>0.41967794581655998</v>
      </c>
      <c r="Q341" s="23">
        <f t="shared" si="33"/>
        <v>0.70285349854227397</v>
      </c>
      <c r="R341" s="22">
        <f t="shared" si="34"/>
        <v>0.62890756651094304</v>
      </c>
      <c r="S341" s="22">
        <f t="shared" si="35"/>
        <v>1.62890756651094</v>
      </c>
    </row>
    <row r="342" spans="1:19">
      <c r="A342" s="18" t="s">
        <v>381</v>
      </c>
      <c r="B342" s="18" t="s">
        <v>28</v>
      </c>
      <c r="C342" s="18" t="s">
        <v>29</v>
      </c>
      <c r="D342" s="19">
        <v>44955</v>
      </c>
      <c r="E342" s="20">
        <v>45570</v>
      </c>
      <c r="F342" s="21">
        <v>25496</v>
      </c>
      <c r="G342" s="21">
        <v>18920</v>
      </c>
      <c r="H342" s="21">
        <v>12704</v>
      </c>
      <c r="I342" s="18">
        <v>1359.9680000000001</v>
      </c>
      <c r="J342" s="18">
        <v>3956.2240000000002</v>
      </c>
      <c r="K342" s="18" t="s">
        <v>65</v>
      </c>
      <c r="L342" s="18" t="s">
        <v>50</v>
      </c>
      <c r="M342" s="18" t="s">
        <v>32</v>
      </c>
      <c r="N342" s="22">
        <f t="shared" si="30"/>
        <v>0.74207718857860105</v>
      </c>
      <c r="O342" s="22">
        <f t="shared" si="31"/>
        <v>0.67145877378435503</v>
      </c>
      <c r="P342" s="23">
        <f t="shared" si="32"/>
        <v>7.1879915433403802E-2</v>
      </c>
      <c r="Q342" s="23">
        <f t="shared" si="33"/>
        <v>0.107050377833753</v>
      </c>
      <c r="R342" s="22">
        <f t="shared" si="34"/>
        <v>1.90905668368668</v>
      </c>
      <c r="S342" s="22">
        <f t="shared" si="35"/>
        <v>2.90905668368667</v>
      </c>
    </row>
    <row r="343" spans="1:19">
      <c r="A343" s="18" t="s">
        <v>382</v>
      </c>
      <c r="B343" s="18" t="s">
        <v>28</v>
      </c>
      <c r="C343" s="18" t="s">
        <v>29</v>
      </c>
      <c r="D343" s="19">
        <v>44696</v>
      </c>
      <c r="E343" s="20">
        <v>45320</v>
      </c>
      <c r="F343" s="21">
        <v>35721.599999999999</v>
      </c>
      <c r="G343" s="21">
        <v>26836.799999999999</v>
      </c>
      <c r="H343" s="21">
        <v>5137.6000000000004</v>
      </c>
      <c r="I343" s="18">
        <v>7676.32</v>
      </c>
      <c r="J343" s="18">
        <v>29795.376</v>
      </c>
      <c r="K343" s="18" t="s">
        <v>38</v>
      </c>
      <c r="L343" s="18" t="s">
        <v>35</v>
      </c>
      <c r="M343" s="18" t="s">
        <v>24</v>
      </c>
      <c r="N343" s="22">
        <f t="shared" si="30"/>
        <v>0.75127653856490195</v>
      </c>
      <c r="O343" s="22">
        <f t="shared" si="31"/>
        <v>0.191438621594229</v>
      </c>
      <c r="P343" s="23">
        <f t="shared" si="32"/>
        <v>0.28603708340785799</v>
      </c>
      <c r="Q343" s="23">
        <f t="shared" si="33"/>
        <v>1.49414512612893</v>
      </c>
      <c r="R343" s="22">
        <f t="shared" si="34"/>
        <v>2.88146611918211</v>
      </c>
      <c r="S343" s="22">
        <f t="shared" si="35"/>
        <v>3.88146611918211</v>
      </c>
    </row>
    <row r="344" spans="1:19">
      <c r="A344" s="18" t="s">
        <v>383</v>
      </c>
      <c r="B344" s="18" t="s">
        <v>34</v>
      </c>
      <c r="C344" s="18" t="s">
        <v>29</v>
      </c>
      <c r="D344" s="19">
        <v>44853</v>
      </c>
      <c r="E344" s="20">
        <v>45465</v>
      </c>
      <c r="F344" s="21">
        <v>73075.199999999997</v>
      </c>
      <c r="G344" s="21">
        <v>12820.8</v>
      </c>
      <c r="H344" s="21">
        <v>9168</v>
      </c>
      <c r="I344" s="18">
        <v>7463.1840000000002</v>
      </c>
      <c r="J344" s="18">
        <v>21368.288</v>
      </c>
      <c r="K344" s="18" t="s">
        <v>65</v>
      </c>
      <c r="L344" s="18" t="s">
        <v>50</v>
      </c>
      <c r="M344" s="18" t="s">
        <v>32</v>
      </c>
      <c r="N344" s="22">
        <f t="shared" si="30"/>
        <v>0.175446663163426</v>
      </c>
      <c r="O344" s="22">
        <f t="shared" si="31"/>
        <v>0.71508798202920298</v>
      </c>
      <c r="P344" s="23">
        <f t="shared" si="32"/>
        <v>0.582115312616997</v>
      </c>
      <c r="Q344" s="23">
        <f t="shared" si="33"/>
        <v>0.81404712041884797</v>
      </c>
      <c r="R344" s="22">
        <f t="shared" si="34"/>
        <v>1.8631597452240201</v>
      </c>
      <c r="S344" s="22">
        <f t="shared" si="35"/>
        <v>2.8631597452240198</v>
      </c>
    </row>
    <row r="345" spans="1:19">
      <c r="A345" s="18" t="s">
        <v>384</v>
      </c>
      <c r="B345" s="18" t="s">
        <v>40</v>
      </c>
      <c r="C345" s="18" t="s">
        <v>41</v>
      </c>
      <c r="D345" s="19">
        <v>44930</v>
      </c>
      <c r="E345" s="20">
        <v>45545</v>
      </c>
      <c r="F345" s="21">
        <v>52355.199999999997</v>
      </c>
      <c r="G345" s="21">
        <v>38360</v>
      </c>
      <c r="H345" s="21">
        <v>9920</v>
      </c>
      <c r="I345" s="18">
        <v>6417.9520000000002</v>
      </c>
      <c r="J345" s="18">
        <v>21003.952000000001</v>
      </c>
      <c r="K345" s="18" t="s">
        <v>65</v>
      </c>
      <c r="L345" s="18" t="s">
        <v>31</v>
      </c>
      <c r="M345" s="18" t="s">
        <v>32</v>
      </c>
      <c r="N345" s="22">
        <f t="shared" si="30"/>
        <v>0.73268748853982002</v>
      </c>
      <c r="O345" s="22">
        <f t="shared" si="31"/>
        <v>0.25860271115745598</v>
      </c>
      <c r="P345" s="23">
        <f t="shared" si="32"/>
        <v>0.167308446298227</v>
      </c>
      <c r="Q345" s="23">
        <f t="shared" si="33"/>
        <v>0.64697096774193597</v>
      </c>
      <c r="R345" s="22">
        <f t="shared" si="34"/>
        <v>2.2726876112504399</v>
      </c>
      <c r="S345" s="22">
        <f t="shared" si="35"/>
        <v>3.2726876112504399</v>
      </c>
    </row>
    <row r="346" spans="1:19">
      <c r="A346" s="18" t="s">
        <v>385</v>
      </c>
      <c r="B346" s="18" t="s">
        <v>47</v>
      </c>
      <c r="C346" s="18" t="s">
        <v>41</v>
      </c>
      <c r="D346" s="19">
        <v>44743</v>
      </c>
      <c r="E346" s="20">
        <v>45360</v>
      </c>
      <c r="F346" s="21">
        <v>26649.599999999999</v>
      </c>
      <c r="G346" s="21">
        <v>25968</v>
      </c>
      <c r="H346" s="21">
        <v>11768</v>
      </c>
      <c r="I346" s="18">
        <v>1974.08</v>
      </c>
      <c r="J346" s="18">
        <v>6797.3919999999998</v>
      </c>
      <c r="K346" s="18" t="s">
        <v>65</v>
      </c>
      <c r="L346" s="18" t="s">
        <v>31</v>
      </c>
      <c r="M346" s="18" t="s">
        <v>24</v>
      </c>
      <c r="N346" s="22">
        <f t="shared" si="30"/>
        <v>0.97442363112391905</v>
      </c>
      <c r="O346" s="22">
        <f t="shared" si="31"/>
        <v>0.45317313616759097</v>
      </c>
      <c r="P346" s="23">
        <f t="shared" si="32"/>
        <v>7.6019716574245194E-2</v>
      </c>
      <c r="Q346" s="23">
        <f t="shared" si="33"/>
        <v>0.16774983004758701</v>
      </c>
      <c r="R346" s="22">
        <f t="shared" si="34"/>
        <v>2.44332144593937</v>
      </c>
      <c r="S346" s="22">
        <f t="shared" si="35"/>
        <v>3.44332144593937</v>
      </c>
    </row>
    <row r="347" spans="1:19">
      <c r="A347" s="18" t="s">
        <v>386</v>
      </c>
      <c r="B347" s="18" t="s">
        <v>26</v>
      </c>
      <c r="C347" s="18" t="s">
        <v>48</v>
      </c>
      <c r="D347" s="19">
        <v>44780</v>
      </c>
      <c r="E347" s="20">
        <v>45408</v>
      </c>
      <c r="F347" s="21">
        <v>16678.400000000001</v>
      </c>
      <c r="G347" s="21">
        <v>10441.6</v>
      </c>
      <c r="H347" s="21">
        <v>8161.6</v>
      </c>
      <c r="I347" s="18">
        <v>5709.2640000000001</v>
      </c>
      <c r="J347" s="18">
        <v>14054.56</v>
      </c>
      <c r="K347" s="18" t="s">
        <v>22</v>
      </c>
      <c r="L347" s="18" t="s">
        <v>31</v>
      </c>
      <c r="M347" s="18" t="s">
        <v>24</v>
      </c>
      <c r="N347" s="22">
        <f t="shared" si="30"/>
        <v>0.626055257099002</v>
      </c>
      <c r="O347" s="22">
        <f t="shared" si="31"/>
        <v>0.78164266012871597</v>
      </c>
      <c r="P347" s="23">
        <f t="shared" si="32"/>
        <v>0.54678057002758196</v>
      </c>
      <c r="Q347" s="23">
        <f t="shared" si="33"/>
        <v>0.69952754361889802</v>
      </c>
      <c r="R347" s="22">
        <f t="shared" si="34"/>
        <v>1.46171135193608</v>
      </c>
      <c r="S347" s="22">
        <f t="shared" si="35"/>
        <v>2.46171135193608</v>
      </c>
    </row>
    <row r="348" spans="1:19">
      <c r="A348" s="18" t="s">
        <v>387</v>
      </c>
      <c r="B348" s="18" t="s">
        <v>28</v>
      </c>
      <c r="C348" s="18" t="s">
        <v>29</v>
      </c>
      <c r="D348" s="19">
        <v>44698</v>
      </c>
      <c r="E348" s="20">
        <v>45309</v>
      </c>
      <c r="F348" s="21">
        <v>4980.8</v>
      </c>
      <c r="G348" s="21">
        <v>1929.6</v>
      </c>
      <c r="H348" s="21">
        <v>214.4</v>
      </c>
      <c r="I348" s="18">
        <v>1108.576</v>
      </c>
      <c r="J348" s="18">
        <v>3089.4079999999999</v>
      </c>
      <c r="K348" s="18" t="s">
        <v>30</v>
      </c>
      <c r="L348" s="18" t="s">
        <v>35</v>
      </c>
      <c r="M348" s="18" t="s">
        <v>24</v>
      </c>
      <c r="N348" s="22">
        <f t="shared" si="30"/>
        <v>0.38740764535817501</v>
      </c>
      <c r="O348" s="22">
        <f t="shared" si="31"/>
        <v>0.11111111111111099</v>
      </c>
      <c r="P348" s="23">
        <f t="shared" si="32"/>
        <v>0.57451077943615303</v>
      </c>
      <c r="Q348" s="23">
        <f t="shared" si="33"/>
        <v>5.1705970149253702</v>
      </c>
      <c r="R348" s="22">
        <f t="shared" si="34"/>
        <v>1.7868256213376399</v>
      </c>
      <c r="S348" s="22">
        <f t="shared" si="35"/>
        <v>2.7868256213376399</v>
      </c>
    </row>
    <row r="349" spans="1:19">
      <c r="A349" s="18" t="s">
        <v>388</v>
      </c>
      <c r="B349" s="18" t="s">
        <v>40</v>
      </c>
      <c r="C349" s="18" t="s">
        <v>48</v>
      </c>
      <c r="D349" s="19">
        <v>44970</v>
      </c>
      <c r="E349" s="20">
        <v>45589</v>
      </c>
      <c r="F349" s="21">
        <v>2201.6</v>
      </c>
      <c r="G349" s="21">
        <v>534.4</v>
      </c>
      <c r="H349" s="21">
        <v>41.6</v>
      </c>
      <c r="I349" s="18">
        <v>6972.6719999999996</v>
      </c>
      <c r="J349" s="18">
        <v>20561.263999999999</v>
      </c>
      <c r="K349" s="18" t="s">
        <v>30</v>
      </c>
      <c r="L349" s="18" t="s">
        <v>35</v>
      </c>
      <c r="M349" s="18" t="s">
        <v>24</v>
      </c>
      <c r="N349" s="22">
        <f t="shared" si="30"/>
        <v>0.24273255813953501</v>
      </c>
      <c r="O349" s="22">
        <f t="shared" si="31"/>
        <v>7.7844311377245498E-2</v>
      </c>
      <c r="P349" s="23">
        <f t="shared" si="32"/>
        <v>13.047664670658699</v>
      </c>
      <c r="Q349" s="23">
        <f t="shared" si="33"/>
        <v>167.61230769230801</v>
      </c>
      <c r="R349" s="22">
        <f t="shared" si="34"/>
        <v>1.9488356830781699</v>
      </c>
      <c r="S349" s="22">
        <f t="shared" si="35"/>
        <v>2.9488356830781699</v>
      </c>
    </row>
    <row r="350" spans="1:19">
      <c r="A350" s="18" t="s">
        <v>389</v>
      </c>
      <c r="B350" s="18" t="s">
        <v>34</v>
      </c>
      <c r="C350" s="18" t="s">
        <v>29</v>
      </c>
      <c r="D350" s="19">
        <v>44862</v>
      </c>
      <c r="E350" s="20">
        <v>45478</v>
      </c>
      <c r="F350" s="21">
        <v>13214.4</v>
      </c>
      <c r="G350" s="21">
        <v>9464</v>
      </c>
      <c r="H350" s="21">
        <v>7691.2</v>
      </c>
      <c r="I350" s="18">
        <v>5501.92</v>
      </c>
      <c r="J350" s="18">
        <v>10236.288</v>
      </c>
      <c r="K350" s="18" t="s">
        <v>30</v>
      </c>
      <c r="L350" s="18" t="s">
        <v>35</v>
      </c>
      <c r="M350" s="18" t="s">
        <v>24</v>
      </c>
      <c r="N350" s="22">
        <f t="shared" si="30"/>
        <v>0.71618840053275201</v>
      </c>
      <c r="O350" s="22">
        <f t="shared" si="31"/>
        <v>0.81267962806424299</v>
      </c>
      <c r="P350" s="23">
        <f t="shared" si="32"/>
        <v>0.58135249366018604</v>
      </c>
      <c r="Q350" s="23">
        <f t="shared" si="33"/>
        <v>0.71535261077595202</v>
      </c>
      <c r="R350" s="22">
        <f t="shared" si="34"/>
        <v>0.86049379125832404</v>
      </c>
      <c r="S350" s="22">
        <f t="shared" si="35"/>
        <v>1.8604937912583199</v>
      </c>
    </row>
    <row r="351" spans="1:19">
      <c r="A351" s="18" t="s">
        <v>390</v>
      </c>
      <c r="B351" s="18" t="s">
        <v>40</v>
      </c>
      <c r="C351" s="18" t="s">
        <v>48</v>
      </c>
      <c r="D351" s="19">
        <v>44980</v>
      </c>
      <c r="E351" s="20">
        <v>45582</v>
      </c>
      <c r="F351" s="21">
        <v>14667.2</v>
      </c>
      <c r="G351" s="21">
        <v>10886.4</v>
      </c>
      <c r="H351" s="21">
        <v>4710.3999999999996</v>
      </c>
      <c r="I351" s="18">
        <v>3368.3359999999998</v>
      </c>
      <c r="J351" s="18">
        <v>5847.5360000000001</v>
      </c>
      <c r="K351" s="18" t="s">
        <v>43</v>
      </c>
      <c r="L351" s="18" t="s">
        <v>23</v>
      </c>
      <c r="M351" s="18" t="s">
        <v>32</v>
      </c>
      <c r="N351" s="22">
        <f t="shared" si="30"/>
        <v>0.74222755536162299</v>
      </c>
      <c r="O351" s="22">
        <f t="shared" si="31"/>
        <v>0.43268665490887698</v>
      </c>
      <c r="P351" s="23">
        <f t="shared" si="32"/>
        <v>0.30940770135214601</v>
      </c>
      <c r="Q351" s="23">
        <f t="shared" si="33"/>
        <v>0.71508491847826094</v>
      </c>
      <c r="R351" s="22">
        <f t="shared" si="34"/>
        <v>0.73603108478489099</v>
      </c>
      <c r="S351" s="22">
        <f t="shared" si="35"/>
        <v>1.7360310847848901</v>
      </c>
    </row>
    <row r="352" spans="1:19">
      <c r="A352" s="18" t="s">
        <v>391</v>
      </c>
      <c r="B352" s="18" t="s">
        <v>40</v>
      </c>
      <c r="C352" s="18" t="s">
        <v>29</v>
      </c>
      <c r="D352" s="19">
        <v>44727</v>
      </c>
      <c r="E352" s="20">
        <v>45350</v>
      </c>
      <c r="F352" s="21">
        <v>19368</v>
      </c>
      <c r="G352" s="21">
        <v>8427.2000000000007</v>
      </c>
      <c r="H352" s="21">
        <v>6376</v>
      </c>
      <c r="I352" s="18">
        <v>3453.904</v>
      </c>
      <c r="J352" s="18">
        <v>4936.4960000000001</v>
      </c>
      <c r="K352" s="18" t="s">
        <v>30</v>
      </c>
      <c r="L352" s="18" t="s">
        <v>50</v>
      </c>
      <c r="M352" s="18" t="s">
        <v>24</v>
      </c>
      <c r="N352" s="22">
        <f t="shared" si="30"/>
        <v>0.43510945890128</v>
      </c>
      <c r="O352" s="22">
        <f t="shared" si="31"/>
        <v>0.75659768369090596</v>
      </c>
      <c r="P352" s="23">
        <f t="shared" si="32"/>
        <v>0.409851908107082</v>
      </c>
      <c r="Q352" s="23">
        <f t="shared" si="33"/>
        <v>0.54170388958594695</v>
      </c>
      <c r="R352" s="22">
        <f t="shared" si="34"/>
        <v>0.42925107356776598</v>
      </c>
      <c r="S352" s="22">
        <f t="shared" si="35"/>
        <v>1.4292510735677699</v>
      </c>
    </row>
    <row r="353" spans="1:19">
      <c r="A353" s="18" t="s">
        <v>392</v>
      </c>
      <c r="B353" s="18" t="s">
        <v>40</v>
      </c>
      <c r="C353" s="18" t="s">
        <v>41</v>
      </c>
      <c r="D353" s="19">
        <v>44736</v>
      </c>
      <c r="E353" s="20">
        <v>45359</v>
      </c>
      <c r="F353" s="21">
        <v>39252.800000000003</v>
      </c>
      <c r="G353" s="21">
        <v>6763.2</v>
      </c>
      <c r="H353" s="21">
        <v>6441.6</v>
      </c>
      <c r="I353" s="18">
        <v>5738.0640000000003</v>
      </c>
      <c r="J353" s="18">
        <v>17847.328000000001</v>
      </c>
      <c r="K353" s="18" t="s">
        <v>38</v>
      </c>
      <c r="L353" s="18" t="s">
        <v>23</v>
      </c>
      <c r="M353" s="18" t="s">
        <v>24</v>
      </c>
      <c r="N353" s="22">
        <f t="shared" si="30"/>
        <v>0.1722985366649</v>
      </c>
      <c r="O353" s="22">
        <f t="shared" si="31"/>
        <v>0.95244854506742405</v>
      </c>
      <c r="P353" s="23">
        <f t="shared" si="32"/>
        <v>0.84842441447835304</v>
      </c>
      <c r="Q353" s="23">
        <f t="shared" si="33"/>
        <v>0.890782414307004</v>
      </c>
      <c r="R353" s="22">
        <f t="shared" si="34"/>
        <v>2.11033965462916</v>
      </c>
      <c r="S353" s="22">
        <f t="shared" si="35"/>
        <v>3.11033965462916</v>
      </c>
    </row>
    <row r="354" spans="1:19">
      <c r="A354" s="18" t="s">
        <v>393</v>
      </c>
      <c r="B354" s="18" t="s">
        <v>26</v>
      </c>
      <c r="C354" s="18" t="s">
        <v>41</v>
      </c>
      <c r="D354" s="19">
        <v>44838</v>
      </c>
      <c r="E354" s="20">
        <v>45444</v>
      </c>
      <c r="F354" s="21">
        <v>24936</v>
      </c>
      <c r="G354" s="21">
        <v>4606.3999999999996</v>
      </c>
      <c r="H354" s="21">
        <v>2912</v>
      </c>
      <c r="I354" s="18">
        <v>4811.616</v>
      </c>
      <c r="J354" s="18">
        <v>7770</v>
      </c>
      <c r="K354" s="18" t="s">
        <v>30</v>
      </c>
      <c r="L354" s="18" t="s">
        <v>31</v>
      </c>
      <c r="M354" s="18" t="s">
        <v>32</v>
      </c>
      <c r="N354" s="22">
        <f t="shared" si="30"/>
        <v>0.18472890599935801</v>
      </c>
      <c r="O354" s="22">
        <f t="shared" si="31"/>
        <v>0.63216394581451896</v>
      </c>
      <c r="P354" s="23">
        <f t="shared" si="32"/>
        <v>1.0445501910385599</v>
      </c>
      <c r="Q354" s="23">
        <f t="shared" si="33"/>
        <v>1.65234065934066</v>
      </c>
      <c r="R354" s="22">
        <f t="shared" si="34"/>
        <v>0.61484208216116998</v>
      </c>
      <c r="S354" s="22">
        <f t="shared" si="35"/>
        <v>1.61484208216117</v>
      </c>
    </row>
    <row r="355" spans="1:19">
      <c r="A355" s="18" t="s">
        <v>394</v>
      </c>
      <c r="B355" s="18" t="s">
        <v>40</v>
      </c>
      <c r="C355" s="18" t="s">
        <v>21</v>
      </c>
      <c r="D355" s="19">
        <v>44827</v>
      </c>
      <c r="E355" s="20">
        <v>45429</v>
      </c>
      <c r="F355" s="21">
        <v>20502.400000000001</v>
      </c>
      <c r="G355" s="21">
        <v>4683.2</v>
      </c>
      <c r="H355" s="21">
        <v>956.8</v>
      </c>
      <c r="I355" s="18">
        <v>7049.76</v>
      </c>
      <c r="J355" s="18">
        <v>26903.119999999999</v>
      </c>
      <c r="K355" s="18" t="s">
        <v>38</v>
      </c>
      <c r="L355" s="18" t="s">
        <v>44</v>
      </c>
      <c r="M355" s="18" t="s">
        <v>24</v>
      </c>
      <c r="N355" s="22">
        <f t="shared" si="30"/>
        <v>0.22842203839550501</v>
      </c>
      <c r="O355" s="22">
        <f t="shared" si="31"/>
        <v>0.204304748889648</v>
      </c>
      <c r="P355" s="23">
        <f t="shared" si="32"/>
        <v>1.50532968910147</v>
      </c>
      <c r="Q355" s="23">
        <f t="shared" si="33"/>
        <v>7.3680602006689</v>
      </c>
      <c r="R355" s="22">
        <f t="shared" si="34"/>
        <v>2.81617530242164</v>
      </c>
      <c r="S355" s="22">
        <f t="shared" si="35"/>
        <v>3.81617530242164</v>
      </c>
    </row>
    <row r="356" spans="1:19">
      <c r="A356" s="18" t="s">
        <v>395</v>
      </c>
      <c r="B356" s="18" t="s">
        <v>20</v>
      </c>
      <c r="C356" s="18" t="s">
        <v>29</v>
      </c>
      <c r="D356" s="19">
        <v>44745</v>
      </c>
      <c r="E356" s="20">
        <v>45364</v>
      </c>
      <c r="F356" s="21">
        <v>77835.199999999997</v>
      </c>
      <c r="G356" s="21">
        <v>10998.4</v>
      </c>
      <c r="H356" s="21">
        <v>5718.4</v>
      </c>
      <c r="I356" s="18">
        <v>4064.3040000000001</v>
      </c>
      <c r="J356" s="18">
        <v>7520.96</v>
      </c>
      <c r="K356" s="18" t="s">
        <v>65</v>
      </c>
      <c r="L356" s="18" t="s">
        <v>50</v>
      </c>
      <c r="M356" s="18" t="s">
        <v>24</v>
      </c>
      <c r="N356" s="22">
        <f t="shared" si="30"/>
        <v>0.141303677513516</v>
      </c>
      <c r="O356" s="22">
        <f t="shared" si="31"/>
        <v>0.51993017166133304</v>
      </c>
      <c r="P356" s="23">
        <f t="shared" si="32"/>
        <v>0.36953593249927302</v>
      </c>
      <c r="Q356" s="23">
        <f t="shared" si="33"/>
        <v>0.71074146614437606</v>
      </c>
      <c r="R356" s="22">
        <f t="shared" si="34"/>
        <v>0.85049149866742202</v>
      </c>
      <c r="S356" s="22">
        <f t="shared" si="35"/>
        <v>1.8504914986674199</v>
      </c>
    </row>
    <row r="357" spans="1:19">
      <c r="A357" s="18" t="s">
        <v>396</v>
      </c>
      <c r="B357" s="18" t="s">
        <v>20</v>
      </c>
      <c r="C357" s="18" t="s">
        <v>21</v>
      </c>
      <c r="D357" s="19">
        <v>44788</v>
      </c>
      <c r="E357" s="20">
        <v>45399</v>
      </c>
      <c r="F357" s="21">
        <v>45886.400000000001</v>
      </c>
      <c r="G357" s="21">
        <v>36252.800000000003</v>
      </c>
      <c r="H357" s="21">
        <v>3281.6</v>
      </c>
      <c r="I357" s="18">
        <v>7688.6559999999999</v>
      </c>
      <c r="J357" s="18">
        <v>12864.128000000001</v>
      </c>
      <c r="K357" s="18" t="s">
        <v>38</v>
      </c>
      <c r="L357" s="18" t="s">
        <v>23</v>
      </c>
      <c r="M357" s="18" t="s">
        <v>24</v>
      </c>
      <c r="N357" s="22">
        <f t="shared" si="30"/>
        <v>0.79005544126364202</v>
      </c>
      <c r="O357" s="22">
        <f t="shared" si="31"/>
        <v>9.0519904669432397E-2</v>
      </c>
      <c r="P357" s="23">
        <f t="shared" si="32"/>
        <v>0.212084473475152</v>
      </c>
      <c r="Q357" s="23">
        <f t="shared" si="33"/>
        <v>2.34295953193564</v>
      </c>
      <c r="R357" s="22">
        <f t="shared" si="34"/>
        <v>0.67313090870498005</v>
      </c>
      <c r="S357" s="22">
        <f t="shared" si="35"/>
        <v>1.6731309087049799</v>
      </c>
    </row>
    <row r="358" spans="1:19">
      <c r="A358" s="18" t="s">
        <v>397</v>
      </c>
      <c r="B358" s="18" t="s">
        <v>20</v>
      </c>
      <c r="C358" s="18" t="s">
        <v>48</v>
      </c>
      <c r="D358" s="19">
        <v>44801</v>
      </c>
      <c r="E358" s="20">
        <v>45405</v>
      </c>
      <c r="F358" s="21">
        <v>5364.8</v>
      </c>
      <c r="G358" s="21">
        <v>3425.6</v>
      </c>
      <c r="H358" s="21">
        <v>2452.8000000000002</v>
      </c>
      <c r="I358" s="18">
        <v>5543.1679999999997</v>
      </c>
      <c r="J358" s="18">
        <v>14969.567999999999</v>
      </c>
      <c r="K358" s="18" t="s">
        <v>43</v>
      </c>
      <c r="L358" s="18" t="s">
        <v>31</v>
      </c>
      <c r="M358" s="18" t="s">
        <v>24</v>
      </c>
      <c r="N358" s="22">
        <f t="shared" si="30"/>
        <v>0.63853265732180098</v>
      </c>
      <c r="O358" s="22">
        <f t="shared" si="31"/>
        <v>0.71602055114432495</v>
      </c>
      <c r="P358" s="23">
        <f t="shared" si="32"/>
        <v>1.61815973843998</v>
      </c>
      <c r="Q358" s="23">
        <f t="shared" si="33"/>
        <v>2.2599347684279198</v>
      </c>
      <c r="R358" s="22">
        <f t="shared" si="34"/>
        <v>1.7005438045536401</v>
      </c>
      <c r="S358" s="22">
        <f t="shared" si="35"/>
        <v>2.7005438045536398</v>
      </c>
    </row>
    <row r="359" spans="1:19">
      <c r="A359" s="18" t="s">
        <v>398</v>
      </c>
      <c r="B359" s="18" t="s">
        <v>47</v>
      </c>
      <c r="C359" s="18" t="s">
        <v>48</v>
      </c>
      <c r="D359" s="19">
        <v>44838</v>
      </c>
      <c r="E359" s="20">
        <v>45459</v>
      </c>
      <c r="F359" s="21">
        <v>18107.2</v>
      </c>
      <c r="G359" s="21">
        <v>5635.2</v>
      </c>
      <c r="H359" s="21">
        <v>3974.4</v>
      </c>
      <c r="I359" s="18">
        <v>3335.7759999999998</v>
      </c>
      <c r="J359" s="18">
        <v>4780.848</v>
      </c>
      <c r="K359" s="18" t="s">
        <v>43</v>
      </c>
      <c r="L359" s="18" t="s">
        <v>44</v>
      </c>
      <c r="M359" s="18" t="s">
        <v>24</v>
      </c>
      <c r="N359" s="22">
        <f t="shared" si="30"/>
        <v>0.31121321905098498</v>
      </c>
      <c r="O359" s="22">
        <f t="shared" si="31"/>
        <v>0.70528109028960795</v>
      </c>
      <c r="P359" s="23">
        <f t="shared" si="32"/>
        <v>0.59195343554798396</v>
      </c>
      <c r="Q359" s="23">
        <f t="shared" si="33"/>
        <v>0.83931561996779402</v>
      </c>
      <c r="R359" s="22">
        <f t="shared" si="34"/>
        <v>0.43320414800034501</v>
      </c>
      <c r="S359" s="22">
        <f t="shared" si="35"/>
        <v>1.4332041480003499</v>
      </c>
    </row>
    <row r="360" spans="1:19">
      <c r="A360" s="18" t="s">
        <v>399</v>
      </c>
      <c r="B360" s="18" t="s">
        <v>40</v>
      </c>
      <c r="C360" s="18" t="s">
        <v>29</v>
      </c>
      <c r="D360" s="19">
        <v>44755</v>
      </c>
      <c r="E360" s="20">
        <v>45371</v>
      </c>
      <c r="F360" s="21">
        <v>69315.199999999997</v>
      </c>
      <c r="G360" s="21">
        <v>68747.199999999997</v>
      </c>
      <c r="H360" s="21">
        <v>33995.199999999997</v>
      </c>
      <c r="I360" s="18">
        <v>617.21600000000001</v>
      </c>
      <c r="J360" s="18">
        <v>1145.3920000000001</v>
      </c>
      <c r="K360" s="18" t="s">
        <v>30</v>
      </c>
      <c r="L360" s="18" t="s">
        <v>31</v>
      </c>
      <c r="M360" s="18" t="s">
        <v>24</v>
      </c>
      <c r="N360" s="22">
        <f t="shared" si="30"/>
        <v>0.99180554914362196</v>
      </c>
      <c r="O360" s="22">
        <f t="shared" si="31"/>
        <v>0.494495775827961</v>
      </c>
      <c r="P360" s="23">
        <f t="shared" si="32"/>
        <v>8.9780529243372806E-3</v>
      </c>
      <c r="Q360" s="23">
        <f t="shared" si="33"/>
        <v>1.8155974961170999E-2</v>
      </c>
      <c r="R360" s="22">
        <f t="shared" si="34"/>
        <v>0.85573931978432205</v>
      </c>
      <c r="S360" s="22">
        <f t="shared" si="35"/>
        <v>1.8557393197843199</v>
      </c>
    </row>
    <row r="361" spans="1:19">
      <c r="A361" s="18" t="s">
        <v>400</v>
      </c>
      <c r="B361" s="18" t="s">
        <v>34</v>
      </c>
      <c r="C361" s="18" t="s">
        <v>41</v>
      </c>
      <c r="D361" s="19">
        <v>44921</v>
      </c>
      <c r="E361" s="20">
        <v>45528</v>
      </c>
      <c r="F361" s="21">
        <v>51347.199999999997</v>
      </c>
      <c r="G361" s="21">
        <v>50790.400000000001</v>
      </c>
      <c r="H361" s="21">
        <v>7056</v>
      </c>
      <c r="I361" s="18">
        <v>6271.92</v>
      </c>
      <c r="J361" s="18">
        <v>10665.871999999999</v>
      </c>
      <c r="K361" s="18" t="s">
        <v>43</v>
      </c>
      <c r="L361" s="18" t="s">
        <v>50</v>
      </c>
      <c r="M361" s="18" t="s">
        <v>32</v>
      </c>
      <c r="N361" s="22">
        <f t="shared" si="30"/>
        <v>0.98915617599401695</v>
      </c>
      <c r="O361" s="22">
        <f t="shared" si="31"/>
        <v>0.138923891129032</v>
      </c>
      <c r="P361" s="23">
        <f t="shared" si="32"/>
        <v>0.123486328125</v>
      </c>
      <c r="Q361" s="23">
        <f t="shared" si="33"/>
        <v>0.888877551020408</v>
      </c>
      <c r="R361" s="22">
        <f t="shared" si="34"/>
        <v>0.70057526243957202</v>
      </c>
      <c r="S361" s="22">
        <f t="shared" si="35"/>
        <v>1.70057526243957</v>
      </c>
    </row>
    <row r="362" spans="1:19">
      <c r="A362" s="18" t="s">
        <v>401</v>
      </c>
      <c r="B362" s="18" t="s">
        <v>20</v>
      </c>
      <c r="C362" s="18" t="s">
        <v>21</v>
      </c>
      <c r="D362" s="19">
        <v>44977</v>
      </c>
      <c r="E362" s="20">
        <v>45592</v>
      </c>
      <c r="F362" s="21">
        <v>27980.799999999999</v>
      </c>
      <c r="G362" s="21">
        <v>6044.8</v>
      </c>
      <c r="H362" s="21">
        <v>3673.6</v>
      </c>
      <c r="I362" s="18">
        <v>976.64</v>
      </c>
      <c r="J362" s="18">
        <v>3126.96</v>
      </c>
      <c r="K362" s="18" t="s">
        <v>30</v>
      </c>
      <c r="L362" s="18" t="s">
        <v>44</v>
      </c>
      <c r="M362" s="18" t="s">
        <v>24</v>
      </c>
      <c r="N362" s="22">
        <f t="shared" si="30"/>
        <v>0.21603385178408099</v>
      </c>
      <c r="O362" s="22">
        <f t="shared" si="31"/>
        <v>0.60772895712016906</v>
      </c>
      <c r="P362" s="23">
        <f t="shared" si="32"/>
        <v>0.16156696664902101</v>
      </c>
      <c r="Q362" s="23">
        <f t="shared" si="33"/>
        <v>0.26585365853658499</v>
      </c>
      <c r="R362" s="22">
        <f t="shared" si="34"/>
        <v>2.2017529488859799</v>
      </c>
      <c r="S362" s="22">
        <f t="shared" si="35"/>
        <v>3.2017529488859799</v>
      </c>
    </row>
    <row r="363" spans="1:19">
      <c r="A363" s="18" t="s">
        <v>402</v>
      </c>
      <c r="B363" s="18" t="s">
        <v>34</v>
      </c>
      <c r="C363" s="18" t="s">
        <v>21</v>
      </c>
      <c r="D363" s="19">
        <v>44954</v>
      </c>
      <c r="E363" s="20">
        <v>45564</v>
      </c>
      <c r="F363" s="21">
        <v>76992</v>
      </c>
      <c r="G363" s="21">
        <v>43849.599999999999</v>
      </c>
      <c r="H363" s="21">
        <v>33814.400000000001</v>
      </c>
      <c r="I363" s="18">
        <v>2858.6080000000002</v>
      </c>
      <c r="J363" s="18">
        <v>8790.2720000000008</v>
      </c>
      <c r="K363" s="18" t="s">
        <v>22</v>
      </c>
      <c r="L363" s="18" t="s">
        <v>23</v>
      </c>
      <c r="M363" s="18" t="s">
        <v>24</v>
      </c>
      <c r="N363" s="22">
        <f t="shared" si="30"/>
        <v>0.56953449709060699</v>
      </c>
      <c r="O363" s="22">
        <f t="shared" si="31"/>
        <v>0.77114500474348702</v>
      </c>
      <c r="P363" s="23">
        <f t="shared" si="32"/>
        <v>6.5191199007516604E-2</v>
      </c>
      <c r="Q363" s="23">
        <f t="shared" si="33"/>
        <v>8.4538184915302406E-2</v>
      </c>
      <c r="R363" s="22">
        <f t="shared" si="34"/>
        <v>2.07501833060007</v>
      </c>
      <c r="S363" s="22">
        <f t="shared" si="35"/>
        <v>3.07501833060007</v>
      </c>
    </row>
    <row r="364" spans="1:19">
      <c r="A364" s="18" t="s">
        <v>403</v>
      </c>
      <c r="B364" s="18" t="s">
        <v>20</v>
      </c>
      <c r="C364" s="18" t="s">
        <v>29</v>
      </c>
      <c r="D364" s="19">
        <v>44792</v>
      </c>
      <c r="E364" s="20">
        <v>45400</v>
      </c>
      <c r="F364" s="21">
        <v>15744</v>
      </c>
      <c r="G364" s="21">
        <v>12332.8</v>
      </c>
      <c r="H364" s="21">
        <v>12120</v>
      </c>
      <c r="I364" s="18">
        <v>5805.36</v>
      </c>
      <c r="J364" s="18">
        <v>22399.776000000002</v>
      </c>
      <c r="K364" s="18" t="s">
        <v>22</v>
      </c>
      <c r="L364" s="18" t="s">
        <v>50</v>
      </c>
      <c r="M364" s="18" t="s">
        <v>24</v>
      </c>
      <c r="N364" s="22">
        <f t="shared" si="30"/>
        <v>0.78333333333333299</v>
      </c>
      <c r="O364" s="22">
        <f t="shared" si="31"/>
        <v>0.98274519979242303</v>
      </c>
      <c r="P364" s="23">
        <f t="shared" si="32"/>
        <v>0.47072522055007798</v>
      </c>
      <c r="Q364" s="23">
        <f t="shared" si="33"/>
        <v>0.47899009900990103</v>
      </c>
      <c r="R364" s="22">
        <f t="shared" si="34"/>
        <v>2.8584645913431701</v>
      </c>
      <c r="S364" s="22">
        <f t="shared" si="35"/>
        <v>3.8584645913431701</v>
      </c>
    </row>
    <row r="365" spans="1:19">
      <c r="A365" s="18" t="s">
        <v>404</v>
      </c>
      <c r="B365" s="18" t="s">
        <v>34</v>
      </c>
      <c r="C365" s="18" t="s">
        <v>21</v>
      </c>
      <c r="D365" s="19">
        <v>44933</v>
      </c>
      <c r="E365" s="20">
        <v>45556</v>
      </c>
      <c r="F365" s="21">
        <v>10609.6</v>
      </c>
      <c r="G365" s="21">
        <v>1540.8</v>
      </c>
      <c r="H365" s="21">
        <v>960</v>
      </c>
      <c r="I365" s="18">
        <v>918.25599999999997</v>
      </c>
      <c r="J365" s="18">
        <v>1530.8</v>
      </c>
      <c r="K365" s="18" t="s">
        <v>30</v>
      </c>
      <c r="L365" s="18" t="s">
        <v>31</v>
      </c>
      <c r="M365" s="18" t="s">
        <v>24</v>
      </c>
      <c r="N365" s="22">
        <f t="shared" si="30"/>
        <v>0.14522696425878401</v>
      </c>
      <c r="O365" s="22">
        <f t="shared" si="31"/>
        <v>0.62305295950155803</v>
      </c>
      <c r="P365" s="23">
        <f t="shared" si="32"/>
        <v>0.59596053997923204</v>
      </c>
      <c r="Q365" s="23">
        <f t="shared" si="33"/>
        <v>0.95651666666666701</v>
      </c>
      <c r="R365" s="22">
        <f t="shared" si="34"/>
        <v>0.66707323447927402</v>
      </c>
      <c r="S365" s="22">
        <f t="shared" si="35"/>
        <v>1.66707323447927</v>
      </c>
    </row>
    <row r="366" spans="1:19">
      <c r="A366" s="18" t="s">
        <v>405</v>
      </c>
      <c r="B366" s="18" t="s">
        <v>28</v>
      </c>
      <c r="C366" s="18" t="s">
        <v>21</v>
      </c>
      <c r="D366" s="19">
        <v>44842</v>
      </c>
      <c r="E366" s="20">
        <v>45450</v>
      </c>
      <c r="F366" s="21">
        <v>66619.199999999997</v>
      </c>
      <c r="G366" s="21">
        <v>33595.199999999997</v>
      </c>
      <c r="H366" s="21">
        <v>26640</v>
      </c>
      <c r="I366" s="18">
        <v>6814.4480000000003</v>
      </c>
      <c r="J366" s="18">
        <v>12383.456</v>
      </c>
      <c r="K366" s="18" t="s">
        <v>65</v>
      </c>
      <c r="L366" s="18" t="s">
        <v>50</v>
      </c>
      <c r="M366" s="18" t="s">
        <v>24</v>
      </c>
      <c r="N366" s="22">
        <f t="shared" si="30"/>
        <v>0.50428705238129501</v>
      </c>
      <c r="O366" s="22">
        <f t="shared" si="31"/>
        <v>0.79297042434633502</v>
      </c>
      <c r="P366" s="23">
        <f t="shared" si="32"/>
        <v>0.20283992951374</v>
      </c>
      <c r="Q366" s="23">
        <f t="shared" si="33"/>
        <v>0.25579759759759801</v>
      </c>
      <c r="R366" s="22">
        <f t="shared" si="34"/>
        <v>0.81723537988696904</v>
      </c>
      <c r="S366" s="22">
        <f t="shared" si="35"/>
        <v>1.81723537988697</v>
      </c>
    </row>
    <row r="367" spans="1:19">
      <c r="A367" s="18" t="s">
        <v>406</v>
      </c>
      <c r="B367" s="18" t="s">
        <v>28</v>
      </c>
      <c r="C367" s="18" t="s">
        <v>41</v>
      </c>
      <c r="D367" s="19">
        <v>44975</v>
      </c>
      <c r="E367" s="20">
        <v>45595</v>
      </c>
      <c r="F367" s="21">
        <v>44902.400000000001</v>
      </c>
      <c r="G367" s="21">
        <v>35224</v>
      </c>
      <c r="H367" s="21">
        <v>33369.599999999999</v>
      </c>
      <c r="I367" s="18">
        <v>5171.5200000000004</v>
      </c>
      <c r="J367" s="18">
        <v>14222.784</v>
      </c>
      <c r="K367" s="18" t="s">
        <v>65</v>
      </c>
      <c r="L367" s="18" t="s">
        <v>23</v>
      </c>
      <c r="M367" s="18" t="s">
        <v>32</v>
      </c>
      <c r="N367" s="22">
        <f t="shared" si="30"/>
        <v>0.78445695553021699</v>
      </c>
      <c r="O367" s="22">
        <f t="shared" si="31"/>
        <v>0.94735407676584105</v>
      </c>
      <c r="P367" s="23">
        <f t="shared" si="32"/>
        <v>0.14681807858278401</v>
      </c>
      <c r="Q367" s="23">
        <f t="shared" si="33"/>
        <v>0.15497698504027599</v>
      </c>
      <c r="R367" s="22">
        <f t="shared" si="34"/>
        <v>1.75021347688881</v>
      </c>
      <c r="S367" s="22">
        <f t="shared" si="35"/>
        <v>2.7502134768888098</v>
      </c>
    </row>
    <row r="368" spans="1:19">
      <c r="A368" s="18" t="s">
        <v>407</v>
      </c>
      <c r="B368" s="18" t="s">
        <v>26</v>
      </c>
      <c r="C368" s="18" t="s">
        <v>41</v>
      </c>
      <c r="D368" s="19">
        <v>44857</v>
      </c>
      <c r="E368" s="20">
        <v>45464</v>
      </c>
      <c r="F368" s="21">
        <v>9857.6</v>
      </c>
      <c r="G368" s="21">
        <v>6065.6</v>
      </c>
      <c r="H368" s="21">
        <v>2750.4</v>
      </c>
      <c r="I368" s="18">
        <v>1085.5999999999999</v>
      </c>
      <c r="J368" s="18">
        <v>1799.5039999999999</v>
      </c>
      <c r="K368" s="18" t="s">
        <v>38</v>
      </c>
      <c r="L368" s="18" t="s">
        <v>44</v>
      </c>
      <c r="M368" s="18" t="s">
        <v>32</v>
      </c>
      <c r="N368" s="22">
        <f t="shared" si="30"/>
        <v>0.61532218795650095</v>
      </c>
      <c r="O368" s="22">
        <f t="shared" si="31"/>
        <v>0.45344236349248201</v>
      </c>
      <c r="P368" s="23">
        <f t="shared" si="32"/>
        <v>0.17897652334476399</v>
      </c>
      <c r="Q368" s="23">
        <f t="shared" si="33"/>
        <v>0.39470622454915599</v>
      </c>
      <c r="R368" s="22">
        <f t="shared" si="34"/>
        <v>0.65761238025055302</v>
      </c>
      <c r="S368" s="22">
        <f t="shared" si="35"/>
        <v>1.65761238025055</v>
      </c>
    </row>
    <row r="369" spans="1:19">
      <c r="A369" s="18" t="s">
        <v>408</v>
      </c>
      <c r="B369" s="18" t="s">
        <v>34</v>
      </c>
      <c r="C369" s="18" t="s">
        <v>48</v>
      </c>
      <c r="D369" s="19">
        <v>44854</v>
      </c>
      <c r="E369" s="20">
        <v>45481</v>
      </c>
      <c r="F369" s="21">
        <v>27795.200000000001</v>
      </c>
      <c r="G369" s="21">
        <v>11857.6</v>
      </c>
      <c r="H369" s="21">
        <v>1270.4000000000001</v>
      </c>
      <c r="I369" s="18">
        <v>6002.5280000000002</v>
      </c>
      <c r="J369" s="18">
        <v>8206.0159999999996</v>
      </c>
      <c r="K369" s="18" t="s">
        <v>43</v>
      </c>
      <c r="L369" s="18" t="s">
        <v>31</v>
      </c>
      <c r="M369" s="18" t="s">
        <v>24</v>
      </c>
      <c r="N369" s="22">
        <f t="shared" si="30"/>
        <v>0.42660603269629299</v>
      </c>
      <c r="O369" s="22">
        <f t="shared" si="31"/>
        <v>0.107138038051545</v>
      </c>
      <c r="P369" s="23">
        <f t="shared" si="32"/>
        <v>0.50621778437457798</v>
      </c>
      <c r="Q369" s="23">
        <f t="shared" si="33"/>
        <v>4.7249118387909297</v>
      </c>
      <c r="R369" s="22">
        <f t="shared" si="34"/>
        <v>0.36709333134306099</v>
      </c>
      <c r="S369" s="22">
        <f t="shared" si="35"/>
        <v>1.36709333134306</v>
      </c>
    </row>
    <row r="370" spans="1:19">
      <c r="A370" s="18" t="s">
        <v>409</v>
      </c>
      <c r="B370" s="18" t="s">
        <v>28</v>
      </c>
      <c r="C370" s="18" t="s">
        <v>29</v>
      </c>
      <c r="D370" s="19">
        <v>44738</v>
      </c>
      <c r="E370" s="20">
        <v>45367</v>
      </c>
      <c r="F370" s="21">
        <v>24984</v>
      </c>
      <c r="G370" s="21">
        <v>21886.400000000001</v>
      </c>
      <c r="H370" s="21">
        <v>21473.599999999999</v>
      </c>
      <c r="I370" s="18">
        <v>786.68799999999999</v>
      </c>
      <c r="J370" s="18">
        <v>1104.4960000000001</v>
      </c>
      <c r="K370" s="18" t="s">
        <v>38</v>
      </c>
      <c r="L370" s="18" t="s">
        <v>44</v>
      </c>
      <c r="M370" s="18" t="s">
        <v>32</v>
      </c>
      <c r="N370" s="22">
        <f t="shared" si="30"/>
        <v>0.87601665065641998</v>
      </c>
      <c r="O370" s="22">
        <f t="shared" si="31"/>
        <v>0.98113897214708701</v>
      </c>
      <c r="P370" s="23">
        <f t="shared" si="32"/>
        <v>3.5944147964032502E-2</v>
      </c>
      <c r="Q370" s="23">
        <f t="shared" si="33"/>
        <v>3.6635124059309999E-2</v>
      </c>
      <c r="R370" s="22">
        <f t="shared" si="34"/>
        <v>0.40398226488773198</v>
      </c>
      <c r="S370" s="22">
        <f t="shared" si="35"/>
        <v>1.40398226488773</v>
      </c>
    </row>
    <row r="371" spans="1:19">
      <c r="A371" s="18" t="s">
        <v>410</v>
      </c>
      <c r="B371" s="18" t="s">
        <v>20</v>
      </c>
      <c r="C371" s="18" t="s">
        <v>29</v>
      </c>
      <c r="D371" s="19">
        <v>44734</v>
      </c>
      <c r="E371" s="20">
        <v>45340</v>
      </c>
      <c r="F371" s="21">
        <v>21331.200000000001</v>
      </c>
      <c r="G371" s="21">
        <v>7622.4</v>
      </c>
      <c r="H371" s="21">
        <v>3937.6</v>
      </c>
      <c r="I371" s="18">
        <v>1643.04</v>
      </c>
      <c r="J371" s="18">
        <v>4612.08</v>
      </c>
      <c r="K371" s="18" t="s">
        <v>38</v>
      </c>
      <c r="L371" s="18" t="s">
        <v>23</v>
      </c>
      <c r="M371" s="18" t="s">
        <v>24</v>
      </c>
      <c r="N371" s="22">
        <f t="shared" si="30"/>
        <v>0.35733573357335702</v>
      </c>
      <c r="O371" s="22">
        <f t="shared" si="31"/>
        <v>0.51658270361041103</v>
      </c>
      <c r="P371" s="23">
        <f t="shared" si="32"/>
        <v>0.21555415617128501</v>
      </c>
      <c r="Q371" s="23">
        <f t="shared" si="33"/>
        <v>0.41726940268183699</v>
      </c>
      <c r="R371" s="22">
        <f t="shared" si="34"/>
        <v>1.8070406076540999</v>
      </c>
      <c r="S371" s="22">
        <f t="shared" si="35"/>
        <v>2.8070406076541001</v>
      </c>
    </row>
    <row r="372" spans="1:19">
      <c r="A372" s="18" t="s">
        <v>411</v>
      </c>
      <c r="B372" s="18" t="s">
        <v>28</v>
      </c>
      <c r="C372" s="18" t="s">
        <v>48</v>
      </c>
      <c r="D372" s="19">
        <v>44870</v>
      </c>
      <c r="E372" s="20">
        <v>45483</v>
      </c>
      <c r="F372" s="21">
        <v>79051.199999999997</v>
      </c>
      <c r="G372" s="21">
        <v>11817.6</v>
      </c>
      <c r="H372" s="21">
        <v>8209.6</v>
      </c>
      <c r="I372" s="18">
        <v>7761.2</v>
      </c>
      <c r="J372" s="18">
        <v>30676</v>
      </c>
      <c r="K372" s="18" t="s">
        <v>43</v>
      </c>
      <c r="L372" s="18" t="s">
        <v>31</v>
      </c>
      <c r="M372" s="18" t="s">
        <v>24</v>
      </c>
      <c r="N372" s="22">
        <f t="shared" si="30"/>
        <v>0.149492986823729</v>
      </c>
      <c r="O372" s="22">
        <f t="shared" si="31"/>
        <v>0.69469266179258105</v>
      </c>
      <c r="P372" s="23">
        <f t="shared" si="32"/>
        <v>0.65674925534795603</v>
      </c>
      <c r="Q372" s="23">
        <f t="shared" si="33"/>
        <v>0.94538101734554703</v>
      </c>
      <c r="R372" s="22">
        <f t="shared" si="34"/>
        <v>2.9524815750141702</v>
      </c>
      <c r="S372" s="22">
        <f t="shared" si="35"/>
        <v>3.9524815750141702</v>
      </c>
    </row>
    <row r="373" spans="1:19">
      <c r="A373" s="18" t="s">
        <v>412</v>
      </c>
      <c r="B373" s="18" t="s">
        <v>47</v>
      </c>
      <c r="C373" s="18" t="s">
        <v>41</v>
      </c>
      <c r="D373" s="19">
        <v>44930</v>
      </c>
      <c r="E373" s="20">
        <v>45560</v>
      </c>
      <c r="F373" s="21">
        <v>56440</v>
      </c>
      <c r="G373" s="21">
        <v>13907.2</v>
      </c>
      <c r="H373" s="21">
        <v>1628.8</v>
      </c>
      <c r="I373" s="18">
        <v>5894.1279999999997</v>
      </c>
      <c r="J373" s="18">
        <v>17031.168000000001</v>
      </c>
      <c r="K373" s="18" t="s">
        <v>65</v>
      </c>
      <c r="L373" s="18" t="s">
        <v>31</v>
      </c>
      <c r="M373" s="18" t="s">
        <v>24</v>
      </c>
      <c r="N373" s="22">
        <f t="shared" si="30"/>
        <v>0.24640680368532999</v>
      </c>
      <c r="O373" s="22">
        <f t="shared" si="31"/>
        <v>0.117119190059825</v>
      </c>
      <c r="P373" s="23">
        <f t="shared" si="32"/>
        <v>0.42381845375057497</v>
      </c>
      <c r="Q373" s="23">
        <f t="shared" si="33"/>
        <v>3.6186935166994099</v>
      </c>
      <c r="R373" s="22">
        <f t="shared" si="34"/>
        <v>1.8895144455634501</v>
      </c>
      <c r="S373" s="22">
        <f t="shared" si="35"/>
        <v>2.8895144455634498</v>
      </c>
    </row>
    <row r="374" spans="1:19">
      <c r="A374" s="18" t="s">
        <v>413</v>
      </c>
      <c r="B374" s="18" t="s">
        <v>26</v>
      </c>
      <c r="C374" s="18" t="s">
        <v>21</v>
      </c>
      <c r="D374" s="19">
        <v>44891</v>
      </c>
      <c r="E374" s="20">
        <v>45517</v>
      </c>
      <c r="F374" s="21">
        <v>57076.800000000003</v>
      </c>
      <c r="G374" s="21">
        <v>17854.400000000001</v>
      </c>
      <c r="H374" s="21">
        <v>16328</v>
      </c>
      <c r="I374" s="18">
        <v>6988.5439999999999</v>
      </c>
      <c r="J374" s="18">
        <v>20413.312000000002</v>
      </c>
      <c r="K374" s="18" t="s">
        <v>38</v>
      </c>
      <c r="L374" s="18" t="s">
        <v>35</v>
      </c>
      <c r="M374" s="18" t="s">
        <v>24</v>
      </c>
      <c r="N374" s="22">
        <f t="shared" si="30"/>
        <v>0.31281361253609202</v>
      </c>
      <c r="O374" s="22">
        <f t="shared" si="31"/>
        <v>0.91450846850076195</v>
      </c>
      <c r="P374" s="23">
        <f t="shared" si="32"/>
        <v>0.391418585894793</v>
      </c>
      <c r="Q374" s="23">
        <f t="shared" si="33"/>
        <v>0.42800979911807902</v>
      </c>
      <c r="R374" s="22">
        <f t="shared" si="34"/>
        <v>1.92096780101835</v>
      </c>
      <c r="S374" s="22">
        <f t="shared" si="35"/>
        <v>2.92096780101835</v>
      </c>
    </row>
    <row r="375" spans="1:19">
      <c r="A375" s="18" t="s">
        <v>414</v>
      </c>
      <c r="B375" s="18" t="s">
        <v>40</v>
      </c>
      <c r="C375" s="18" t="s">
        <v>29</v>
      </c>
      <c r="D375" s="19">
        <v>44711</v>
      </c>
      <c r="E375" s="20">
        <v>45336</v>
      </c>
      <c r="F375" s="21">
        <v>13084.8</v>
      </c>
      <c r="G375" s="21">
        <v>2329.6</v>
      </c>
      <c r="H375" s="21">
        <v>1059.2</v>
      </c>
      <c r="I375" s="18">
        <v>466.928</v>
      </c>
      <c r="J375" s="18">
        <v>1861.28</v>
      </c>
      <c r="K375" s="18" t="s">
        <v>22</v>
      </c>
      <c r="L375" s="18" t="s">
        <v>35</v>
      </c>
      <c r="M375" s="18" t="s">
        <v>24</v>
      </c>
      <c r="N375" s="22">
        <f t="shared" si="30"/>
        <v>0.17803864025434099</v>
      </c>
      <c r="O375" s="22">
        <f t="shared" si="31"/>
        <v>0.45467032967033</v>
      </c>
      <c r="P375" s="23">
        <f t="shared" si="32"/>
        <v>0.20043269230769201</v>
      </c>
      <c r="Q375" s="23">
        <f t="shared" si="33"/>
        <v>0.44083081570997001</v>
      </c>
      <c r="R375" s="22">
        <f t="shared" si="34"/>
        <v>2.9862248569372598</v>
      </c>
      <c r="S375" s="22">
        <f t="shared" si="35"/>
        <v>3.9862248569372598</v>
      </c>
    </row>
    <row r="376" spans="1:19">
      <c r="A376" s="18" t="s">
        <v>415</v>
      </c>
      <c r="B376" s="18" t="s">
        <v>20</v>
      </c>
      <c r="C376" s="18" t="s">
        <v>48</v>
      </c>
      <c r="D376" s="19">
        <v>44751</v>
      </c>
      <c r="E376" s="20">
        <v>45377</v>
      </c>
      <c r="F376" s="21">
        <v>33556.800000000003</v>
      </c>
      <c r="G376" s="21">
        <v>32724.799999999999</v>
      </c>
      <c r="H376" s="21">
        <v>30491.200000000001</v>
      </c>
      <c r="I376" s="18">
        <v>6334.2560000000003</v>
      </c>
      <c r="J376" s="18">
        <v>19060.031999999999</v>
      </c>
      <c r="K376" s="18" t="s">
        <v>30</v>
      </c>
      <c r="L376" s="18" t="s">
        <v>50</v>
      </c>
      <c r="M376" s="18" t="s">
        <v>24</v>
      </c>
      <c r="N376" s="22">
        <f t="shared" si="30"/>
        <v>0.97520621751776104</v>
      </c>
      <c r="O376" s="22">
        <f t="shared" si="31"/>
        <v>0.93174595413875705</v>
      </c>
      <c r="P376" s="23">
        <f t="shared" si="32"/>
        <v>0.19356133574536699</v>
      </c>
      <c r="Q376" s="23">
        <f t="shared" si="33"/>
        <v>0.20774046282205999</v>
      </c>
      <c r="R376" s="22">
        <f t="shared" si="34"/>
        <v>2.00904036717177</v>
      </c>
      <c r="S376" s="22">
        <f t="shared" si="35"/>
        <v>3.00904036717177</v>
      </c>
    </row>
    <row r="377" spans="1:19">
      <c r="A377" s="18" t="s">
        <v>416</v>
      </c>
      <c r="B377" s="18" t="s">
        <v>20</v>
      </c>
      <c r="C377" s="18" t="s">
        <v>29</v>
      </c>
      <c r="D377" s="19">
        <v>44788</v>
      </c>
      <c r="E377" s="20">
        <v>45396</v>
      </c>
      <c r="F377" s="21">
        <v>18694.400000000001</v>
      </c>
      <c r="G377" s="21">
        <v>13067.2</v>
      </c>
      <c r="H377" s="21">
        <v>12476.8</v>
      </c>
      <c r="I377" s="18">
        <v>4082.88</v>
      </c>
      <c r="J377" s="18">
        <v>14781.44</v>
      </c>
      <c r="K377" s="18" t="s">
        <v>43</v>
      </c>
      <c r="L377" s="18" t="s">
        <v>35</v>
      </c>
      <c r="M377" s="18" t="s">
        <v>24</v>
      </c>
      <c r="N377" s="22">
        <f t="shared" si="30"/>
        <v>0.69899007189318696</v>
      </c>
      <c r="O377" s="22">
        <f t="shared" si="31"/>
        <v>0.95481817068691099</v>
      </c>
      <c r="P377" s="23">
        <f t="shared" si="32"/>
        <v>0.31245255295702201</v>
      </c>
      <c r="Q377" s="23">
        <f t="shared" si="33"/>
        <v>0.32723775327006899</v>
      </c>
      <c r="R377" s="22">
        <f t="shared" si="34"/>
        <v>2.6203464221333999</v>
      </c>
      <c r="S377" s="22">
        <f t="shared" si="35"/>
        <v>3.6203464221333999</v>
      </c>
    </row>
    <row r="378" spans="1:19">
      <c r="A378" s="18" t="s">
        <v>417</v>
      </c>
      <c r="B378" s="18" t="s">
        <v>40</v>
      </c>
      <c r="C378" s="18" t="s">
        <v>29</v>
      </c>
      <c r="D378" s="19">
        <v>44773</v>
      </c>
      <c r="E378" s="20">
        <v>45387</v>
      </c>
      <c r="F378" s="21">
        <v>51920</v>
      </c>
      <c r="G378" s="21">
        <v>33595.199999999997</v>
      </c>
      <c r="H378" s="21">
        <v>16376</v>
      </c>
      <c r="I378" s="18">
        <v>2586.48</v>
      </c>
      <c r="J378" s="18">
        <v>5378.7839999999997</v>
      </c>
      <c r="K378" s="18" t="s">
        <v>30</v>
      </c>
      <c r="L378" s="18" t="s">
        <v>44</v>
      </c>
      <c r="M378" s="18" t="s">
        <v>32</v>
      </c>
      <c r="N378" s="22">
        <f t="shared" si="30"/>
        <v>0.647057010785824</v>
      </c>
      <c r="O378" s="22">
        <f t="shared" si="31"/>
        <v>0.48745058817926401</v>
      </c>
      <c r="P378" s="23">
        <f t="shared" si="32"/>
        <v>7.6989569938562694E-2</v>
      </c>
      <c r="Q378" s="23">
        <f t="shared" si="33"/>
        <v>0.15794333170493399</v>
      </c>
      <c r="R378" s="22">
        <f t="shared" si="34"/>
        <v>1.0795768766818199</v>
      </c>
      <c r="S378" s="22">
        <f t="shared" si="35"/>
        <v>2.0795768766818199</v>
      </c>
    </row>
    <row r="379" spans="1:19">
      <c r="A379" s="18" t="s">
        <v>418</v>
      </c>
      <c r="B379" s="18" t="s">
        <v>40</v>
      </c>
      <c r="C379" s="18" t="s">
        <v>41</v>
      </c>
      <c r="D379" s="19">
        <v>44697</v>
      </c>
      <c r="E379" s="20">
        <v>45327</v>
      </c>
      <c r="F379" s="21">
        <v>11385.6</v>
      </c>
      <c r="G379" s="21">
        <v>1265.5999999999999</v>
      </c>
      <c r="H379" s="21">
        <v>414.4</v>
      </c>
      <c r="I379" s="18">
        <v>6841.3440000000001</v>
      </c>
      <c r="J379" s="18">
        <v>17317.12</v>
      </c>
      <c r="K379" s="18" t="s">
        <v>22</v>
      </c>
      <c r="L379" s="18" t="s">
        <v>35</v>
      </c>
      <c r="M379" s="18" t="s">
        <v>24</v>
      </c>
      <c r="N379" s="22">
        <f t="shared" si="30"/>
        <v>0.11115795390668901</v>
      </c>
      <c r="O379" s="22">
        <f t="shared" si="31"/>
        <v>0.32743362831858402</v>
      </c>
      <c r="P379" s="23">
        <f t="shared" si="32"/>
        <v>5.4056131479140301</v>
      </c>
      <c r="Q379" s="23">
        <f t="shared" si="33"/>
        <v>16.5090347490348</v>
      </c>
      <c r="R379" s="22">
        <f t="shared" si="34"/>
        <v>1.5312453225564999</v>
      </c>
      <c r="S379" s="22">
        <f t="shared" si="35"/>
        <v>2.5312453225564999</v>
      </c>
    </row>
    <row r="380" spans="1:19">
      <c r="A380" s="18" t="s">
        <v>419</v>
      </c>
      <c r="B380" s="18" t="s">
        <v>20</v>
      </c>
      <c r="C380" s="18" t="s">
        <v>29</v>
      </c>
      <c r="D380" s="19">
        <v>44874</v>
      </c>
      <c r="E380" s="20">
        <v>45498</v>
      </c>
      <c r="F380" s="21">
        <v>2873.6</v>
      </c>
      <c r="G380" s="21">
        <v>1689.6</v>
      </c>
      <c r="H380" s="21">
        <v>32</v>
      </c>
      <c r="I380" s="18">
        <v>7047.7439999999997</v>
      </c>
      <c r="J380" s="18">
        <v>18586.576000000001</v>
      </c>
      <c r="K380" s="18" t="s">
        <v>43</v>
      </c>
      <c r="L380" s="18" t="s">
        <v>23</v>
      </c>
      <c r="M380" s="18" t="s">
        <v>24</v>
      </c>
      <c r="N380" s="22">
        <f t="shared" si="30"/>
        <v>0.58797327394209398</v>
      </c>
      <c r="O380" s="22">
        <f t="shared" si="31"/>
        <v>1.8939393939393898E-2</v>
      </c>
      <c r="P380" s="23">
        <f t="shared" si="32"/>
        <v>4.1712499999999997</v>
      </c>
      <c r="Q380" s="23">
        <f t="shared" si="33"/>
        <v>220.24199999999999</v>
      </c>
      <c r="R380" s="22">
        <f t="shared" si="34"/>
        <v>1.6372376749212201</v>
      </c>
      <c r="S380" s="22">
        <f t="shared" si="35"/>
        <v>2.6372376749212201</v>
      </c>
    </row>
    <row r="381" spans="1:19">
      <c r="A381" s="18" t="s">
        <v>420</v>
      </c>
      <c r="B381" s="18" t="s">
        <v>26</v>
      </c>
      <c r="C381" s="18" t="s">
        <v>21</v>
      </c>
      <c r="D381" s="19">
        <v>44756</v>
      </c>
      <c r="E381" s="20">
        <v>45381</v>
      </c>
      <c r="F381" s="21">
        <v>24329.599999999999</v>
      </c>
      <c r="G381" s="21">
        <v>22099.200000000001</v>
      </c>
      <c r="H381" s="21">
        <v>2089.6</v>
      </c>
      <c r="I381" s="18">
        <v>2485.136</v>
      </c>
      <c r="J381" s="18">
        <v>7878.3040000000001</v>
      </c>
      <c r="K381" s="18" t="s">
        <v>22</v>
      </c>
      <c r="L381" s="18" t="s">
        <v>35</v>
      </c>
      <c r="M381" s="18" t="s">
        <v>32</v>
      </c>
      <c r="N381" s="22">
        <f t="shared" si="30"/>
        <v>0.90832566092332001</v>
      </c>
      <c r="O381" s="22">
        <f t="shared" si="31"/>
        <v>9.4555459021141E-2</v>
      </c>
      <c r="P381" s="23">
        <f t="shared" si="32"/>
        <v>0.112453663481031</v>
      </c>
      <c r="Q381" s="23">
        <f t="shared" si="33"/>
        <v>1.18928790199081</v>
      </c>
      <c r="R381" s="22">
        <f t="shared" si="34"/>
        <v>2.1701701637254498</v>
      </c>
      <c r="S381" s="22">
        <f t="shared" si="35"/>
        <v>3.1701701637254498</v>
      </c>
    </row>
    <row r="382" spans="1:19">
      <c r="A382" s="18" t="s">
        <v>421</v>
      </c>
      <c r="B382" s="18" t="s">
        <v>40</v>
      </c>
      <c r="C382" s="18" t="s">
        <v>41</v>
      </c>
      <c r="D382" s="19">
        <v>44897</v>
      </c>
      <c r="E382" s="20">
        <v>45518</v>
      </c>
      <c r="F382" s="21">
        <v>59596.800000000003</v>
      </c>
      <c r="G382" s="21">
        <v>59105.599999999999</v>
      </c>
      <c r="H382" s="21">
        <v>47084.800000000003</v>
      </c>
      <c r="I382" s="18">
        <v>4477.5519999999997</v>
      </c>
      <c r="J382" s="18">
        <v>14424.432000000001</v>
      </c>
      <c r="K382" s="18" t="s">
        <v>38</v>
      </c>
      <c r="L382" s="18" t="s">
        <v>44</v>
      </c>
      <c r="M382" s="18" t="s">
        <v>24</v>
      </c>
      <c r="N382" s="22">
        <f t="shared" si="30"/>
        <v>0.99175794673539497</v>
      </c>
      <c r="O382" s="22">
        <f t="shared" si="31"/>
        <v>0.79662163991229296</v>
      </c>
      <c r="P382" s="23">
        <f t="shared" si="32"/>
        <v>7.5755123034027205E-2</v>
      </c>
      <c r="Q382" s="23">
        <f t="shared" si="33"/>
        <v>9.5095487291015302E-2</v>
      </c>
      <c r="R382" s="22">
        <f t="shared" si="34"/>
        <v>2.2214996051413798</v>
      </c>
      <c r="S382" s="22">
        <f t="shared" si="35"/>
        <v>3.2214996051413798</v>
      </c>
    </row>
    <row r="383" spans="1:19">
      <c r="A383" s="18" t="s">
        <v>422</v>
      </c>
      <c r="B383" s="18" t="s">
        <v>20</v>
      </c>
      <c r="C383" s="18" t="s">
        <v>48</v>
      </c>
      <c r="D383" s="19">
        <v>44705</v>
      </c>
      <c r="E383" s="20">
        <v>45317</v>
      </c>
      <c r="F383" s="21">
        <v>8537.6</v>
      </c>
      <c r="G383" s="21">
        <v>985.6</v>
      </c>
      <c r="H383" s="21">
        <v>611.20000000000005</v>
      </c>
      <c r="I383" s="18">
        <v>4649.68</v>
      </c>
      <c r="J383" s="18">
        <v>12554.512000000001</v>
      </c>
      <c r="K383" s="18" t="s">
        <v>38</v>
      </c>
      <c r="L383" s="18" t="s">
        <v>50</v>
      </c>
      <c r="M383" s="18" t="s">
        <v>32</v>
      </c>
      <c r="N383" s="22">
        <f t="shared" si="30"/>
        <v>0.11544227886057</v>
      </c>
      <c r="O383" s="22">
        <f t="shared" si="31"/>
        <v>0.62012987012986998</v>
      </c>
      <c r="P383" s="23">
        <f t="shared" si="32"/>
        <v>4.7176136363636401</v>
      </c>
      <c r="Q383" s="23">
        <f t="shared" si="33"/>
        <v>7.6074607329842898</v>
      </c>
      <c r="R383" s="22">
        <f t="shared" si="34"/>
        <v>1.7000808657800099</v>
      </c>
      <c r="S383" s="22">
        <f t="shared" si="35"/>
        <v>2.7000808657800102</v>
      </c>
    </row>
    <row r="384" spans="1:19">
      <c r="A384" s="18" t="s">
        <v>423</v>
      </c>
      <c r="B384" s="18" t="s">
        <v>26</v>
      </c>
      <c r="C384" s="18" t="s">
        <v>21</v>
      </c>
      <c r="D384" s="19">
        <v>44980</v>
      </c>
      <c r="E384" s="20">
        <v>45609</v>
      </c>
      <c r="F384" s="21">
        <v>7164.8</v>
      </c>
      <c r="G384" s="21">
        <v>3638.4</v>
      </c>
      <c r="H384" s="21">
        <v>489.6</v>
      </c>
      <c r="I384" s="18">
        <v>1457.3440000000001</v>
      </c>
      <c r="J384" s="18">
        <v>2032.2719999999999</v>
      </c>
      <c r="K384" s="18" t="s">
        <v>22</v>
      </c>
      <c r="L384" s="18" t="s">
        <v>23</v>
      </c>
      <c r="M384" s="18" t="s">
        <v>24</v>
      </c>
      <c r="N384" s="22">
        <f t="shared" si="30"/>
        <v>0.50781598928092897</v>
      </c>
      <c r="O384" s="22">
        <f t="shared" si="31"/>
        <v>0.134564643799472</v>
      </c>
      <c r="P384" s="23">
        <f t="shared" si="32"/>
        <v>0.40054529463500399</v>
      </c>
      <c r="Q384" s="23">
        <f t="shared" si="33"/>
        <v>2.9766013071895401</v>
      </c>
      <c r="R384" s="22">
        <f t="shared" si="34"/>
        <v>0.394503974353344</v>
      </c>
      <c r="S384" s="22">
        <f t="shared" si="35"/>
        <v>1.3945039743533401</v>
      </c>
    </row>
    <row r="385" spans="1:19">
      <c r="A385" s="18" t="s">
        <v>424</v>
      </c>
      <c r="B385" s="18" t="s">
        <v>20</v>
      </c>
      <c r="C385" s="18" t="s">
        <v>21</v>
      </c>
      <c r="D385" s="19">
        <v>44748</v>
      </c>
      <c r="E385" s="20">
        <v>45363</v>
      </c>
      <c r="F385" s="21">
        <v>10457.6</v>
      </c>
      <c r="G385" s="21">
        <v>4947.2</v>
      </c>
      <c r="H385" s="21">
        <v>4174.3999999999996</v>
      </c>
      <c r="I385" s="18">
        <v>1744.0160000000001</v>
      </c>
      <c r="J385" s="18">
        <v>2196.768</v>
      </c>
      <c r="K385" s="18" t="s">
        <v>22</v>
      </c>
      <c r="L385" s="18" t="s">
        <v>44</v>
      </c>
      <c r="M385" s="18" t="s">
        <v>24</v>
      </c>
      <c r="N385" s="22">
        <f t="shared" si="30"/>
        <v>0.47307221542227701</v>
      </c>
      <c r="O385" s="22">
        <f t="shared" si="31"/>
        <v>0.84379042690814998</v>
      </c>
      <c r="P385" s="23">
        <f t="shared" si="32"/>
        <v>0.35252587322121598</v>
      </c>
      <c r="Q385" s="23">
        <f t="shared" si="33"/>
        <v>0.41778842468378702</v>
      </c>
      <c r="R385" s="22">
        <f t="shared" si="34"/>
        <v>0.259603122907129</v>
      </c>
      <c r="S385" s="22">
        <f t="shared" si="35"/>
        <v>1.2596031229071301</v>
      </c>
    </row>
    <row r="386" spans="1:19">
      <c r="A386" s="18" t="s">
        <v>425</v>
      </c>
      <c r="B386" s="18" t="s">
        <v>20</v>
      </c>
      <c r="C386" s="18" t="s">
        <v>21</v>
      </c>
      <c r="D386" s="19">
        <v>44854</v>
      </c>
      <c r="E386" s="20">
        <v>45478</v>
      </c>
      <c r="F386" s="21">
        <v>62172.800000000003</v>
      </c>
      <c r="G386" s="21">
        <v>54969.599999999999</v>
      </c>
      <c r="H386" s="21">
        <v>160</v>
      </c>
      <c r="I386" s="18">
        <v>5963.0079999999998</v>
      </c>
      <c r="J386" s="18">
        <v>20504.736000000001</v>
      </c>
      <c r="K386" s="18" t="s">
        <v>43</v>
      </c>
      <c r="L386" s="18" t="s">
        <v>31</v>
      </c>
      <c r="M386" s="18" t="s">
        <v>24</v>
      </c>
      <c r="N386" s="22">
        <f t="shared" ref="N386:N449" si="36">G386/F386</f>
        <v>0.88414226156775899</v>
      </c>
      <c r="O386" s="22">
        <f t="shared" ref="O386:O449" si="37">H386/G386</f>
        <v>2.9106997322156198E-3</v>
      </c>
      <c r="P386" s="23">
        <f t="shared" ref="P386:P449" si="38">I386/G386</f>
        <v>0.108478286179998</v>
      </c>
      <c r="Q386" s="23">
        <f t="shared" ref="Q386:Q449" si="39">I386/H386</f>
        <v>37.268799999999999</v>
      </c>
      <c r="R386" s="22">
        <f t="shared" ref="R386:R449" si="40">(J386-I386)/I386</f>
        <v>2.43865646331516</v>
      </c>
      <c r="S386" s="22">
        <f t="shared" ref="S386:S449" si="41">J386/I386</f>
        <v>3.43865646331516</v>
      </c>
    </row>
    <row r="387" spans="1:19">
      <c r="A387" s="18" t="s">
        <v>426</v>
      </c>
      <c r="B387" s="18" t="s">
        <v>28</v>
      </c>
      <c r="C387" s="18" t="s">
        <v>21</v>
      </c>
      <c r="D387" s="19">
        <v>44845</v>
      </c>
      <c r="E387" s="20">
        <v>45461</v>
      </c>
      <c r="F387" s="21">
        <v>5014.3999999999996</v>
      </c>
      <c r="G387" s="21">
        <v>1908.8</v>
      </c>
      <c r="H387" s="21">
        <v>864</v>
      </c>
      <c r="I387" s="18">
        <v>5498.24</v>
      </c>
      <c r="J387" s="18">
        <v>18124.351999999999</v>
      </c>
      <c r="K387" s="18" t="s">
        <v>65</v>
      </c>
      <c r="L387" s="18" t="s">
        <v>31</v>
      </c>
      <c r="M387" s="18" t="s">
        <v>24</v>
      </c>
      <c r="N387" s="22">
        <f t="shared" si="36"/>
        <v>0.38066368857689897</v>
      </c>
      <c r="O387" s="22">
        <f t="shared" si="37"/>
        <v>0.45264040234702402</v>
      </c>
      <c r="P387" s="23">
        <f t="shared" si="38"/>
        <v>2.8804694048616901</v>
      </c>
      <c r="Q387" s="23">
        <f t="shared" si="39"/>
        <v>6.3637037037036999</v>
      </c>
      <c r="R387" s="22">
        <f t="shared" si="40"/>
        <v>2.2963915725759501</v>
      </c>
      <c r="S387" s="22">
        <f t="shared" si="41"/>
        <v>3.2963915725759501</v>
      </c>
    </row>
    <row r="388" spans="1:19">
      <c r="A388" s="18" t="s">
        <v>427</v>
      </c>
      <c r="B388" s="18" t="s">
        <v>26</v>
      </c>
      <c r="C388" s="18" t="s">
        <v>41</v>
      </c>
      <c r="D388" s="19">
        <v>44932</v>
      </c>
      <c r="E388" s="20">
        <v>45540</v>
      </c>
      <c r="F388" s="21">
        <v>9436.7999999999993</v>
      </c>
      <c r="G388" s="21">
        <v>2811.2</v>
      </c>
      <c r="H388" s="21">
        <v>1544</v>
      </c>
      <c r="I388" s="18">
        <v>6922.6239999999998</v>
      </c>
      <c r="J388" s="18">
        <v>22059.856</v>
      </c>
      <c r="K388" s="18" t="s">
        <v>30</v>
      </c>
      <c r="L388" s="18" t="s">
        <v>35</v>
      </c>
      <c r="M388" s="18" t="s">
        <v>24</v>
      </c>
      <c r="N388" s="22">
        <f t="shared" si="36"/>
        <v>0.29789759240420499</v>
      </c>
      <c r="O388" s="22">
        <f t="shared" si="37"/>
        <v>0.54923164484917497</v>
      </c>
      <c r="P388" s="23">
        <f t="shared" si="38"/>
        <v>2.4625156516789999</v>
      </c>
      <c r="Q388" s="23">
        <f t="shared" si="39"/>
        <v>4.4835647668393799</v>
      </c>
      <c r="R388" s="22">
        <f t="shared" si="40"/>
        <v>2.1866321209991999</v>
      </c>
      <c r="S388" s="22">
        <f t="shared" si="41"/>
        <v>3.1866321209991999</v>
      </c>
    </row>
    <row r="389" spans="1:19">
      <c r="A389" s="18" t="s">
        <v>428</v>
      </c>
      <c r="B389" s="18" t="s">
        <v>47</v>
      </c>
      <c r="C389" s="18" t="s">
        <v>48</v>
      </c>
      <c r="D389" s="19">
        <v>44724</v>
      </c>
      <c r="E389" s="20">
        <v>45343</v>
      </c>
      <c r="F389" s="21">
        <v>10915.2</v>
      </c>
      <c r="G389" s="21">
        <v>7532.8</v>
      </c>
      <c r="H389" s="21">
        <v>5664</v>
      </c>
      <c r="I389" s="18">
        <v>5446.8320000000003</v>
      </c>
      <c r="J389" s="18">
        <v>8511.92</v>
      </c>
      <c r="K389" s="18" t="s">
        <v>65</v>
      </c>
      <c r="L389" s="18" t="s">
        <v>50</v>
      </c>
      <c r="M389" s="18" t="s">
        <v>32</v>
      </c>
      <c r="N389" s="22">
        <f t="shared" si="36"/>
        <v>0.690120199355028</v>
      </c>
      <c r="O389" s="22">
        <f t="shared" si="37"/>
        <v>0.75191163976210695</v>
      </c>
      <c r="P389" s="23">
        <f t="shared" si="38"/>
        <v>0.72308198810535296</v>
      </c>
      <c r="Q389" s="23">
        <f t="shared" si="39"/>
        <v>0.96165819209039505</v>
      </c>
      <c r="R389" s="22">
        <f t="shared" si="40"/>
        <v>0.56272857323302805</v>
      </c>
      <c r="S389" s="22">
        <f t="shared" si="41"/>
        <v>1.56272857323303</v>
      </c>
    </row>
    <row r="390" spans="1:19">
      <c r="A390" s="18" t="s">
        <v>429</v>
      </c>
      <c r="B390" s="18" t="s">
        <v>20</v>
      </c>
      <c r="C390" s="18" t="s">
        <v>48</v>
      </c>
      <c r="D390" s="19">
        <v>44953</v>
      </c>
      <c r="E390" s="20">
        <v>45574</v>
      </c>
      <c r="F390" s="21">
        <v>25227.200000000001</v>
      </c>
      <c r="G390" s="21">
        <v>12747.2</v>
      </c>
      <c r="H390" s="21">
        <v>6924.8</v>
      </c>
      <c r="I390" s="18">
        <v>4112.3519999999999</v>
      </c>
      <c r="J390" s="18">
        <v>12414.191999999999</v>
      </c>
      <c r="K390" s="18" t="s">
        <v>22</v>
      </c>
      <c r="L390" s="18" t="s">
        <v>23</v>
      </c>
      <c r="M390" s="18" t="s">
        <v>32</v>
      </c>
      <c r="N390" s="22">
        <f t="shared" si="36"/>
        <v>0.50529587112323204</v>
      </c>
      <c r="O390" s="22">
        <f t="shared" si="37"/>
        <v>0.54324086858290399</v>
      </c>
      <c r="P390" s="23">
        <f t="shared" si="38"/>
        <v>0.32260825906865798</v>
      </c>
      <c r="Q390" s="23">
        <f t="shared" si="39"/>
        <v>0.59385859519408501</v>
      </c>
      <c r="R390" s="22">
        <f t="shared" si="40"/>
        <v>2.01875714919345</v>
      </c>
      <c r="S390" s="22">
        <f t="shared" si="41"/>
        <v>3.01875714919345</v>
      </c>
    </row>
    <row r="391" spans="1:19">
      <c r="A391" s="18" t="s">
        <v>430</v>
      </c>
      <c r="B391" s="18" t="s">
        <v>28</v>
      </c>
      <c r="C391" s="18" t="s">
        <v>41</v>
      </c>
      <c r="D391" s="19">
        <v>44930</v>
      </c>
      <c r="E391" s="20">
        <v>45555</v>
      </c>
      <c r="F391" s="21">
        <v>16401.599999999999</v>
      </c>
      <c r="G391" s="21">
        <v>299.2</v>
      </c>
      <c r="H391" s="21">
        <v>62.4</v>
      </c>
      <c r="I391" s="18">
        <v>485.36</v>
      </c>
      <c r="J391" s="18">
        <v>1399.7760000000001</v>
      </c>
      <c r="K391" s="18" t="s">
        <v>30</v>
      </c>
      <c r="L391" s="18" t="s">
        <v>44</v>
      </c>
      <c r="M391" s="18" t="s">
        <v>32</v>
      </c>
      <c r="N391" s="22">
        <f t="shared" si="36"/>
        <v>1.8242122719734698E-2</v>
      </c>
      <c r="O391" s="22">
        <f t="shared" si="37"/>
        <v>0.20855614973261999</v>
      </c>
      <c r="P391" s="23">
        <f t="shared" si="38"/>
        <v>1.6221925133689801</v>
      </c>
      <c r="Q391" s="23">
        <f t="shared" si="39"/>
        <v>7.7782051282051299</v>
      </c>
      <c r="R391" s="22">
        <f t="shared" si="40"/>
        <v>1.8839953848689599</v>
      </c>
      <c r="S391" s="22">
        <f t="shared" si="41"/>
        <v>2.8839953848689599</v>
      </c>
    </row>
    <row r="392" spans="1:19">
      <c r="A392" s="18" t="s">
        <v>431</v>
      </c>
      <c r="B392" s="18" t="s">
        <v>34</v>
      </c>
      <c r="C392" s="18" t="s">
        <v>41</v>
      </c>
      <c r="D392" s="19">
        <v>44890</v>
      </c>
      <c r="E392" s="20">
        <v>45518</v>
      </c>
      <c r="F392" s="21">
        <v>51985.599999999999</v>
      </c>
      <c r="G392" s="21">
        <v>42452.800000000003</v>
      </c>
      <c r="H392" s="21">
        <v>24651.200000000001</v>
      </c>
      <c r="I392" s="18">
        <v>4627.5519999999997</v>
      </c>
      <c r="J392" s="18">
        <v>17024.592000000001</v>
      </c>
      <c r="K392" s="18" t="s">
        <v>65</v>
      </c>
      <c r="L392" s="18" t="s">
        <v>31</v>
      </c>
      <c r="M392" s="18" t="s">
        <v>24</v>
      </c>
      <c r="N392" s="22">
        <f t="shared" si="36"/>
        <v>0.81662614262411104</v>
      </c>
      <c r="O392" s="22">
        <f t="shared" si="37"/>
        <v>0.580673124034222</v>
      </c>
      <c r="P392" s="23">
        <f t="shared" si="38"/>
        <v>0.10900463573663</v>
      </c>
      <c r="Q392" s="23">
        <f t="shared" si="39"/>
        <v>0.18772116570390099</v>
      </c>
      <c r="R392" s="22">
        <f t="shared" si="40"/>
        <v>2.6789628728105099</v>
      </c>
      <c r="S392" s="22">
        <f t="shared" si="41"/>
        <v>3.6789628728105099</v>
      </c>
    </row>
    <row r="393" spans="1:19">
      <c r="A393" s="18" t="s">
        <v>432</v>
      </c>
      <c r="B393" s="18" t="s">
        <v>34</v>
      </c>
      <c r="C393" s="18" t="s">
        <v>29</v>
      </c>
      <c r="D393" s="19">
        <v>44825</v>
      </c>
      <c r="E393" s="20">
        <v>45435</v>
      </c>
      <c r="F393" s="21">
        <v>3120</v>
      </c>
      <c r="G393" s="21">
        <v>1089.5999999999999</v>
      </c>
      <c r="H393" s="21">
        <v>620.79999999999995</v>
      </c>
      <c r="I393" s="18">
        <v>700.36800000000005</v>
      </c>
      <c r="J393" s="18">
        <v>1569.328</v>
      </c>
      <c r="K393" s="18" t="s">
        <v>38</v>
      </c>
      <c r="L393" s="18" t="s">
        <v>44</v>
      </c>
      <c r="M393" s="18" t="s">
        <v>24</v>
      </c>
      <c r="N393" s="22">
        <f t="shared" si="36"/>
        <v>0.34923076923076901</v>
      </c>
      <c r="O393" s="22">
        <f t="shared" si="37"/>
        <v>0.56975036710719495</v>
      </c>
      <c r="P393" s="23">
        <f t="shared" si="38"/>
        <v>0.64277533039647605</v>
      </c>
      <c r="Q393" s="23">
        <f t="shared" si="39"/>
        <v>1.12817010309278</v>
      </c>
      <c r="R393" s="22">
        <f t="shared" si="40"/>
        <v>1.24071916478194</v>
      </c>
      <c r="S393" s="22">
        <f t="shared" si="41"/>
        <v>2.24071916478194</v>
      </c>
    </row>
    <row r="394" spans="1:19">
      <c r="A394" s="18" t="s">
        <v>433</v>
      </c>
      <c r="B394" s="18" t="s">
        <v>28</v>
      </c>
      <c r="C394" s="18" t="s">
        <v>29</v>
      </c>
      <c r="D394" s="19">
        <v>44844</v>
      </c>
      <c r="E394" s="20">
        <v>45468</v>
      </c>
      <c r="F394" s="21">
        <v>5753.6</v>
      </c>
      <c r="G394" s="21">
        <v>652.79999999999995</v>
      </c>
      <c r="H394" s="21">
        <v>225.6</v>
      </c>
      <c r="I394" s="18">
        <v>6874.16</v>
      </c>
      <c r="J394" s="18">
        <v>18901.392</v>
      </c>
      <c r="K394" s="18" t="s">
        <v>65</v>
      </c>
      <c r="L394" s="18" t="s">
        <v>31</v>
      </c>
      <c r="M394" s="18" t="s">
        <v>32</v>
      </c>
      <c r="N394" s="22">
        <f t="shared" si="36"/>
        <v>0.113459399332592</v>
      </c>
      <c r="O394" s="22">
        <f t="shared" si="37"/>
        <v>0.34558823529411797</v>
      </c>
      <c r="P394" s="23">
        <f t="shared" si="38"/>
        <v>10.530269607843101</v>
      </c>
      <c r="Q394" s="23">
        <f t="shared" si="39"/>
        <v>30.4705673758865</v>
      </c>
      <c r="R394" s="22">
        <f t="shared" si="40"/>
        <v>1.7496293365298501</v>
      </c>
      <c r="S394" s="22">
        <f t="shared" si="41"/>
        <v>2.7496293365298401</v>
      </c>
    </row>
    <row r="395" spans="1:19">
      <c r="A395" s="18" t="s">
        <v>434</v>
      </c>
      <c r="B395" s="18" t="s">
        <v>40</v>
      </c>
      <c r="C395" s="18" t="s">
        <v>21</v>
      </c>
      <c r="D395" s="19">
        <v>44841</v>
      </c>
      <c r="E395" s="20">
        <v>45456</v>
      </c>
      <c r="F395" s="21">
        <v>57980.800000000003</v>
      </c>
      <c r="G395" s="21">
        <v>51803.199999999997</v>
      </c>
      <c r="H395" s="21">
        <v>9497.6</v>
      </c>
      <c r="I395" s="18">
        <v>957.32799999999997</v>
      </c>
      <c r="J395" s="18">
        <v>1587.136</v>
      </c>
      <c r="K395" s="18" t="s">
        <v>30</v>
      </c>
      <c r="L395" s="18" t="s">
        <v>23</v>
      </c>
      <c r="M395" s="18" t="s">
        <v>24</v>
      </c>
      <c r="N395" s="22">
        <f t="shared" si="36"/>
        <v>0.89345438489982898</v>
      </c>
      <c r="O395" s="22">
        <f t="shared" si="37"/>
        <v>0.183340025326621</v>
      </c>
      <c r="P395" s="23">
        <f t="shared" si="38"/>
        <v>1.8480093893813498E-2</v>
      </c>
      <c r="Q395" s="23">
        <f t="shared" si="39"/>
        <v>0.10079683288409701</v>
      </c>
      <c r="R395" s="22">
        <f t="shared" si="40"/>
        <v>0.65788110240168496</v>
      </c>
      <c r="S395" s="22">
        <f t="shared" si="41"/>
        <v>1.65788110240168</v>
      </c>
    </row>
    <row r="396" spans="1:19">
      <c r="A396" s="18" t="s">
        <v>435</v>
      </c>
      <c r="B396" s="18" t="s">
        <v>40</v>
      </c>
      <c r="C396" s="18" t="s">
        <v>41</v>
      </c>
      <c r="D396" s="19">
        <v>44945</v>
      </c>
      <c r="E396" s="20">
        <v>45562</v>
      </c>
      <c r="F396" s="21">
        <v>4363.2</v>
      </c>
      <c r="G396" s="21">
        <v>553.6</v>
      </c>
      <c r="H396" s="21">
        <v>113.6</v>
      </c>
      <c r="I396" s="18">
        <v>2090.16</v>
      </c>
      <c r="J396" s="18">
        <v>3180.1439999999998</v>
      </c>
      <c r="K396" s="18" t="s">
        <v>65</v>
      </c>
      <c r="L396" s="18" t="s">
        <v>44</v>
      </c>
      <c r="M396" s="18" t="s">
        <v>32</v>
      </c>
      <c r="N396" s="22">
        <f t="shared" si="36"/>
        <v>0.12687935460212699</v>
      </c>
      <c r="O396" s="22">
        <f t="shared" si="37"/>
        <v>0.205202312138728</v>
      </c>
      <c r="P396" s="23">
        <f t="shared" si="38"/>
        <v>3.7755780346820802</v>
      </c>
      <c r="Q396" s="23">
        <f t="shared" si="39"/>
        <v>18.3992957746479</v>
      </c>
      <c r="R396" s="22">
        <f t="shared" si="40"/>
        <v>0.52148352279251398</v>
      </c>
      <c r="S396" s="22">
        <f t="shared" si="41"/>
        <v>1.5214835227925101</v>
      </c>
    </row>
    <row r="397" spans="1:19">
      <c r="A397" s="18" t="s">
        <v>436</v>
      </c>
      <c r="B397" s="18" t="s">
        <v>20</v>
      </c>
      <c r="C397" s="18" t="s">
        <v>29</v>
      </c>
      <c r="D397" s="19">
        <v>44748</v>
      </c>
      <c r="E397" s="20">
        <v>45361</v>
      </c>
      <c r="F397" s="21">
        <v>17537.599999999999</v>
      </c>
      <c r="G397" s="21">
        <v>1019.2</v>
      </c>
      <c r="H397" s="21">
        <v>809.6</v>
      </c>
      <c r="I397" s="18">
        <v>4009.5520000000001</v>
      </c>
      <c r="J397" s="18">
        <v>6160.56</v>
      </c>
      <c r="K397" s="18" t="s">
        <v>38</v>
      </c>
      <c r="L397" s="18" t="s">
        <v>35</v>
      </c>
      <c r="M397" s="18" t="s">
        <v>24</v>
      </c>
      <c r="N397" s="22">
        <f t="shared" si="36"/>
        <v>5.8115135480339399E-2</v>
      </c>
      <c r="O397" s="22">
        <f t="shared" si="37"/>
        <v>0.79434850863422302</v>
      </c>
      <c r="P397" s="23">
        <f t="shared" si="38"/>
        <v>3.9340188383045498</v>
      </c>
      <c r="Q397" s="23">
        <f t="shared" si="39"/>
        <v>4.9525098814229196</v>
      </c>
      <c r="R397" s="22">
        <f t="shared" si="40"/>
        <v>0.53647090747295501</v>
      </c>
      <c r="S397" s="22">
        <f t="shared" si="41"/>
        <v>1.5364709074729499</v>
      </c>
    </row>
    <row r="398" spans="1:19">
      <c r="A398" s="18" t="s">
        <v>437</v>
      </c>
      <c r="B398" s="18" t="s">
        <v>28</v>
      </c>
      <c r="C398" s="18" t="s">
        <v>48</v>
      </c>
      <c r="D398" s="19">
        <v>44798</v>
      </c>
      <c r="E398" s="20">
        <v>45408</v>
      </c>
      <c r="F398" s="21">
        <v>47134.400000000001</v>
      </c>
      <c r="G398" s="21">
        <v>32310.400000000001</v>
      </c>
      <c r="H398" s="21">
        <v>3528</v>
      </c>
      <c r="I398" s="18">
        <v>5623.2160000000003</v>
      </c>
      <c r="J398" s="18">
        <v>20669.968000000001</v>
      </c>
      <c r="K398" s="18" t="s">
        <v>38</v>
      </c>
      <c r="L398" s="18" t="s">
        <v>50</v>
      </c>
      <c r="M398" s="18" t="s">
        <v>24</v>
      </c>
      <c r="N398" s="22">
        <f t="shared" si="36"/>
        <v>0.68549509487762605</v>
      </c>
      <c r="O398" s="22">
        <f t="shared" si="37"/>
        <v>0.10919084876696</v>
      </c>
      <c r="P398" s="23">
        <f t="shared" si="38"/>
        <v>0.17403733782311601</v>
      </c>
      <c r="Q398" s="23">
        <f t="shared" si="39"/>
        <v>1.5938820861678</v>
      </c>
      <c r="R398" s="22">
        <f t="shared" si="40"/>
        <v>2.6758267866644299</v>
      </c>
      <c r="S398" s="22">
        <f t="shared" si="41"/>
        <v>3.6758267866644299</v>
      </c>
    </row>
    <row r="399" spans="1:19">
      <c r="A399" s="18" t="s">
        <v>438</v>
      </c>
      <c r="B399" s="18" t="s">
        <v>20</v>
      </c>
      <c r="C399" s="18" t="s">
        <v>41</v>
      </c>
      <c r="D399" s="19">
        <v>44850</v>
      </c>
      <c r="E399" s="20">
        <v>45473</v>
      </c>
      <c r="F399" s="21">
        <v>76160</v>
      </c>
      <c r="G399" s="21">
        <v>35200</v>
      </c>
      <c r="H399" s="21">
        <v>1163.2</v>
      </c>
      <c r="I399" s="18">
        <v>4865.84</v>
      </c>
      <c r="J399" s="18">
        <v>10242.224</v>
      </c>
      <c r="K399" s="18" t="s">
        <v>30</v>
      </c>
      <c r="L399" s="18" t="s">
        <v>31</v>
      </c>
      <c r="M399" s="18" t="s">
        <v>24</v>
      </c>
      <c r="N399" s="22">
        <f t="shared" si="36"/>
        <v>0.46218487394958002</v>
      </c>
      <c r="O399" s="22">
        <f t="shared" si="37"/>
        <v>3.3045454545454503E-2</v>
      </c>
      <c r="P399" s="23">
        <f t="shared" si="38"/>
        <v>0.138234090909091</v>
      </c>
      <c r="Q399" s="23">
        <f t="shared" si="39"/>
        <v>4.18314993122421</v>
      </c>
      <c r="R399" s="22">
        <f t="shared" si="40"/>
        <v>1.1049241240977901</v>
      </c>
      <c r="S399" s="22">
        <f t="shared" si="41"/>
        <v>2.1049241240977898</v>
      </c>
    </row>
    <row r="400" spans="1:19">
      <c r="A400" s="18" t="s">
        <v>439</v>
      </c>
      <c r="B400" s="18" t="s">
        <v>28</v>
      </c>
      <c r="C400" s="18" t="s">
        <v>41</v>
      </c>
      <c r="D400" s="19">
        <v>44834</v>
      </c>
      <c r="E400" s="20">
        <v>45458</v>
      </c>
      <c r="F400" s="21">
        <v>19097.599999999999</v>
      </c>
      <c r="G400" s="21">
        <v>12627.2</v>
      </c>
      <c r="H400" s="21">
        <v>4827.2</v>
      </c>
      <c r="I400" s="18">
        <v>2423.248</v>
      </c>
      <c r="J400" s="18">
        <v>3440.096</v>
      </c>
      <c r="K400" s="18" t="s">
        <v>65</v>
      </c>
      <c r="L400" s="18" t="s">
        <v>35</v>
      </c>
      <c r="M400" s="18" t="s">
        <v>32</v>
      </c>
      <c r="N400" s="22">
        <f t="shared" si="36"/>
        <v>0.66119302949061698</v>
      </c>
      <c r="O400" s="22">
        <f t="shared" si="37"/>
        <v>0.38228585909782098</v>
      </c>
      <c r="P400" s="23">
        <f t="shared" si="38"/>
        <v>0.191906994424734</v>
      </c>
      <c r="Q400" s="23">
        <f t="shared" si="39"/>
        <v>0.50199867417964905</v>
      </c>
      <c r="R400" s="22">
        <f t="shared" si="40"/>
        <v>0.41962192891524103</v>
      </c>
      <c r="S400" s="22">
        <f t="shared" si="41"/>
        <v>1.4196219289152401</v>
      </c>
    </row>
    <row r="401" spans="1:19">
      <c r="A401" s="18" t="s">
        <v>440</v>
      </c>
      <c r="B401" s="18" t="s">
        <v>28</v>
      </c>
      <c r="C401" s="18" t="s">
        <v>29</v>
      </c>
      <c r="D401" s="19">
        <v>44913</v>
      </c>
      <c r="E401" s="20">
        <v>45533</v>
      </c>
      <c r="F401" s="21">
        <v>21500.799999999999</v>
      </c>
      <c r="G401" s="21">
        <v>19454.400000000001</v>
      </c>
      <c r="H401" s="21">
        <v>5902.4</v>
      </c>
      <c r="I401" s="18">
        <v>4315.1360000000004</v>
      </c>
      <c r="J401" s="18">
        <v>7089.44</v>
      </c>
      <c r="K401" s="18" t="s">
        <v>65</v>
      </c>
      <c r="L401" s="18" t="s">
        <v>35</v>
      </c>
      <c r="M401" s="18" t="s">
        <v>24</v>
      </c>
      <c r="N401" s="22">
        <f t="shared" si="36"/>
        <v>0.90482214615270096</v>
      </c>
      <c r="O401" s="22">
        <f t="shared" si="37"/>
        <v>0.30339666090961398</v>
      </c>
      <c r="P401" s="23">
        <f t="shared" si="38"/>
        <v>0.221807714450202</v>
      </c>
      <c r="Q401" s="23">
        <f t="shared" si="39"/>
        <v>0.73108159392789396</v>
      </c>
      <c r="R401" s="22">
        <f t="shared" si="40"/>
        <v>0.64292388467014705</v>
      </c>
      <c r="S401" s="22">
        <f t="shared" si="41"/>
        <v>1.6429238846701499</v>
      </c>
    </row>
    <row r="402" spans="1:19">
      <c r="A402" s="18" t="s">
        <v>441</v>
      </c>
      <c r="B402" s="18" t="s">
        <v>47</v>
      </c>
      <c r="C402" s="18" t="s">
        <v>48</v>
      </c>
      <c r="D402" s="19">
        <v>44820</v>
      </c>
      <c r="E402" s="20">
        <v>45424</v>
      </c>
      <c r="F402" s="21">
        <v>37659.199999999997</v>
      </c>
      <c r="G402" s="21">
        <v>31254.400000000001</v>
      </c>
      <c r="H402" s="21">
        <v>5862.4</v>
      </c>
      <c r="I402" s="18">
        <v>1906.4159999999999</v>
      </c>
      <c r="J402" s="18">
        <v>4644.1440000000002</v>
      </c>
      <c r="K402" s="18" t="s">
        <v>38</v>
      </c>
      <c r="L402" s="18" t="s">
        <v>23</v>
      </c>
      <c r="M402" s="18" t="s">
        <v>24</v>
      </c>
      <c r="N402" s="22">
        <f t="shared" si="36"/>
        <v>0.82992734843013105</v>
      </c>
      <c r="O402" s="22">
        <f t="shared" si="37"/>
        <v>0.187570390089075</v>
      </c>
      <c r="P402" s="23">
        <f t="shared" si="38"/>
        <v>6.0996723661308497E-2</v>
      </c>
      <c r="Q402" s="23">
        <f t="shared" si="39"/>
        <v>0.32519377729257598</v>
      </c>
      <c r="R402" s="22">
        <f t="shared" si="40"/>
        <v>1.4360601253871099</v>
      </c>
      <c r="S402" s="22">
        <f t="shared" si="41"/>
        <v>2.4360601253871099</v>
      </c>
    </row>
    <row r="403" spans="1:19">
      <c r="A403" s="18" t="s">
        <v>442</v>
      </c>
      <c r="B403" s="18" t="s">
        <v>20</v>
      </c>
      <c r="C403" s="18" t="s">
        <v>21</v>
      </c>
      <c r="D403" s="19">
        <v>44886</v>
      </c>
      <c r="E403" s="20">
        <v>45509</v>
      </c>
      <c r="F403" s="21">
        <v>41094.400000000001</v>
      </c>
      <c r="G403" s="21">
        <v>7273.6</v>
      </c>
      <c r="H403" s="21">
        <v>3721.6</v>
      </c>
      <c r="I403" s="18">
        <v>3732.48</v>
      </c>
      <c r="J403" s="18">
        <v>8061.52</v>
      </c>
      <c r="K403" s="18" t="s">
        <v>30</v>
      </c>
      <c r="L403" s="18" t="s">
        <v>31</v>
      </c>
      <c r="M403" s="18" t="s">
        <v>32</v>
      </c>
      <c r="N403" s="22">
        <f t="shared" si="36"/>
        <v>0.17699735243731499</v>
      </c>
      <c r="O403" s="22">
        <f t="shared" si="37"/>
        <v>0.51165860096788396</v>
      </c>
      <c r="P403" s="23">
        <f t="shared" si="38"/>
        <v>0.51315442146942403</v>
      </c>
      <c r="Q403" s="23">
        <f t="shared" si="39"/>
        <v>1.0029234737747199</v>
      </c>
      <c r="R403" s="22">
        <f t="shared" si="40"/>
        <v>1.15982938957476</v>
      </c>
      <c r="S403" s="22">
        <f t="shared" si="41"/>
        <v>2.1598293895747598</v>
      </c>
    </row>
    <row r="404" spans="1:19">
      <c r="A404" s="18" t="s">
        <v>443</v>
      </c>
      <c r="B404" s="18" t="s">
        <v>47</v>
      </c>
      <c r="C404" s="18" t="s">
        <v>21</v>
      </c>
      <c r="D404" s="19">
        <v>44906</v>
      </c>
      <c r="E404" s="20">
        <v>45533</v>
      </c>
      <c r="F404" s="21">
        <v>61129.599999999999</v>
      </c>
      <c r="G404" s="21">
        <v>46921.599999999999</v>
      </c>
      <c r="H404" s="21">
        <v>14051.2</v>
      </c>
      <c r="I404" s="18">
        <v>1999.7280000000001</v>
      </c>
      <c r="J404" s="18">
        <v>7325.8239999999996</v>
      </c>
      <c r="K404" s="18" t="s">
        <v>30</v>
      </c>
      <c r="L404" s="18" t="s">
        <v>50</v>
      </c>
      <c r="M404" s="18" t="s">
        <v>24</v>
      </c>
      <c r="N404" s="22">
        <f t="shared" si="36"/>
        <v>0.76757577343872696</v>
      </c>
      <c r="O404" s="22">
        <f t="shared" si="37"/>
        <v>0.2994612289436</v>
      </c>
      <c r="P404" s="23">
        <f t="shared" si="38"/>
        <v>4.2618495532974199E-2</v>
      </c>
      <c r="Q404" s="23">
        <f t="shared" si="39"/>
        <v>0.14231723980870001</v>
      </c>
      <c r="R404" s="22">
        <f t="shared" si="40"/>
        <v>2.6634102237904398</v>
      </c>
      <c r="S404" s="22">
        <f t="shared" si="41"/>
        <v>3.6634102237904398</v>
      </c>
    </row>
    <row r="405" spans="1:19">
      <c r="A405" s="18" t="s">
        <v>444</v>
      </c>
      <c r="B405" s="18" t="s">
        <v>40</v>
      </c>
      <c r="C405" s="18" t="s">
        <v>48</v>
      </c>
      <c r="D405" s="19">
        <v>44964</v>
      </c>
      <c r="E405" s="20">
        <v>45583</v>
      </c>
      <c r="F405" s="21">
        <v>40734.400000000001</v>
      </c>
      <c r="G405" s="21">
        <v>28763.200000000001</v>
      </c>
      <c r="H405" s="21">
        <v>9782.4</v>
      </c>
      <c r="I405" s="18">
        <v>2808.5120000000002</v>
      </c>
      <c r="J405" s="18">
        <v>9714.5920000000006</v>
      </c>
      <c r="K405" s="18" t="s">
        <v>38</v>
      </c>
      <c r="L405" s="18" t="s">
        <v>31</v>
      </c>
      <c r="M405" s="18" t="s">
        <v>24</v>
      </c>
      <c r="N405" s="22">
        <f t="shared" si="36"/>
        <v>0.70611571546407903</v>
      </c>
      <c r="O405" s="22">
        <f t="shared" si="37"/>
        <v>0.34010124047393903</v>
      </c>
      <c r="P405" s="23">
        <f t="shared" si="38"/>
        <v>9.7642543249708003E-2</v>
      </c>
      <c r="Q405" s="23">
        <f t="shared" si="39"/>
        <v>0.28709846254497901</v>
      </c>
      <c r="R405" s="22">
        <f t="shared" si="40"/>
        <v>2.45898183806941</v>
      </c>
      <c r="S405" s="22">
        <f t="shared" si="41"/>
        <v>3.45898183806941</v>
      </c>
    </row>
    <row r="406" spans="1:19">
      <c r="A406" s="18" t="s">
        <v>445</v>
      </c>
      <c r="B406" s="18" t="s">
        <v>26</v>
      </c>
      <c r="C406" s="18" t="s">
        <v>29</v>
      </c>
      <c r="D406" s="19">
        <v>44896</v>
      </c>
      <c r="E406" s="20">
        <v>45501</v>
      </c>
      <c r="F406" s="21">
        <v>17496</v>
      </c>
      <c r="G406" s="21">
        <v>16249.6</v>
      </c>
      <c r="H406" s="21">
        <v>1577.6</v>
      </c>
      <c r="I406" s="18">
        <v>4418.5439999999999</v>
      </c>
      <c r="J406" s="18">
        <v>11298.592000000001</v>
      </c>
      <c r="K406" s="18" t="s">
        <v>43</v>
      </c>
      <c r="L406" s="18" t="s">
        <v>31</v>
      </c>
      <c r="M406" s="18" t="s">
        <v>32</v>
      </c>
      <c r="N406" s="22">
        <f t="shared" si="36"/>
        <v>0.92876085962505694</v>
      </c>
      <c r="O406" s="22">
        <f t="shared" si="37"/>
        <v>9.7085466719180794E-2</v>
      </c>
      <c r="P406" s="23">
        <f t="shared" si="38"/>
        <v>0.27191709334383601</v>
      </c>
      <c r="Q406" s="23">
        <f t="shared" si="39"/>
        <v>2.8008012170385399</v>
      </c>
      <c r="R406" s="22">
        <f t="shared" si="40"/>
        <v>1.5570848677754501</v>
      </c>
      <c r="S406" s="22">
        <f t="shared" si="41"/>
        <v>2.5570848677754499</v>
      </c>
    </row>
    <row r="407" spans="1:19">
      <c r="A407" s="18" t="s">
        <v>446</v>
      </c>
      <c r="B407" s="18" t="s">
        <v>28</v>
      </c>
      <c r="C407" s="18" t="s">
        <v>48</v>
      </c>
      <c r="D407" s="19">
        <v>44694</v>
      </c>
      <c r="E407" s="20">
        <v>45312</v>
      </c>
      <c r="F407" s="21">
        <v>48081.599999999999</v>
      </c>
      <c r="G407" s="21">
        <v>43878.400000000001</v>
      </c>
      <c r="H407" s="21">
        <v>32062.400000000001</v>
      </c>
      <c r="I407" s="18">
        <v>2701.4560000000001</v>
      </c>
      <c r="J407" s="18">
        <v>8213.8880000000008</v>
      </c>
      <c r="K407" s="18" t="s">
        <v>38</v>
      </c>
      <c r="L407" s="18" t="s">
        <v>44</v>
      </c>
      <c r="M407" s="18" t="s">
        <v>24</v>
      </c>
      <c r="N407" s="22">
        <f t="shared" si="36"/>
        <v>0.91258194402848503</v>
      </c>
      <c r="O407" s="22">
        <f t="shared" si="37"/>
        <v>0.73071032672112002</v>
      </c>
      <c r="P407" s="23">
        <f t="shared" si="38"/>
        <v>6.1566875729288199E-2</v>
      </c>
      <c r="Q407" s="23">
        <f t="shared" si="39"/>
        <v>8.4256200409202106E-2</v>
      </c>
      <c r="R407" s="22">
        <f t="shared" si="40"/>
        <v>2.04054110079898</v>
      </c>
      <c r="S407" s="22">
        <f t="shared" si="41"/>
        <v>3.04054110079898</v>
      </c>
    </row>
    <row r="408" spans="1:19">
      <c r="A408" s="18" t="s">
        <v>447</v>
      </c>
      <c r="B408" s="18" t="s">
        <v>28</v>
      </c>
      <c r="C408" s="18" t="s">
        <v>29</v>
      </c>
      <c r="D408" s="19">
        <v>44921</v>
      </c>
      <c r="E408" s="20">
        <v>45538</v>
      </c>
      <c r="F408" s="21">
        <v>39188.800000000003</v>
      </c>
      <c r="G408" s="21">
        <v>18718.400000000001</v>
      </c>
      <c r="H408" s="21">
        <v>10414.4</v>
      </c>
      <c r="I408" s="18">
        <v>5108.2560000000003</v>
      </c>
      <c r="J408" s="18">
        <v>18574.367999999999</v>
      </c>
      <c r="K408" s="18" t="s">
        <v>30</v>
      </c>
      <c r="L408" s="18" t="s">
        <v>23</v>
      </c>
      <c r="M408" s="18" t="s">
        <v>24</v>
      </c>
      <c r="N408" s="22">
        <f t="shared" si="36"/>
        <v>0.47764667456007798</v>
      </c>
      <c r="O408" s="22">
        <f t="shared" si="37"/>
        <v>0.55637233951619802</v>
      </c>
      <c r="P408" s="23">
        <f t="shared" si="38"/>
        <v>0.27290024788443501</v>
      </c>
      <c r="Q408" s="23">
        <f t="shared" si="39"/>
        <v>0.49049930864956198</v>
      </c>
      <c r="R408" s="22">
        <f t="shared" si="40"/>
        <v>2.6361466614046001</v>
      </c>
      <c r="S408" s="22">
        <f t="shared" si="41"/>
        <v>3.6361466614046001</v>
      </c>
    </row>
    <row r="409" spans="1:19">
      <c r="A409" s="18" t="s">
        <v>448</v>
      </c>
      <c r="B409" s="18" t="s">
        <v>34</v>
      </c>
      <c r="C409" s="18" t="s">
        <v>29</v>
      </c>
      <c r="D409" s="19">
        <v>44829</v>
      </c>
      <c r="E409" s="20">
        <v>45441</v>
      </c>
      <c r="F409" s="21">
        <v>55414.400000000001</v>
      </c>
      <c r="G409" s="21">
        <v>44344</v>
      </c>
      <c r="H409" s="21">
        <v>30593.599999999999</v>
      </c>
      <c r="I409" s="18">
        <v>7157.8720000000003</v>
      </c>
      <c r="J409" s="18">
        <v>19548.815999999999</v>
      </c>
      <c r="K409" s="18" t="s">
        <v>30</v>
      </c>
      <c r="L409" s="18" t="s">
        <v>23</v>
      </c>
      <c r="M409" s="18" t="s">
        <v>24</v>
      </c>
      <c r="N409" s="22">
        <f t="shared" si="36"/>
        <v>0.80022521221920695</v>
      </c>
      <c r="O409" s="22">
        <f t="shared" si="37"/>
        <v>0.68991520837091802</v>
      </c>
      <c r="P409" s="23">
        <f t="shared" si="38"/>
        <v>0.16141692224427201</v>
      </c>
      <c r="Q409" s="23">
        <f t="shared" si="39"/>
        <v>0.23396631975315099</v>
      </c>
      <c r="R409" s="22">
        <f t="shared" si="40"/>
        <v>1.7310932634727201</v>
      </c>
      <c r="S409" s="22">
        <f t="shared" si="41"/>
        <v>2.7310932634727201</v>
      </c>
    </row>
    <row r="410" spans="1:19">
      <c r="A410" s="18" t="s">
        <v>449</v>
      </c>
      <c r="B410" s="18" t="s">
        <v>34</v>
      </c>
      <c r="C410" s="18" t="s">
        <v>48</v>
      </c>
      <c r="D410" s="19">
        <v>44716</v>
      </c>
      <c r="E410" s="20">
        <v>45338</v>
      </c>
      <c r="F410" s="21">
        <v>65721.600000000006</v>
      </c>
      <c r="G410" s="21">
        <v>48900.800000000003</v>
      </c>
      <c r="H410" s="21">
        <v>8179.2</v>
      </c>
      <c r="I410" s="18">
        <v>2585.44</v>
      </c>
      <c r="J410" s="18">
        <v>6878.4</v>
      </c>
      <c r="K410" s="18" t="s">
        <v>65</v>
      </c>
      <c r="L410" s="18" t="s">
        <v>35</v>
      </c>
      <c r="M410" s="18" t="s">
        <v>32</v>
      </c>
      <c r="N410" s="22">
        <f t="shared" si="36"/>
        <v>0.74405979160580404</v>
      </c>
      <c r="O410" s="22">
        <f t="shared" si="37"/>
        <v>0.16726106730360199</v>
      </c>
      <c r="P410" s="23">
        <f t="shared" si="38"/>
        <v>5.2871118672905101E-2</v>
      </c>
      <c r="Q410" s="23">
        <f t="shared" si="39"/>
        <v>0.31609937402190902</v>
      </c>
      <c r="R410" s="22">
        <f t="shared" si="40"/>
        <v>1.6604369082245201</v>
      </c>
      <c r="S410" s="22">
        <f t="shared" si="41"/>
        <v>2.6604369082245198</v>
      </c>
    </row>
    <row r="411" spans="1:19">
      <c r="A411" s="18" t="s">
        <v>450</v>
      </c>
      <c r="B411" s="18" t="s">
        <v>20</v>
      </c>
      <c r="C411" s="18" t="s">
        <v>21</v>
      </c>
      <c r="D411" s="19">
        <v>44976</v>
      </c>
      <c r="E411" s="20">
        <v>45600</v>
      </c>
      <c r="F411" s="21">
        <v>27608</v>
      </c>
      <c r="G411" s="21">
        <v>4188.8</v>
      </c>
      <c r="H411" s="21">
        <v>3028.8</v>
      </c>
      <c r="I411" s="18">
        <v>207.76</v>
      </c>
      <c r="J411" s="18">
        <v>319.31200000000001</v>
      </c>
      <c r="K411" s="18" t="s">
        <v>43</v>
      </c>
      <c r="L411" s="18" t="s">
        <v>50</v>
      </c>
      <c r="M411" s="18" t="s">
        <v>24</v>
      </c>
      <c r="N411" s="22">
        <f t="shared" si="36"/>
        <v>0.15172413793103401</v>
      </c>
      <c r="O411" s="22">
        <f t="shared" si="37"/>
        <v>0.72307104660045796</v>
      </c>
      <c r="P411" s="23">
        <f t="shared" si="38"/>
        <v>4.9598930481283401E-2</v>
      </c>
      <c r="Q411" s="23">
        <f t="shared" si="39"/>
        <v>6.8594823032224E-2</v>
      </c>
      <c r="R411" s="22">
        <f t="shared" si="40"/>
        <v>0.53692722371967705</v>
      </c>
      <c r="S411" s="22">
        <f t="shared" si="41"/>
        <v>1.53692722371968</v>
      </c>
    </row>
    <row r="412" spans="1:19">
      <c r="A412" s="18" t="s">
        <v>451</v>
      </c>
      <c r="B412" s="18" t="s">
        <v>40</v>
      </c>
      <c r="C412" s="18" t="s">
        <v>48</v>
      </c>
      <c r="D412" s="19">
        <v>44739</v>
      </c>
      <c r="E412" s="20">
        <v>45340</v>
      </c>
      <c r="F412" s="21">
        <v>9259.2000000000007</v>
      </c>
      <c r="G412" s="21">
        <v>5360</v>
      </c>
      <c r="H412" s="21">
        <v>3676.8</v>
      </c>
      <c r="I412" s="18">
        <v>7204.8639999999996</v>
      </c>
      <c r="J412" s="18">
        <v>23893.151999999998</v>
      </c>
      <c r="K412" s="18" t="s">
        <v>43</v>
      </c>
      <c r="L412" s="18" t="s">
        <v>31</v>
      </c>
      <c r="M412" s="18" t="s">
        <v>32</v>
      </c>
      <c r="N412" s="22">
        <f t="shared" si="36"/>
        <v>0.57888370485571095</v>
      </c>
      <c r="O412" s="22">
        <f t="shared" si="37"/>
        <v>0.68597014925373101</v>
      </c>
      <c r="P412" s="23">
        <f t="shared" si="38"/>
        <v>1.3441910447761201</v>
      </c>
      <c r="Q412" s="23">
        <f t="shared" si="39"/>
        <v>1.9595474325500399</v>
      </c>
      <c r="R412" s="22">
        <f t="shared" si="40"/>
        <v>2.3162530201819198</v>
      </c>
      <c r="S412" s="22">
        <f t="shared" si="41"/>
        <v>3.3162530201819198</v>
      </c>
    </row>
    <row r="413" spans="1:19">
      <c r="A413" s="18" t="s">
        <v>452</v>
      </c>
      <c r="B413" s="18" t="s">
        <v>20</v>
      </c>
      <c r="C413" s="18" t="s">
        <v>21</v>
      </c>
      <c r="D413" s="19">
        <v>44717</v>
      </c>
      <c r="E413" s="20">
        <v>45343</v>
      </c>
      <c r="F413" s="21">
        <v>48291.199999999997</v>
      </c>
      <c r="G413" s="21">
        <v>3556.8</v>
      </c>
      <c r="H413" s="21">
        <v>2441.6</v>
      </c>
      <c r="I413" s="18">
        <v>4705.76</v>
      </c>
      <c r="J413" s="18">
        <v>18533.295999999998</v>
      </c>
      <c r="K413" s="18" t="s">
        <v>38</v>
      </c>
      <c r="L413" s="18" t="s">
        <v>35</v>
      </c>
      <c r="M413" s="18" t="s">
        <v>32</v>
      </c>
      <c r="N413" s="22">
        <f t="shared" si="36"/>
        <v>7.3653170764031495E-2</v>
      </c>
      <c r="O413" s="22">
        <f t="shared" si="37"/>
        <v>0.68645973909131797</v>
      </c>
      <c r="P413" s="23">
        <f t="shared" si="38"/>
        <v>1.32303193882141</v>
      </c>
      <c r="Q413" s="23">
        <f t="shared" si="39"/>
        <v>1.9273263433813901</v>
      </c>
      <c r="R413" s="22">
        <f t="shared" si="40"/>
        <v>2.9384277991227798</v>
      </c>
      <c r="S413" s="22">
        <f t="shared" si="41"/>
        <v>3.9384277991227798</v>
      </c>
    </row>
    <row r="414" spans="1:19">
      <c r="A414" s="18" t="s">
        <v>453</v>
      </c>
      <c r="B414" s="18" t="s">
        <v>40</v>
      </c>
      <c r="C414" s="18" t="s">
        <v>29</v>
      </c>
      <c r="D414" s="19">
        <v>44783</v>
      </c>
      <c r="E414" s="20">
        <v>45400</v>
      </c>
      <c r="F414" s="21">
        <v>70736</v>
      </c>
      <c r="G414" s="21">
        <v>26304</v>
      </c>
      <c r="H414" s="21">
        <v>10848</v>
      </c>
      <c r="I414" s="18">
        <v>2905.3919999999998</v>
      </c>
      <c r="J414" s="18">
        <v>7476.7839999999997</v>
      </c>
      <c r="K414" s="18" t="s">
        <v>38</v>
      </c>
      <c r="L414" s="18" t="s">
        <v>31</v>
      </c>
      <c r="M414" s="18" t="s">
        <v>24</v>
      </c>
      <c r="N414" s="22">
        <f t="shared" si="36"/>
        <v>0.37186156978059298</v>
      </c>
      <c r="O414" s="22">
        <f t="shared" si="37"/>
        <v>0.41240875912408798</v>
      </c>
      <c r="P414" s="23">
        <f t="shared" si="38"/>
        <v>0.110454379562044</v>
      </c>
      <c r="Q414" s="23">
        <f t="shared" si="39"/>
        <v>0.26782743362831901</v>
      </c>
      <c r="R414" s="22">
        <f t="shared" si="40"/>
        <v>1.5734165992058899</v>
      </c>
      <c r="S414" s="22">
        <f t="shared" si="41"/>
        <v>2.5734165992058902</v>
      </c>
    </row>
    <row r="415" spans="1:19">
      <c r="A415" s="18" t="s">
        <v>454</v>
      </c>
      <c r="B415" s="18" t="s">
        <v>28</v>
      </c>
      <c r="C415" s="18" t="s">
        <v>48</v>
      </c>
      <c r="D415" s="19">
        <v>44696</v>
      </c>
      <c r="E415" s="20">
        <v>45310</v>
      </c>
      <c r="F415" s="21">
        <v>39486.400000000001</v>
      </c>
      <c r="G415" s="21">
        <v>2536</v>
      </c>
      <c r="H415" s="21">
        <v>2129.6</v>
      </c>
      <c r="I415" s="18">
        <v>7719.92</v>
      </c>
      <c r="J415" s="18">
        <v>29951.216</v>
      </c>
      <c r="K415" s="18" t="s">
        <v>43</v>
      </c>
      <c r="L415" s="18" t="s">
        <v>50</v>
      </c>
      <c r="M415" s="18" t="s">
        <v>24</v>
      </c>
      <c r="N415" s="22">
        <f t="shared" si="36"/>
        <v>6.4224644434539499E-2</v>
      </c>
      <c r="O415" s="22">
        <f t="shared" si="37"/>
        <v>0.83974763406940101</v>
      </c>
      <c r="P415" s="23">
        <f t="shared" si="38"/>
        <v>3.04413249211356</v>
      </c>
      <c r="Q415" s="23">
        <f t="shared" si="39"/>
        <v>3.62505634861007</v>
      </c>
      <c r="R415" s="22">
        <f t="shared" si="40"/>
        <v>2.87973139618027</v>
      </c>
      <c r="S415" s="22">
        <f t="shared" si="41"/>
        <v>3.87973139618027</v>
      </c>
    </row>
    <row r="416" spans="1:19">
      <c r="A416" s="18" t="s">
        <v>455</v>
      </c>
      <c r="B416" s="18" t="s">
        <v>40</v>
      </c>
      <c r="C416" s="18" t="s">
        <v>48</v>
      </c>
      <c r="D416" s="19">
        <v>44973</v>
      </c>
      <c r="E416" s="20">
        <v>45574</v>
      </c>
      <c r="F416" s="21">
        <v>44072</v>
      </c>
      <c r="G416" s="21">
        <v>15174.4</v>
      </c>
      <c r="H416" s="21">
        <v>10508.8</v>
      </c>
      <c r="I416" s="18">
        <v>4931.0240000000003</v>
      </c>
      <c r="J416" s="18">
        <v>9243.5040000000008</v>
      </c>
      <c r="K416" s="18" t="s">
        <v>30</v>
      </c>
      <c r="L416" s="18" t="s">
        <v>44</v>
      </c>
      <c r="M416" s="18" t="s">
        <v>24</v>
      </c>
      <c r="N416" s="22">
        <f t="shared" si="36"/>
        <v>0.34430931203485199</v>
      </c>
      <c r="O416" s="22">
        <f t="shared" si="37"/>
        <v>0.69253479544495999</v>
      </c>
      <c r="P416" s="23">
        <f t="shared" si="38"/>
        <v>0.32495676929565598</v>
      </c>
      <c r="Q416" s="23">
        <f t="shared" si="39"/>
        <v>0.46922807551766099</v>
      </c>
      <c r="R416" s="22">
        <f t="shared" si="40"/>
        <v>0.87456074032493003</v>
      </c>
      <c r="S416" s="22">
        <f t="shared" si="41"/>
        <v>1.87456074032493</v>
      </c>
    </row>
    <row r="417" spans="1:19">
      <c r="A417" s="18" t="s">
        <v>456</v>
      </c>
      <c r="B417" s="18" t="s">
        <v>47</v>
      </c>
      <c r="C417" s="18" t="s">
        <v>41</v>
      </c>
      <c r="D417" s="19">
        <v>44878</v>
      </c>
      <c r="E417" s="20">
        <v>45506</v>
      </c>
      <c r="F417" s="21">
        <v>55947.199999999997</v>
      </c>
      <c r="G417" s="21">
        <v>1870.4</v>
      </c>
      <c r="H417" s="21">
        <v>952</v>
      </c>
      <c r="I417" s="18">
        <v>5256</v>
      </c>
      <c r="J417" s="18">
        <v>13935.2</v>
      </c>
      <c r="K417" s="18" t="s">
        <v>65</v>
      </c>
      <c r="L417" s="18" t="s">
        <v>31</v>
      </c>
      <c r="M417" s="18" t="s">
        <v>24</v>
      </c>
      <c r="N417" s="22">
        <f t="shared" si="36"/>
        <v>3.34315211485115E-2</v>
      </c>
      <c r="O417" s="22">
        <f t="shared" si="37"/>
        <v>0.50898203592814395</v>
      </c>
      <c r="P417" s="23">
        <f t="shared" si="38"/>
        <v>2.8100940975192499</v>
      </c>
      <c r="Q417" s="23">
        <f t="shared" si="39"/>
        <v>5.52100840336134</v>
      </c>
      <c r="R417" s="22">
        <f t="shared" si="40"/>
        <v>1.65129375951294</v>
      </c>
      <c r="S417" s="22">
        <f t="shared" si="41"/>
        <v>2.65129375951294</v>
      </c>
    </row>
    <row r="418" spans="1:19">
      <c r="A418" s="18" t="s">
        <v>457</v>
      </c>
      <c r="B418" s="18" t="s">
        <v>26</v>
      </c>
      <c r="C418" s="18" t="s">
        <v>41</v>
      </c>
      <c r="D418" s="19">
        <v>44731</v>
      </c>
      <c r="E418" s="20">
        <v>45357</v>
      </c>
      <c r="F418" s="21">
        <v>17014.400000000001</v>
      </c>
      <c r="G418" s="21">
        <v>14854.4</v>
      </c>
      <c r="H418" s="21">
        <v>4857.6000000000004</v>
      </c>
      <c r="I418" s="18">
        <v>1396.4480000000001</v>
      </c>
      <c r="J418" s="18">
        <v>1761.088</v>
      </c>
      <c r="K418" s="18" t="s">
        <v>38</v>
      </c>
      <c r="L418" s="18" t="s">
        <v>23</v>
      </c>
      <c r="M418" s="18" t="s">
        <v>24</v>
      </c>
      <c r="N418" s="22">
        <f t="shared" si="36"/>
        <v>0.87304871167951803</v>
      </c>
      <c r="O418" s="22">
        <f t="shared" si="37"/>
        <v>0.327014218009479</v>
      </c>
      <c r="P418" s="23">
        <f t="shared" si="38"/>
        <v>9.4009047824213696E-2</v>
      </c>
      <c r="Q418" s="23">
        <f t="shared" si="39"/>
        <v>0.28747694334650897</v>
      </c>
      <c r="R418" s="22">
        <f t="shared" si="40"/>
        <v>0.26111964068837501</v>
      </c>
      <c r="S418" s="22">
        <f t="shared" si="41"/>
        <v>1.26111964068837</v>
      </c>
    </row>
    <row r="419" spans="1:19">
      <c r="A419" s="18" t="s">
        <v>458</v>
      </c>
      <c r="B419" s="18" t="s">
        <v>28</v>
      </c>
      <c r="C419" s="18" t="s">
        <v>41</v>
      </c>
      <c r="D419" s="19">
        <v>44838</v>
      </c>
      <c r="E419" s="20">
        <v>45462</v>
      </c>
      <c r="F419" s="21">
        <v>58094.400000000001</v>
      </c>
      <c r="G419" s="21">
        <v>50110.400000000001</v>
      </c>
      <c r="H419" s="21">
        <v>1928</v>
      </c>
      <c r="I419" s="18">
        <v>4486.4799999999996</v>
      </c>
      <c r="J419" s="18">
        <v>16983.616000000002</v>
      </c>
      <c r="K419" s="18" t="s">
        <v>65</v>
      </c>
      <c r="L419" s="18" t="s">
        <v>35</v>
      </c>
      <c r="M419" s="18" t="s">
        <v>24</v>
      </c>
      <c r="N419" s="22">
        <f t="shared" si="36"/>
        <v>0.86256850918505101</v>
      </c>
      <c r="O419" s="22">
        <f t="shared" si="37"/>
        <v>3.8475047096012002E-2</v>
      </c>
      <c r="P419" s="23">
        <f t="shared" si="38"/>
        <v>8.9531913534914895E-2</v>
      </c>
      <c r="Q419" s="23">
        <f t="shared" si="39"/>
        <v>2.3270124481327801</v>
      </c>
      <c r="R419" s="22">
        <f t="shared" si="40"/>
        <v>2.7855102441112001</v>
      </c>
      <c r="S419" s="22">
        <f t="shared" si="41"/>
        <v>3.7855102441112001</v>
      </c>
    </row>
    <row r="420" spans="1:19">
      <c r="A420" s="18" t="s">
        <v>459</v>
      </c>
      <c r="B420" s="18" t="s">
        <v>40</v>
      </c>
      <c r="C420" s="18" t="s">
        <v>29</v>
      </c>
      <c r="D420" s="19">
        <v>44852</v>
      </c>
      <c r="E420" s="20">
        <v>45454</v>
      </c>
      <c r="F420" s="21">
        <v>30265.599999999999</v>
      </c>
      <c r="G420" s="21">
        <v>8352</v>
      </c>
      <c r="H420" s="21">
        <v>2392</v>
      </c>
      <c r="I420" s="18">
        <v>4255.6319999999996</v>
      </c>
      <c r="J420" s="18">
        <v>16745.423999999999</v>
      </c>
      <c r="K420" s="18" t="s">
        <v>22</v>
      </c>
      <c r="L420" s="18" t="s">
        <v>23</v>
      </c>
      <c r="M420" s="18" t="s">
        <v>24</v>
      </c>
      <c r="N420" s="22">
        <f t="shared" si="36"/>
        <v>0.27595686191583801</v>
      </c>
      <c r="O420" s="22">
        <f t="shared" si="37"/>
        <v>0.28639846743295</v>
      </c>
      <c r="P420" s="23">
        <f t="shared" si="38"/>
        <v>0.50953448275862101</v>
      </c>
      <c r="Q420" s="23">
        <f t="shared" si="39"/>
        <v>1.77911036789298</v>
      </c>
      <c r="R420" s="22">
        <f t="shared" si="40"/>
        <v>2.9348853472292702</v>
      </c>
      <c r="S420" s="22">
        <f t="shared" si="41"/>
        <v>3.9348853472292702</v>
      </c>
    </row>
    <row r="421" spans="1:19">
      <c r="A421" s="18" t="s">
        <v>460</v>
      </c>
      <c r="B421" s="18" t="s">
        <v>40</v>
      </c>
      <c r="C421" s="18" t="s">
        <v>29</v>
      </c>
      <c r="D421" s="19">
        <v>44843</v>
      </c>
      <c r="E421" s="20">
        <v>45445</v>
      </c>
      <c r="F421" s="21">
        <v>27974.400000000001</v>
      </c>
      <c r="G421" s="21">
        <v>2555.1999999999998</v>
      </c>
      <c r="H421" s="21">
        <v>1604.8</v>
      </c>
      <c r="I421" s="18">
        <v>7840.8320000000003</v>
      </c>
      <c r="J421" s="18">
        <v>21156.175999999999</v>
      </c>
      <c r="K421" s="18" t="s">
        <v>38</v>
      </c>
      <c r="L421" s="18" t="s">
        <v>23</v>
      </c>
      <c r="M421" s="18" t="s">
        <v>24</v>
      </c>
      <c r="N421" s="22">
        <f t="shared" si="36"/>
        <v>9.1340654312514299E-2</v>
      </c>
      <c r="O421" s="22">
        <f t="shared" si="37"/>
        <v>0.62805259862241702</v>
      </c>
      <c r="P421" s="23">
        <f t="shared" si="38"/>
        <v>3.0685785848465899</v>
      </c>
      <c r="Q421" s="23">
        <f t="shared" si="39"/>
        <v>4.8858624127617096</v>
      </c>
      <c r="R421" s="22">
        <f t="shared" si="40"/>
        <v>1.6982054965595501</v>
      </c>
      <c r="S421" s="22">
        <f t="shared" si="41"/>
        <v>2.6982054965595501</v>
      </c>
    </row>
    <row r="422" spans="1:19">
      <c r="A422" s="18" t="s">
        <v>461</v>
      </c>
      <c r="B422" s="18" t="s">
        <v>20</v>
      </c>
      <c r="C422" s="18" t="s">
        <v>21</v>
      </c>
      <c r="D422" s="19">
        <v>44958</v>
      </c>
      <c r="E422" s="20">
        <v>45585</v>
      </c>
      <c r="F422" s="21">
        <v>11803.2</v>
      </c>
      <c r="G422" s="21">
        <v>9753.6</v>
      </c>
      <c r="H422" s="21">
        <v>507.2</v>
      </c>
      <c r="I422" s="18">
        <v>1531.2</v>
      </c>
      <c r="J422" s="18">
        <v>3463.616</v>
      </c>
      <c r="K422" s="18" t="s">
        <v>30</v>
      </c>
      <c r="L422" s="18" t="s">
        <v>31</v>
      </c>
      <c r="M422" s="18" t="s">
        <v>24</v>
      </c>
      <c r="N422" s="22">
        <f t="shared" si="36"/>
        <v>0.82635217568117103</v>
      </c>
      <c r="O422" s="22">
        <f t="shared" si="37"/>
        <v>5.2001312335957998E-2</v>
      </c>
      <c r="P422" s="23">
        <f t="shared" si="38"/>
        <v>0.15698818897637801</v>
      </c>
      <c r="Q422" s="23">
        <f t="shared" si="39"/>
        <v>3.0189274447949499</v>
      </c>
      <c r="R422" s="22">
        <f t="shared" si="40"/>
        <v>1.26202716823406</v>
      </c>
      <c r="S422" s="22">
        <f t="shared" si="41"/>
        <v>2.2620271682340598</v>
      </c>
    </row>
    <row r="423" spans="1:19">
      <c r="A423" s="18" t="s">
        <v>462</v>
      </c>
      <c r="B423" s="18" t="s">
        <v>47</v>
      </c>
      <c r="C423" s="18" t="s">
        <v>48</v>
      </c>
      <c r="D423" s="19">
        <v>44814</v>
      </c>
      <c r="E423" s="20">
        <v>45416</v>
      </c>
      <c r="F423" s="21">
        <v>31201.599999999999</v>
      </c>
      <c r="G423" s="21">
        <v>21161.599999999999</v>
      </c>
      <c r="H423" s="21">
        <v>4224</v>
      </c>
      <c r="I423" s="18">
        <v>7828.88</v>
      </c>
      <c r="J423" s="18">
        <v>24316.16</v>
      </c>
      <c r="K423" s="18" t="s">
        <v>43</v>
      </c>
      <c r="L423" s="18" t="s">
        <v>50</v>
      </c>
      <c r="M423" s="18" t="s">
        <v>24</v>
      </c>
      <c r="N423" s="22">
        <f t="shared" si="36"/>
        <v>0.67822162966001698</v>
      </c>
      <c r="O423" s="22">
        <f t="shared" si="37"/>
        <v>0.199606835021927</v>
      </c>
      <c r="P423" s="23">
        <f t="shared" si="38"/>
        <v>0.36995690306971102</v>
      </c>
      <c r="Q423" s="23">
        <f t="shared" si="39"/>
        <v>1.8534280303030299</v>
      </c>
      <c r="R423" s="22">
        <f t="shared" si="40"/>
        <v>2.10595640755766</v>
      </c>
      <c r="S423" s="22">
        <f t="shared" si="41"/>
        <v>3.10595640755766</v>
      </c>
    </row>
    <row r="424" spans="1:19">
      <c r="A424" s="18" t="s">
        <v>463</v>
      </c>
      <c r="B424" s="18" t="s">
        <v>47</v>
      </c>
      <c r="C424" s="18" t="s">
        <v>48</v>
      </c>
      <c r="D424" s="19">
        <v>44923</v>
      </c>
      <c r="E424" s="20">
        <v>45546</v>
      </c>
      <c r="F424" s="21">
        <v>69532.800000000003</v>
      </c>
      <c r="G424" s="21">
        <v>14060.8</v>
      </c>
      <c r="H424" s="21">
        <v>1635.2</v>
      </c>
      <c r="I424" s="18">
        <v>3890.88</v>
      </c>
      <c r="J424" s="18">
        <v>7059.2160000000003</v>
      </c>
      <c r="K424" s="18" t="s">
        <v>38</v>
      </c>
      <c r="L424" s="18" t="s">
        <v>23</v>
      </c>
      <c r="M424" s="18" t="s">
        <v>24</v>
      </c>
      <c r="N424" s="22">
        <f t="shared" si="36"/>
        <v>0.202218233696903</v>
      </c>
      <c r="O424" s="22">
        <f t="shared" si="37"/>
        <v>0.116294947655894</v>
      </c>
      <c r="P424" s="23">
        <f t="shared" si="38"/>
        <v>0.27671825216203899</v>
      </c>
      <c r="Q424" s="23">
        <f t="shared" si="39"/>
        <v>2.3794520547945202</v>
      </c>
      <c r="R424" s="22">
        <f t="shared" si="40"/>
        <v>0.81429805082654805</v>
      </c>
      <c r="S424" s="22">
        <f t="shared" si="41"/>
        <v>1.81429805082655</v>
      </c>
    </row>
    <row r="425" spans="1:19">
      <c r="A425" s="18" t="s">
        <v>464</v>
      </c>
      <c r="B425" s="18" t="s">
        <v>28</v>
      </c>
      <c r="C425" s="18" t="s">
        <v>21</v>
      </c>
      <c r="D425" s="19">
        <v>44932</v>
      </c>
      <c r="E425" s="20">
        <v>45535</v>
      </c>
      <c r="F425" s="21">
        <v>40896</v>
      </c>
      <c r="G425" s="21">
        <v>29617.599999999999</v>
      </c>
      <c r="H425" s="21">
        <v>763.2</v>
      </c>
      <c r="I425" s="18">
        <v>6881.7920000000004</v>
      </c>
      <c r="J425" s="18">
        <v>13252.64</v>
      </c>
      <c r="K425" s="18" t="s">
        <v>22</v>
      </c>
      <c r="L425" s="18" t="s">
        <v>44</v>
      </c>
      <c r="M425" s="18" t="s">
        <v>24</v>
      </c>
      <c r="N425" s="22">
        <f t="shared" si="36"/>
        <v>0.72421752738654099</v>
      </c>
      <c r="O425" s="22">
        <f t="shared" si="37"/>
        <v>2.5768461995570199E-2</v>
      </c>
      <c r="P425" s="23">
        <f t="shared" si="38"/>
        <v>0.23235481605531799</v>
      </c>
      <c r="Q425" s="23">
        <f t="shared" si="39"/>
        <v>9.0170230607966495</v>
      </c>
      <c r="R425" s="22">
        <f t="shared" si="40"/>
        <v>0.92575422215608905</v>
      </c>
      <c r="S425" s="22">
        <f t="shared" si="41"/>
        <v>1.9257542221560899</v>
      </c>
    </row>
    <row r="426" spans="1:19">
      <c r="A426" s="18" t="s">
        <v>465</v>
      </c>
      <c r="B426" s="18" t="s">
        <v>20</v>
      </c>
      <c r="C426" s="18" t="s">
        <v>41</v>
      </c>
      <c r="D426" s="19">
        <v>44932</v>
      </c>
      <c r="E426" s="20">
        <v>45548</v>
      </c>
      <c r="F426" s="21">
        <v>17032</v>
      </c>
      <c r="G426" s="21">
        <v>16753.599999999999</v>
      </c>
      <c r="H426" s="21">
        <v>8107.2</v>
      </c>
      <c r="I426" s="18">
        <v>6929.0079999999998</v>
      </c>
      <c r="J426" s="18">
        <v>23752.511999999999</v>
      </c>
      <c r="K426" s="18" t="s">
        <v>43</v>
      </c>
      <c r="L426" s="18" t="s">
        <v>31</v>
      </c>
      <c r="M426" s="18" t="s">
        <v>32</v>
      </c>
      <c r="N426" s="22">
        <f t="shared" si="36"/>
        <v>0.983654297792391</v>
      </c>
      <c r="O426" s="22">
        <f t="shared" si="37"/>
        <v>0.48390793620475597</v>
      </c>
      <c r="P426" s="23">
        <f t="shared" si="38"/>
        <v>0.41358322987298302</v>
      </c>
      <c r="Q426" s="23">
        <f t="shared" si="39"/>
        <v>0.85467337675152999</v>
      </c>
      <c r="R426" s="22">
        <f t="shared" si="40"/>
        <v>2.4279816100659701</v>
      </c>
      <c r="S426" s="22">
        <f t="shared" si="41"/>
        <v>3.4279816100659701</v>
      </c>
    </row>
    <row r="427" spans="1:19">
      <c r="A427" s="18" t="s">
        <v>466</v>
      </c>
      <c r="B427" s="18" t="s">
        <v>40</v>
      </c>
      <c r="C427" s="18" t="s">
        <v>41</v>
      </c>
      <c r="D427" s="19">
        <v>44736</v>
      </c>
      <c r="E427" s="20">
        <v>45345</v>
      </c>
      <c r="F427" s="21">
        <v>55665.599999999999</v>
      </c>
      <c r="G427" s="21">
        <v>33457.599999999999</v>
      </c>
      <c r="H427" s="21">
        <v>24971.200000000001</v>
      </c>
      <c r="I427" s="18">
        <v>1801.52</v>
      </c>
      <c r="J427" s="18">
        <v>3548.6559999999999</v>
      </c>
      <c r="K427" s="18" t="s">
        <v>43</v>
      </c>
      <c r="L427" s="18" t="s">
        <v>31</v>
      </c>
      <c r="M427" s="18" t="s">
        <v>32</v>
      </c>
      <c r="N427" s="22">
        <f t="shared" si="36"/>
        <v>0.60104624759276803</v>
      </c>
      <c r="O427" s="22">
        <f t="shared" si="37"/>
        <v>0.74635359380230504</v>
      </c>
      <c r="P427" s="23">
        <f t="shared" si="38"/>
        <v>5.38448663382909E-2</v>
      </c>
      <c r="Q427" s="23">
        <f t="shared" si="39"/>
        <v>7.2143909784071203E-2</v>
      </c>
      <c r="R427" s="22">
        <f t="shared" si="40"/>
        <v>0.96981215862160797</v>
      </c>
      <c r="S427" s="22">
        <f t="shared" si="41"/>
        <v>1.96981215862161</v>
      </c>
    </row>
    <row r="428" spans="1:19">
      <c r="A428" s="18" t="s">
        <v>467</v>
      </c>
      <c r="B428" s="18" t="s">
        <v>47</v>
      </c>
      <c r="C428" s="18" t="s">
        <v>29</v>
      </c>
      <c r="D428" s="19">
        <v>44707</v>
      </c>
      <c r="E428" s="20">
        <v>45326</v>
      </c>
      <c r="F428" s="21">
        <v>44496</v>
      </c>
      <c r="G428" s="21">
        <v>22563.200000000001</v>
      </c>
      <c r="H428" s="21">
        <v>5534.4</v>
      </c>
      <c r="I428" s="18">
        <v>6483.1040000000003</v>
      </c>
      <c r="J428" s="18">
        <v>10731.328</v>
      </c>
      <c r="K428" s="18" t="s">
        <v>43</v>
      </c>
      <c r="L428" s="18" t="s">
        <v>31</v>
      </c>
      <c r="M428" s="18" t="s">
        <v>24</v>
      </c>
      <c r="N428" s="22">
        <f t="shared" si="36"/>
        <v>0.507083782811938</v>
      </c>
      <c r="O428" s="22">
        <f t="shared" si="37"/>
        <v>0.24528435682881899</v>
      </c>
      <c r="P428" s="23">
        <f t="shared" si="38"/>
        <v>0.287330875053184</v>
      </c>
      <c r="Q428" s="23">
        <f t="shared" si="39"/>
        <v>1.1714194854004001</v>
      </c>
      <c r="R428" s="22">
        <f t="shared" si="40"/>
        <v>0.65527623804893398</v>
      </c>
      <c r="S428" s="22">
        <f t="shared" si="41"/>
        <v>1.6552762380489301</v>
      </c>
    </row>
    <row r="429" spans="1:19">
      <c r="A429" s="18" t="s">
        <v>468</v>
      </c>
      <c r="B429" s="18" t="s">
        <v>28</v>
      </c>
      <c r="C429" s="18" t="s">
        <v>29</v>
      </c>
      <c r="D429" s="19">
        <v>44869</v>
      </c>
      <c r="E429" s="20">
        <v>45491</v>
      </c>
      <c r="F429" s="21">
        <v>12144</v>
      </c>
      <c r="G429" s="21">
        <v>3508.8</v>
      </c>
      <c r="H429" s="21">
        <v>2273.6</v>
      </c>
      <c r="I429" s="18">
        <v>3763.68</v>
      </c>
      <c r="J429" s="18">
        <v>9833.2479999999996</v>
      </c>
      <c r="K429" s="18" t="s">
        <v>43</v>
      </c>
      <c r="L429" s="18" t="s">
        <v>35</v>
      </c>
      <c r="M429" s="18" t="s">
        <v>32</v>
      </c>
      <c r="N429" s="22">
        <f t="shared" si="36"/>
        <v>0.288932806324111</v>
      </c>
      <c r="O429" s="22">
        <f t="shared" si="37"/>
        <v>0.64797081623346997</v>
      </c>
      <c r="P429" s="23">
        <f t="shared" si="38"/>
        <v>1.07264021887825</v>
      </c>
      <c r="Q429" s="23">
        <f t="shared" si="39"/>
        <v>1.6553835327234301</v>
      </c>
      <c r="R429" s="22">
        <f t="shared" si="40"/>
        <v>1.61266845215321</v>
      </c>
      <c r="S429" s="22">
        <f t="shared" si="41"/>
        <v>2.6126684521532102</v>
      </c>
    </row>
    <row r="430" spans="1:19">
      <c r="A430" s="18" t="s">
        <v>469</v>
      </c>
      <c r="B430" s="18" t="s">
        <v>47</v>
      </c>
      <c r="C430" s="18" t="s">
        <v>48</v>
      </c>
      <c r="D430" s="19">
        <v>44916</v>
      </c>
      <c r="E430" s="20">
        <v>45533</v>
      </c>
      <c r="F430" s="21">
        <v>18926.400000000001</v>
      </c>
      <c r="G430" s="21">
        <v>16206.4</v>
      </c>
      <c r="H430" s="21">
        <v>10406.4</v>
      </c>
      <c r="I430" s="18">
        <v>1348.1759999999999</v>
      </c>
      <c r="J430" s="18">
        <v>2639.4079999999999</v>
      </c>
      <c r="K430" s="18" t="s">
        <v>22</v>
      </c>
      <c r="L430" s="18" t="s">
        <v>35</v>
      </c>
      <c r="M430" s="18" t="s">
        <v>32</v>
      </c>
      <c r="N430" s="22">
        <f t="shared" si="36"/>
        <v>0.85628540028742905</v>
      </c>
      <c r="O430" s="22">
        <f t="shared" si="37"/>
        <v>0.64211669463915499</v>
      </c>
      <c r="P430" s="23">
        <f t="shared" si="38"/>
        <v>8.3187876394510807E-2</v>
      </c>
      <c r="Q430" s="23">
        <f t="shared" si="39"/>
        <v>0.12955258302583</v>
      </c>
      <c r="R430" s="22">
        <f t="shared" si="40"/>
        <v>0.95776219128659801</v>
      </c>
      <c r="S430" s="22">
        <f t="shared" si="41"/>
        <v>1.9577621912865999</v>
      </c>
    </row>
    <row r="431" spans="1:19">
      <c r="A431" s="18" t="s">
        <v>470</v>
      </c>
      <c r="B431" s="18" t="s">
        <v>47</v>
      </c>
      <c r="C431" s="18" t="s">
        <v>41</v>
      </c>
      <c r="D431" s="19">
        <v>44784</v>
      </c>
      <c r="E431" s="20">
        <v>45386</v>
      </c>
      <c r="F431" s="21">
        <v>73856</v>
      </c>
      <c r="G431" s="21">
        <v>65544</v>
      </c>
      <c r="H431" s="21">
        <v>9184</v>
      </c>
      <c r="I431" s="18">
        <v>3168.4</v>
      </c>
      <c r="J431" s="18">
        <v>11549.664000000001</v>
      </c>
      <c r="K431" s="18" t="s">
        <v>38</v>
      </c>
      <c r="L431" s="18" t="s">
        <v>31</v>
      </c>
      <c r="M431" s="18" t="s">
        <v>32</v>
      </c>
      <c r="N431" s="22">
        <f t="shared" si="36"/>
        <v>0.88745667244367399</v>
      </c>
      <c r="O431" s="22">
        <f t="shared" si="37"/>
        <v>0.140119614304894</v>
      </c>
      <c r="P431" s="23">
        <f t="shared" si="38"/>
        <v>4.8340046381057003E-2</v>
      </c>
      <c r="Q431" s="23">
        <f t="shared" si="39"/>
        <v>0.344991289198606</v>
      </c>
      <c r="R431" s="22">
        <f t="shared" si="40"/>
        <v>2.6452670117409398</v>
      </c>
      <c r="S431" s="22">
        <f t="shared" si="41"/>
        <v>3.6452670117409398</v>
      </c>
    </row>
    <row r="432" spans="1:19">
      <c r="A432" s="18" t="s">
        <v>471</v>
      </c>
      <c r="B432" s="18" t="s">
        <v>28</v>
      </c>
      <c r="C432" s="18" t="s">
        <v>41</v>
      </c>
      <c r="D432" s="19">
        <v>44956</v>
      </c>
      <c r="E432" s="20">
        <v>45564</v>
      </c>
      <c r="F432" s="21">
        <v>59720</v>
      </c>
      <c r="G432" s="21">
        <v>47084.800000000003</v>
      </c>
      <c r="H432" s="21">
        <v>36784</v>
      </c>
      <c r="I432" s="18">
        <v>539.47199999999998</v>
      </c>
      <c r="J432" s="18">
        <v>1571.712</v>
      </c>
      <c r="K432" s="18" t="s">
        <v>30</v>
      </c>
      <c r="L432" s="18" t="s">
        <v>50</v>
      </c>
      <c r="M432" s="18" t="s">
        <v>24</v>
      </c>
      <c r="N432" s="22">
        <f t="shared" si="36"/>
        <v>0.78842598794373797</v>
      </c>
      <c r="O432" s="22">
        <f t="shared" si="37"/>
        <v>0.78122876172352895</v>
      </c>
      <c r="P432" s="23">
        <f t="shared" si="38"/>
        <v>1.14574554845725E-2</v>
      </c>
      <c r="Q432" s="23">
        <f t="shared" si="39"/>
        <v>1.4665941713788599E-2</v>
      </c>
      <c r="R432" s="22">
        <f t="shared" si="40"/>
        <v>1.91342646142895</v>
      </c>
      <c r="S432" s="22">
        <f t="shared" si="41"/>
        <v>2.91342646142895</v>
      </c>
    </row>
    <row r="433" spans="1:19">
      <c r="A433" s="18" t="s">
        <v>472</v>
      </c>
      <c r="B433" s="18" t="s">
        <v>28</v>
      </c>
      <c r="C433" s="18" t="s">
        <v>48</v>
      </c>
      <c r="D433" s="19">
        <v>44787</v>
      </c>
      <c r="E433" s="20">
        <v>45403</v>
      </c>
      <c r="F433" s="21">
        <v>32305.599999999999</v>
      </c>
      <c r="G433" s="21">
        <v>15804.8</v>
      </c>
      <c r="H433" s="21">
        <v>6329.6</v>
      </c>
      <c r="I433" s="18">
        <v>7985.0720000000001</v>
      </c>
      <c r="J433" s="18">
        <v>31791.344000000001</v>
      </c>
      <c r="K433" s="18" t="s">
        <v>30</v>
      </c>
      <c r="L433" s="18" t="s">
        <v>50</v>
      </c>
      <c r="M433" s="18" t="s">
        <v>24</v>
      </c>
      <c r="N433" s="22">
        <f t="shared" si="36"/>
        <v>0.48922787380516097</v>
      </c>
      <c r="O433" s="22">
        <f t="shared" si="37"/>
        <v>0.400485928325572</v>
      </c>
      <c r="P433" s="23">
        <f t="shared" si="38"/>
        <v>0.50523081595464703</v>
      </c>
      <c r="Q433" s="23">
        <f t="shared" si="39"/>
        <v>1.2615444893832199</v>
      </c>
      <c r="R433" s="22">
        <f t="shared" si="40"/>
        <v>2.9813471938637499</v>
      </c>
      <c r="S433" s="22">
        <f t="shared" si="41"/>
        <v>3.9813471938637499</v>
      </c>
    </row>
    <row r="434" spans="1:19">
      <c r="A434" s="18" t="s">
        <v>473</v>
      </c>
      <c r="B434" s="18" t="s">
        <v>26</v>
      </c>
      <c r="C434" s="18" t="s">
        <v>48</v>
      </c>
      <c r="D434" s="19">
        <v>44791</v>
      </c>
      <c r="E434" s="20">
        <v>45416</v>
      </c>
      <c r="F434" s="21">
        <v>58070.400000000001</v>
      </c>
      <c r="G434" s="21">
        <v>44691.199999999997</v>
      </c>
      <c r="H434" s="21">
        <v>15396.8</v>
      </c>
      <c r="I434" s="18">
        <v>2818.3679999999999</v>
      </c>
      <c r="J434" s="18">
        <v>9291.76</v>
      </c>
      <c r="K434" s="18" t="s">
        <v>65</v>
      </c>
      <c r="L434" s="18" t="s">
        <v>44</v>
      </c>
      <c r="M434" s="18" t="s">
        <v>24</v>
      </c>
      <c r="N434" s="22">
        <f t="shared" si="36"/>
        <v>0.76960379126026301</v>
      </c>
      <c r="O434" s="22">
        <f t="shared" si="37"/>
        <v>0.344515251324646</v>
      </c>
      <c r="P434" s="23">
        <f t="shared" si="38"/>
        <v>6.3063153372476005E-2</v>
      </c>
      <c r="Q434" s="23">
        <f t="shared" si="39"/>
        <v>0.18304894523537399</v>
      </c>
      <c r="R434" s="22">
        <f t="shared" si="40"/>
        <v>2.2968583236823599</v>
      </c>
      <c r="S434" s="22">
        <f t="shared" si="41"/>
        <v>3.2968583236823599</v>
      </c>
    </row>
    <row r="435" spans="1:19">
      <c r="A435" s="18" t="s">
        <v>474</v>
      </c>
      <c r="B435" s="18" t="s">
        <v>20</v>
      </c>
      <c r="C435" s="18" t="s">
        <v>21</v>
      </c>
      <c r="D435" s="19">
        <v>44704</v>
      </c>
      <c r="E435" s="20">
        <v>45311</v>
      </c>
      <c r="F435" s="21">
        <v>39952</v>
      </c>
      <c r="G435" s="21">
        <v>20584</v>
      </c>
      <c r="H435" s="21">
        <v>420.8</v>
      </c>
      <c r="I435" s="18">
        <v>6647.1840000000002</v>
      </c>
      <c r="J435" s="18">
        <v>10189.791999999999</v>
      </c>
      <c r="K435" s="18" t="s">
        <v>30</v>
      </c>
      <c r="L435" s="18" t="s">
        <v>44</v>
      </c>
      <c r="M435" s="18" t="s">
        <v>24</v>
      </c>
      <c r="N435" s="22">
        <f t="shared" si="36"/>
        <v>0.51521826191429698</v>
      </c>
      <c r="O435" s="22">
        <f t="shared" si="37"/>
        <v>2.0443062572872098E-2</v>
      </c>
      <c r="P435" s="23">
        <f t="shared" si="38"/>
        <v>0.32292965410027202</v>
      </c>
      <c r="Q435" s="23">
        <f t="shared" si="39"/>
        <v>15.7965399239544</v>
      </c>
      <c r="R435" s="22">
        <f t="shared" si="40"/>
        <v>0.53294868924946204</v>
      </c>
      <c r="S435" s="22">
        <f t="shared" si="41"/>
        <v>1.5329486892494599</v>
      </c>
    </row>
    <row r="436" spans="1:19">
      <c r="A436" s="18" t="s">
        <v>475</v>
      </c>
      <c r="B436" s="18" t="s">
        <v>47</v>
      </c>
      <c r="C436" s="18" t="s">
        <v>21</v>
      </c>
      <c r="D436" s="19">
        <v>44900</v>
      </c>
      <c r="E436" s="20">
        <v>45528</v>
      </c>
      <c r="F436" s="21">
        <v>42017.599999999999</v>
      </c>
      <c r="G436" s="21">
        <v>34505.599999999999</v>
      </c>
      <c r="H436" s="21">
        <v>10726.4</v>
      </c>
      <c r="I436" s="18">
        <v>7712.2240000000002</v>
      </c>
      <c r="J436" s="18">
        <v>10222.56</v>
      </c>
      <c r="K436" s="18" t="s">
        <v>43</v>
      </c>
      <c r="L436" s="18" t="s">
        <v>23</v>
      </c>
      <c r="M436" s="18" t="s">
        <v>32</v>
      </c>
      <c r="N436" s="22">
        <f t="shared" si="36"/>
        <v>0.82121777540840002</v>
      </c>
      <c r="O436" s="22">
        <f t="shared" si="37"/>
        <v>0.310859686543633</v>
      </c>
      <c r="P436" s="23">
        <f t="shared" si="38"/>
        <v>0.22350644533061301</v>
      </c>
      <c r="Q436" s="23">
        <f t="shared" si="39"/>
        <v>0.71899463007159903</v>
      </c>
      <c r="R436" s="22">
        <f t="shared" si="40"/>
        <v>0.32550091906044198</v>
      </c>
      <c r="S436" s="22">
        <f t="shared" si="41"/>
        <v>1.3255009190604401</v>
      </c>
    </row>
    <row r="437" spans="1:19">
      <c r="A437" s="18" t="s">
        <v>476</v>
      </c>
      <c r="B437" s="18" t="s">
        <v>40</v>
      </c>
      <c r="C437" s="18" t="s">
        <v>21</v>
      </c>
      <c r="D437" s="19">
        <v>44928</v>
      </c>
      <c r="E437" s="20">
        <v>45543</v>
      </c>
      <c r="F437" s="21">
        <v>6278.4</v>
      </c>
      <c r="G437" s="21">
        <v>5934.4</v>
      </c>
      <c r="H437" s="21">
        <v>3115.2</v>
      </c>
      <c r="I437" s="18">
        <v>1589.6479999999999</v>
      </c>
      <c r="J437" s="18">
        <v>6081.152</v>
      </c>
      <c r="K437" s="18" t="s">
        <v>38</v>
      </c>
      <c r="L437" s="18" t="s">
        <v>23</v>
      </c>
      <c r="M437" s="18" t="s">
        <v>24</v>
      </c>
      <c r="N437" s="22">
        <f t="shared" si="36"/>
        <v>0.94520897043832797</v>
      </c>
      <c r="O437" s="22">
        <f t="shared" si="37"/>
        <v>0.52493933674844995</v>
      </c>
      <c r="P437" s="23">
        <f t="shared" si="38"/>
        <v>0.267870045834457</v>
      </c>
      <c r="Q437" s="23">
        <f t="shared" si="39"/>
        <v>0.51028762198253697</v>
      </c>
      <c r="R437" s="22">
        <f t="shared" si="40"/>
        <v>2.8254707960504502</v>
      </c>
      <c r="S437" s="22">
        <f t="shared" si="41"/>
        <v>3.8254707960504502</v>
      </c>
    </row>
    <row r="438" spans="1:19">
      <c r="A438" s="18" t="s">
        <v>477</v>
      </c>
      <c r="B438" s="18" t="s">
        <v>40</v>
      </c>
      <c r="C438" s="18" t="s">
        <v>29</v>
      </c>
      <c r="D438" s="19">
        <v>44845</v>
      </c>
      <c r="E438" s="20">
        <v>45447</v>
      </c>
      <c r="F438" s="21">
        <v>75516.800000000003</v>
      </c>
      <c r="G438" s="21">
        <v>64036.800000000003</v>
      </c>
      <c r="H438" s="21">
        <v>8756.7999999999993</v>
      </c>
      <c r="I438" s="18">
        <v>4654.848</v>
      </c>
      <c r="J438" s="18">
        <v>16345.216</v>
      </c>
      <c r="K438" s="18" t="s">
        <v>65</v>
      </c>
      <c r="L438" s="18" t="s">
        <v>31</v>
      </c>
      <c r="M438" s="18" t="s">
        <v>32</v>
      </c>
      <c r="N438" s="22">
        <f t="shared" si="36"/>
        <v>0.84798084664604401</v>
      </c>
      <c r="O438" s="22">
        <f t="shared" si="37"/>
        <v>0.13674637083676899</v>
      </c>
      <c r="P438" s="23">
        <f t="shared" si="38"/>
        <v>7.2690203133198406E-2</v>
      </c>
      <c r="Q438" s="23">
        <f t="shared" si="39"/>
        <v>0.53156952311346595</v>
      </c>
      <c r="R438" s="22">
        <f t="shared" si="40"/>
        <v>2.5114392564483299</v>
      </c>
      <c r="S438" s="22">
        <f t="shared" si="41"/>
        <v>3.5114392564483299</v>
      </c>
    </row>
    <row r="439" spans="1:19">
      <c r="A439" s="18" t="s">
        <v>478</v>
      </c>
      <c r="B439" s="18" t="s">
        <v>20</v>
      </c>
      <c r="C439" s="18" t="s">
        <v>41</v>
      </c>
      <c r="D439" s="19">
        <v>44772</v>
      </c>
      <c r="E439" s="20">
        <v>45400</v>
      </c>
      <c r="F439" s="21">
        <v>25475.200000000001</v>
      </c>
      <c r="G439" s="21">
        <v>24980.799999999999</v>
      </c>
      <c r="H439" s="21">
        <v>1545.6</v>
      </c>
      <c r="I439" s="18">
        <v>6278.0959999999995</v>
      </c>
      <c r="J439" s="18">
        <v>8041.3760000000002</v>
      </c>
      <c r="K439" s="18" t="s">
        <v>22</v>
      </c>
      <c r="L439" s="18" t="s">
        <v>31</v>
      </c>
      <c r="M439" s="18" t="s">
        <v>32</v>
      </c>
      <c r="N439" s="22">
        <f t="shared" si="36"/>
        <v>0.98059289034040897</v>
      </c>
      <c r="O439" s="22">
        <f t="shared" si="37"/>
        <v>6.1871517325305797E-2</v>
      </c>
      <c r="P439" s="23">
        <f t="shared" si="38"/>
        <v>0.25131685134183102</v>
      </c>
      <c r="Q439" s="23">
        <f t="shared" si="39"/>
        <v>4.0619151138716401</v>
      </c>
      <c r="R439" s="22">
        <f t="shared" si="40"/>
        <v>0.28086222319633197</v>
      </c>
      <c r="S439" s="22">
        <f t="shared" si="41"/>
        <v>1.28086222319633</v>
      </c>
    </row>
    <row r="440" spans="1:19">
      <c r="A440" s="18" t="s">
        <v>479</v>
      </c>
      <c r="B440" s="18" t="s">
        <v>40</v>
      </c>
      <c r="C440" s="18" t="s">
        <v>29</v>
      </c>
      <c r="D440" s="19">
        <v>44756</v>
      </c>
      <c r="E440" s="20">
        <v>45380</v>
      </c>
      <c r="F440" s="21">
        <v>19412.8</v>
      </c>
      <c r="G440" s="21">
        <v>10516.8</v>
      </c>
      <c r="H440" s="21">
        <v>3396.8</v>
      </c>
      <c r="I440" s="18">
        <v>4985.5519999999997</v>
      </c>
      <c r="J440" s="18">
        <v>16937.216</v>
      </c>
      <c r="K440" s="18" t="s">
        <v>65</v>
      </c>
      <c r="L440" s="18" t="s">
        <v>44</v>
      </c>
      <c r="M440" s="18" t="s">
        <v>24</v>
      </c>
      <c r="N440" s="22">
        <f t="shared" si="36"/>
        <v>0.54174565235308703</v>
      </c>
      <c r="O440" s="22">
        <f t="shared" si="37"/>
        <v>0.32298798113494598</v>
      </c>
      <c r="P440" s="23">
        <f t="shared" si="38"/>
        <v>0.47405598661189702</v>
      </c>
      <c r="Q440" s="23">
        <f t="shared" si="39"/>
        <v>1.46772020725389</v>
      </c>
      <c r="R440" s="22">
        <f t="shared" si="40"/>
        <v>2.3972599222714002</v>
      </c>
      <c r="S440" s="22">
        <f t="shared" si="41"/>
        <v>3.3972599222714002</v>
      </c>
    </row>
    <row r="441" spans="1:19">
      <c r="A441" s="18" t="s">
        <v>480</v>
      </c>
      <c r="B441" s="18" t="s">
        <v>40</v>
      </c>
      <c r="C441" s="18" t="s">
        <v>29</v>
      </c>
      <c r="D441" s="19">
        <v>44714</v>
      </c>
      <c r="E441" s="20">
        <v>45318</v>
      </c>
      <c r="F441" s="21">
        <v>33310.400000000001</v>
      </c>
      <c r="G441" s="21">
        <v>5348.8</v>
      </c>
      <c r="H441" s="21">
        <v>4764.8</v>
      </c>
      <c r="I441" s="18">
        <v>6098.9759999999997</v>
      </c>
      <c r="J441" s="18">
        <v>15768.544</v>
      </c>
      <c r="K441" s="18" t="s">
        <v>22</v>
      </c>
      <c r="L441" s="18" t="s">
        <v>35</v>
      </c>
      <c r="M441" s="18" t="s">
        <v>32</v>
      </c>
      <c r="N441" s="22">
        <f t="shared" si="36"/>
        <v>0.16057447523896401</v>
      </c>
      <c r="O441" s="22">
        <f t="shared" si="37"/>
        <v>0.89081663176787296</v>
      </c>
      <c r="P441" s="23">
        <f t="shared" si="38"/>
        <v>1.14025127131319</v>
      </c>
      <c r="Q441" s="23">
        <f t="shared" si="39"/>
        <v>1.2800067159167201</v>
      </c>
      <c r="R441" s="22">
        <f t="shared" si="40"/>
        <v>1.58544122816683</v>
      </c>
      <c r="S441" s="22">
        <f t="shared" si="41"/>
        <v>2.5854412281668302</v>
      </c>
    </row>
    <row r="442" spans="1:19">
      <c r="A442" s="18" t="s">
        <v>481</v>
      </c>
      <c r="B442" s="18" t="s">
        <v>40</v>
      </c>
      <c r="C442" s="18" t="s">
        <v>48</v>
      </c>
      <c r="D442" s="19">
        <v>44954</v>
      </c>
      <c r="E442" s="20">
        <v>45577</v>
      </c>
      <c r="F442" s="21">
        <v>55966.400000000001</v>
      </c>
      <c r="G442" s="21">
        <v>54342.400000000001</v>
      </c>
      <c r="H442" s="21">
        <v>42950.400000000001</v>
      </c>
      <c r="I442" s="18">
        <v>914.88</v>
      </c>
      <c r="J442" s="18">
        <v>2298.0160000000001</v>
      </c>
      <c r="K442" s="18" t="s">
        <v>43</v>
      </c>
      <c r="L442" s="18" t="s">
        <v>44</v>
      </c>
      <c r="M442" s="18" t="s">
        <v>24</v>
      </c>
      <c r="N442" s="22">
        <f t="shared" si="36"/>
        <v>0.97098258955373196</v>
      </c>
      <c r="O442" s="22">
        <f t="shared" si="37"/>
        <v>0.79036627016841399</v>
      </c>
      <c r="P442" s="23">
        <f t="shared" si="38"/>
        <v>1.6835472853609701E-2</v>
      </c>
      <c r="Q442" s="23">
        <f t="shared" si="39"/>
        <v>2.1300849351810501E-2</v>
      </c>
      <c r="R442" s="22">
        <f t="shared" si="40"/>
        <v>1.51182231549493</v>
      </c>
      <c r="S442" s="22">
        <f t="shared" si="41"/>
        <v>2.5118223154949302</v>
      </c>
    </row>
    <row r="443" spans="1:19">
      <c r="A443" s="18" t="s">
        <v>482</v>
      </c>
      <c r="B443" s="18" t="s">
        <v>20</v>
      </c>
      <c r="C443" s="18" t="s">
        <v>21</v>
      </c>
      <c r="D443" s="19">
        <v>44962</v>
      </c>
      <c r="E443" s="20">
        <v>45592</v>
      </c>
      <c r="F443" s="21">
        <v>33276.800000000003</v>
      </c>
      <c r="G443" s="21">
        <v>3936</v>
      </c>
      <c r="H443" s="21">
        <v>900.8</v>
      </c>
      <c r="I443" s="18">
        <v>7516.6719999999996</v>
      </c>
      <c r="J443" s="18">
        <v>14038.8</v>
      </c>
      <c r="K443" s="18" t="s">
        <v>30</v>
      </c>
      <c r="L443" s="18" t="s">
        <v>44</v>
      </c>
      <c r="M443" s="18" t="s">
        <v>32</v>
      </c>
      <c r="N443" s="22">
        <f t="shared" si="36"/>
        <v>0.118280603904222</v>
      </c>
      <c r="O443" s="22">
        <f t="shared" si="37"/>
        <v>0.228861788617886</v>
      </c>
      <c r="P443" s="23">
        <f t="shared" si="38"/>
        <v>1.9097235772357699</v>
      </c>
      <c r="Q443" s="23">
        <f t="shared" si="39"/>
        <v>8.3444404973357003</v>
      </c>
      <c r="R443" s="22">
        <f t="shared" si="40"/>
        <v>0.86768825352496404</v>
      </c>
      <c r="S443" s="22">
        <f t="shared" si="41"/>
        <v>1.8676882535249599</v>
      </c>
    </row>
    <row r="444" spans="1:19">
      <c r="A444" s="18" t="s">
        <v>483</v>
      </c>
      <c r="B444" s="18" t="s">
        <v>40</v>
      </c>
      <c r="C444" s="18" t="s">
        <v>29</v>
      </c>
      <c r="D444" s="19">
        <v>44852</v>
      </c>
      <c r="E444" s="20">
        <v>45479</v>
      </c>
      <c r="F444" s="21">
        <v>35606.400000000001</v>
      </c>
      <c r="G444" s="21">
        <v>23387.200000000001</v>
      </c>
      <c r="H444" s="21">
        <v>6875.2</v>
      </c>
      <c r="I444" s="18">
        <v>6899.6</v>
      </c>
      <c r="J444" s="18">
        <v>10040.288</v>
      </c>
      <c r="K444" s="18" t="s">
        <v>38</v>
      </c>
      <c r="L444" s="18" t="s">
        <v>23</v>
      </c>
      <c r="M444" s="18" t="s">
        <v>32</v>
      </c>
      <c r="N444" s="22">
        <f t="shared" si="36"/>
        <v>0.65682573919295395</v>
      </c>
      <c r="O444" s="22">
        <f t="shared" si="37"/>
        <v>0.29397277143052603</v>
      </c>
      <c r="P444" s="23">
        <f t="shared" si="38"/>
        <v>0.295016077170418</v>
      </c>
      <c r="Q444" s="23">
        <f t="shared" si="39"/>
        <v>1.0035489876658099</v>
      </c>
      <c r="R444" s="22">
        <f t="shared" si="40"/>
        <v>0.45519856223549199</v>
      </c>
      <c r="S444" s="22">
        <f t="shared" si="41"/>
        <v>1.4551985622354899</v>
      </c>
    </row>
    <row r="445" spans="1:19">
      <c r="A445" s="18" t="s">
        <v>484</v>
      </c>
      <c r="B445" s="18" t="s">
        <v>47</v>
      </c>
      <c r="C445" s="18" t="s">
        <v>48</v>
      </c>
      <c r="D445" s="19">
        <v>44742</v>
      </c>
      <c r="E445" s="20">
        <v>45355</v>
      </c>
      <c r="F445" s="21">
        <v>31387.200000000001</v>
      </c>
      <c r="G445" s="21">
        <v>22302.400000000001</v>
      </c>
      <c r="H445" s="21">
        <v>13016</v>
      </c>
      <c r="I445" s="18">
        <v>2525.2959999999998</v>
      </c>
      <c r="J445" s="18">
        <v>9477.0560000000005</v>
      </c>
      <c r="K445" s="18" t="s">
        <v>65</v>
      </c>
      <c r="L445" s="18" t="s">
        <v>31</v>
      </c>
      <c r="M445" s="18" t="s">
        <v>24</v>
      </c>
      <c r="N445" s="22">
        <f t="shared" si="36"/>
        <v>0.71055716980170303</v>
      </c>
      <c r="O445" s="22">
        <f t="shared" si="37"/>
        <v>0.583614319535117</v>
      </c>
      <c r="P445" s="23">
        <f t="shared" si="38"/>
        <v>0.113229786928761</v>
      </c>
      <c r="Q445" s="23">
        <f t="shared" si="39"/>
        <v>0.19401475107559901</v>
      </c>
      <c r="R445" s="22">
        <f t="shared" si="40"/>
        <v>2.75284956694186</v>
      </c>
      <c r="S445" s="22">
        <f t="shared" si="41"/>
        <v>3.75284956694186</v>
      </c>
    </row>
    <row r="446" spans="1:19">
      <c r="A446" s="18" t="s">
        <v>485</v>
      </c>
      <c r="B446" s="18" t="s">
        <v>40</v>
      </c>
      <c r="C446" s="18" t="s">
        <v>41</v>
      </c>
      <c r="D446" s="19">
        <v>44870</v>
      </c>
      <c r="E446" s="20">
        <v>45493</v>
      </c>
      <c r="F446" s="21">
        <v>68932.800000000003</v>
      </c>
      <c r="G446" s="21">
        <v>34633.599999999999</v>
      </c>
      <c r="H446" s="21">
        <v>20720</v>
      </c>
      <c r="I446" s="18">
        <v>4429.4080000000004</v>
      </c>
      <c r="J446" s="18">
        <v>14417.968000000001</v>
      </c>
      <c r="K446" s="18" t="s">
        <v>30</v>
      </c>
      <c r="L446" s="18" t="s">
        <v>44</v>
      </c>
      <c r="M446" s="18" t="s">
        <v>24</v>
      </c>
      <c r="N446" s="22">
        <f t="shared" si="36"/>
        <v>0.50242555068124295</v>
      </c>
      <c r="O446" s="22">
        <f t="shared" si="37"/>
        <v>0.59826295851427502</v>
      </c>
      <c r="P446" s="23">
        <f t="shared" si="38"/>
        <v>0.12789337521944</v>
      </c>
      <c r="Q446" s="23">
        <f t="shared" si="39"/>
        <v>0.213774517374517</v>
      </c>
      <c r="R446" s="22">
        <f t="shared" si="40"/>
        <v>2.2550553031014502</v>
      </c>
      <c r="S446" s="22">
        <f t="shared" si="41"/>
        <v>3.2550553031014502</v>
      </c>
    </row>
    <row r="447" spans="1:19">
      <c r="A447" s="18" t="s">
        <v>486</v>
      </c>
      <c r="B447" s="18" t="s">
        <v>47</v>
      </c>
      <c r="C447" s="18" t="s">
        <v>48</v>
      </c>
      <c r="D447" s="19">
        <v>44789</v>
      </c>
      <c r="E447" s="20">
        <v>45403</v>
      </c>
      <c r="F447" s="21">
        <v>47558.400000000001</v>
      </c>
      <c r="G447" s="21">
        <v>4328</v>
      </c>
      <c r="H447" s="21">
        <v>1984</v>
      </c>
      <c r="I447" s="18">
        <v>5236.4639999999999</v>
      </c>
      <c r="J447" s="18">
        <v>12820.736000000001</v>
      </c>
      <c r="K447" s="18" t="s">
        <v>38</v>
      </c>
      <c r="L447" s="18" t="s">
        <v>23</v>
      </c>
      <c r="M447" s="18" t="s">
        <v>24</v>
      </c>
      <c r="N447" s="22">
        <f t="shared" si="36"/>
        <v>9.1003902570313502E-2</v>
      </c>
      <c r="O447" s="22">
        <f t="shared" si="37"/>
        <v>0.45841035120147899</v>
      </c>
      <c r="P447" s="23">
        <f t="shared" si="38"/>
        <v>1.2099038817005501</v>
      </c>
      <c r="Q447" s="23">
        <f t="shared" si="39"/>
        <v>2.6393467741935499</v>
      </c>
      <c r="R447" s="22">
        <f t="shared" si="40"/>
        <v>1.44835751759202</v>
      </c>
      <c r="S447" s="22">
        <f t="shared" si="41"/>
        <v>2.44835751759202</v>
      </c>
    </row>
    <row r="448" spans="1:19">
      <c r="A448" s="18" t="s">
        <v>487</v>
      </c>
      <c r="B448" s="18" t="s">
        <v>26</v>
      </c>
      <c r="C448" s="18" t="s">
        <v>41</v>
      </c>
      <c r="D448" s="19">
        <v>44959</v>
      </c>
      <c r="E448" s="20">
        <v>45563</v>
      </c>
      <c r="F448" s="21">
        <v>10040</v>
      </c>
      <c r="G448" s="21">
        <v>8292.7999999999993</v>
      </c>
      <c r="H448" s="21">
        <v>5718.4</v>
      </c>
      <c r="I448" s="18">
        <v>5891.7439999999997</v>
      </c>
      <c r="J448" s="18">
        <v>12814.832</v>
      </c>
      <c r="K448" s="18" t="s">
        <v>38</v>
      </c>
      <c r="L448" s="18" t="s">
        <v>44</v>
      </c>
      <c r="M448" s="18" t="s">
        <v>24</v>
      </c>
      <c r="N448" s="22">
        <f t="shared" si="36"/>
        <v>0.82597609561753005</v>
      </c>
      <c r="O448" s="22">
        <f t="shared" si="37"/>
        <v>0.68956202971252201</v>
      </c>
      <c r="P448" s="23">
        <f t="shared" si="38"/>
        <v>0.71046498167084704</v>
      </c>
      <c r="Q448" s="23">
        <f t="shared" si="39"/>
        <v>1.03031337437045</v>
      </c>
      <c r="R448" s="22">
        <f t="shared" si="40"/>
        <v>1.1750490177441499</v>
      </c>
      <c r="S448" s="22">
        <f t="shared" si="41"/>
        <v>2.1750490177441502</v>
      </c>
    </row>
    <row r="449" spans="1:19">
      <c r="A449" s="18" t="s">
        <v>488</v>
      </c>
      <c r="B449" s="18" t="s">
        <v>26</v>
      </c>
      <c r="C449" s="18" t="s">
        <v>48</v>
      </c>
      <c r="D449" s="19">
        <v>44791</v>
      </c>
      <c r="E449" s="20">
        <v>45403</v>
      </c>
      <c r="F449" s="21">
        <v>7136</v>
      </c>
      <c r="G449" s="21">
        <v>419.2</v>
      </c>
      <c r="H449" s="21">
        <v>44.8</v>
      </c>
      <c r="I449" s="18">
        <v>4052.3519999999999</v>
      </c>
      <c r="J449" s="18">
        <v>6338.64</v>
      </c>
      <c r="K449" s="18" t="s">
        <v>43</v>
      </c>
      <c r="L449" s="18" t="s">
        <v>23</v>
      </c>
      <c r="M449" s="18" t="s">
        <v>24</v>
      </c>
      <c r="N449" s="22">
        <f t="shared" si="36"/>
        <v>5.87443946188341E-2</v>
      </c>
      <c r="O449" s="22">
        <f t="shared" si="37"/>
        <v>0.106870229007634</v>
      </c>
      <c r="P449" s="23">
        <f t="shared" si="38"/>
        <v>9.66687022900763</v>
      </c>
      <c r="Q449" s="23">
        <f t="shared" si="39"/>
        <v>90.454285714285703</v>
      </c>
      <c r="R449" s="22">
        <f t="shared" si="40"/>
        <v>0.56418790865156798</v>
      </c>
      <c r="S449" s="22">
        <f t="shared" si="41"/>
        <v>1.56418790865157</v>
      </c>
    </row>
    <row r="450" spans="1:19">
      <c r="A450" s="18" t="s">
        <v>489</v>
      </c>
      <c r="B450" s="18" t="s">
        <v>26</v>
      </c>
      <c r="C450" s="18" t="s">
        <v>41</v>
      </c>
      <c r="D450" s="19">
        <v>44825</v>
      </c>
      <c r="E450" s="20">
        <v>45454</v>
      </c>
      <c r="F450" s="21">
        <v>29771.200000000001</v>
      </c>
      <c r="G450" s="21">
        <v>22184</v>
      </c>
      <c r="H450" s="21">
        <v>5523.2</v>
      </c>
      <c r="I450" s="18">
        <v>6950.32</v>
      </c>
      <c r="J450" s="18">
        <v>22329.903999999999</v>
      </c>
      <c r="K450" s="18" t="s">
        <v>43</v>
      </c>
      <c r="L450" s="18" t="s">
        <v>35</v>
      </c>
      <c r="M450" s="18" t="s">
        <v>32</v>
      </c>
      <c r="N450" s="22">
        <f t="shared" ref="N450:N513" si="42">G450/F450</f>
        <v>0.74514967485354999</v>
      </c>
      <c r="O450" s="22">
        <f t="shared" ref="O450:O513" si="43">H450/G450</f>
        <v>0.248972232239452</v>
      </c>
      <c r="P450" s="23">
        <f t="shared" ref="P450:P513" si="44">I450/G450</f>
        <v>0.313303281644428</v>
      </c>
      <c r="Q450" s="23">
        <f t="shared" ref="Q450:Q513" si="45">I450/H450</f>
        <v>1.25838644264195</v>
      </c>
      <c r="R450" s="22">
        <f t="shared" ref="R450:R513" si="46">(J450-I450)/I450</f>
        <v>2.21278790041322</v>
      </c>
      <c r="S450" s="22">
        <f t="shared" ref="S450:S513" si="47">J450/I450</f>
        <v>3.21278790041322</v>
      </c>
    </row>
    <row r="451" spans="1:19">
      <c r="A451" s="18" t="s">
        <v>490</v>
      </c>
      <c r="B451" s="18" t="s">
        <v>28</v>
      </c>
      <c r="C451" s="18" t="s">
        <v>48</v>
      </c>
      <c r="D451" s="19">
        <v>44714</v>
      </c>
      <c r="E451" s="20">
        <v>45333</v>
      </c>
      <c r="F451" s="21">
        <v>26052.799999999999</v>
      </c>
      <c r="G451" s="21">
        <v>15926.4</v>
      </c>
      <c r="H451" s="21">
        <v>7166.4</v>
      </c>
      <c r="I451" s="18">
        <v>4643.4719999999998</v>
      </c>
      <c r="J451" s="18">
        <v>15895.76</v>
      </c>
      <c r="K451" s="18" t="s">
        <v>22</v>
      </c>
      <c r="L451" s="18" t="s">
        <v>31</v>
      </c>
      <c r="M451" s="18" t="s">
        <v>32</v>
      </c>
      <c r="N451" s="22">
        <f t="shared" si="42"/>
        <v>0.61131241171774198</v>
      </c>
      <c r="O451" s="22">
        <f t="shared" si="43"/>
        <v>0.44996986136226602</v>
      </c>
      <c r="P451" s="23">
        <f t="shared" si="44"/>
        <v>0.29155816757082598</v>
      </c>
      <c r="Q451" s="23">
        <f t="shared" si="45"/>
        <v>0.64795043536503705</v>
      </c>
      <c r="R451" s="22">
        <f t="shared" si="46"/>
        <v>2.4232488103729302</v>
      </c>
      <c r="S451" s="22">
        <f t="shared" si="47"/>
        <v>3.4232488103729302</v>
      </c>
    </row>
    <row r="452" spans="1:19">
      <c r="A452" s="18" t="s">
        <v>491</v>
      </c>
      <c r="B452" s="18" t="s">
        <v>47</v>
      </c>
      <c r="C452" s="18" t="s">
        <v>48</v>
      </c>
      <c r="D452" s="19">
        <v>44758</v>
      </c>
      <c r="E452" s="20">
        <v>45375</v>
      </c>
      <c r="F452" s="21">
        <v>68548.800000000003</v>
      </c>
      <c r="G452" s="21">
        <v>5028.8</v>
      </c>
      <c r="H452" s="21">
        <v>3915.2</v>
      </c>
      <c r="I452" s="18">
        <v>631.072</v>
      </c>
      <c r="J452" s="18">
        <v>2239.616</v>
      </c>
      <c r="K452" s="18" t="s">
        <v>22</v>
      </c>
      <c r="L452" s="18" t="s">
        <v>31</v>
      </c>
      <c r="M452" s="18" t="s">
        <v>24</v>
      </c>
      <c r="N452" s="22">
        <f t="shared" si="42"/>
        <v>7.3360875755665994E-2</v>
      </c>
      <c r="O452" s="22">
        <f t="shared" si="43"/>
        <v>0.77855552020362695</v>
      </c>
      <c r="P452" s="23">
        <f t="shared" si="44"/>
        <v>0.12549156856506499</v>
      </c>
      <c r="Q452" s="23">
        <f t="shared" si="45"/>
        <v>0.16118512464241899</v>
      </c>
      <c r="R452" s="22">
        <f t="shared" si="46"/>
        <v>2.54890725622433</v>
      </c>
      <c r="S452" s="22">
        <f t="shared" si="47"/>
        <v>3.54890725622433</v>
      </c>
    </row>
    <row r="453" spans="1:19">
      <c r="A453" s="18" t="s">
        <v>492</v>
      </c>
      <c r="B453" s="18" t="s">
        <v>26</v>
      </c>
      <c r="C453" s="18" t="s">
        <v>41</v>
      </c>
      <c r="D453" s="19">
        <v>44793</v>
      </c>
      <c r="E453" s="20">
        <v>45403</v>
      </c>
      <c r="F453" s="21">
        <v>66744</v>
      </c>
      <c r="G453" s="21">
        <v>23155.200000000001</v>
      </c>
      <c r="H453" s="21">
        <v>15424</v>
      </c>
      <c r="I453" s="18">
        <v>5144.2079999999996</v>
      </c>
      <c r="J453" s="18">
        <v>17360.096000000001</v>
      </c>
      <c r="K453" s="18" t="s">
        <v>22</v>
      </c>
      <c r="L453" s="18" t="s">
        <v>31</v>
      </c>
      <c r="M453" s="18" t="s">
        <v>24</v>
      </c>
      <c r="N453" s="22">
        <f t="shared" si="42"/>
        <v>0.346925566343042</v>
      </c>
      <c r="O453" s="22">
        <f t="shared" si="43"/>
        <v>0.66611387506909903</v>
      </c>
      <c r="P453" s="23">
        <f t="shared" si="44"/>
        <v>0.222162106135987</v>
      </c>
      <c r="Q453" s="23">
        <f t="shared" si="45"/>
        <v>0.33351970954356802</v>
      </c>
      <c r="R453" s="22">
        <f t="shared" si="46"/>
        <v>2.3746878042256498</v>
      </c>
      <c r="S453" s="22">
        <f t="shared" si="47"/>
        <v>3.3746878042256498</v>
      </c>
    </row>
    <row r="454" spans="1:19">
      <c r="A454" s="18" t="s">
        <v>493</v>
      </c>
      <c r="B454" s="18" t="s">
        <v>26</v>
      </c>
      <c r="C454" s="18" t="s">
        <v>29</v>
      </c>
      <c r="D454" s="19">
        <v>44971</v>
      </c>
      <c r="E454" s="20">
        <v>45600</v>
      </c>
      <c r="F454" s="21">
        <v>44464</v>
      </c>
      <c r="G454" s="21">
        <v>17456</v>
      </c>
      <c r="H454" s="21">
        <v>3462.4</v>
      </c>
      <c r="I454" s="18">
        <v>2414.768</v>
      </c>
      <c r="J454" s="18">
        <v>7673.5680000000002</v>
      </c>
      <c r="K454" s="18" t="s">
        <v>22</v>
      </c>
      <c r="L454" s="18" t="s">
        <v>35</v>
      </c>
      <c r="M454" s="18" t="s">
        <v>24</v>
      </c>
      <c r="N454" s="22">
        <f t="shared" si="42"/>
        <v>0.39258726160489399</v>
      </c>
      <c r="O454" s="22">
        <f t="shared" si="43"/>
        <v>0.19835013748854299</v>
      </c>
      <c r="P454" s="23">
        <f t="shared" si="44"/>
        <v>0.13833455545371201</v>
      </c>
      <c r="Q454" s="23">
        <f t="shared" si="45"/>
        <v>0.69742606284658004</v>
      </c>
      <c r="R454" s="22">
        <f t="shared" si="46"/>
        <v>2.17776614565043</v>
      </c>
      <c r="S454" s="22">
        <f t="shared" si="47"/>
        <v>3.17776614565043</v>
      </c>
    </row>
    <row r="455" spans="1:19">
      <c r="A455" s="18" t="s">
        <v>494</v>
      </c>
      <c r="B455" s="18" t="s">
        <v>28</v>
      </c>
      <c r="C455" s="18" t="s">
        <v>48</v>
      </c>
      <c r="D455" s="19">
        <v>44791</v>
      </c>
      <c r="E455" s="20">
        <v>45418</v>
      </c>
      <c r="F455" s="21">
        <v>19491.2</v>
      </c>
      <c r="G455" s="21">
        <v>18000</v>
      </c>
      <c r="H455" s="21">
        <v>8803.2000000000007</v>
      </c>
      <c r="I455" s="18">
        <v>4215.8239999999996</v>
      </c>
      <c r="J455" s="18">
        <v>16223.647999999999</v>
      </c>
      <c r="K455" s="18" t="s">
        <v>65</v>
      </c>
      <c r="L455" s="18" t="s">
        <v>44</v>
      </c>
      <c r="M455" s="18" t="s">
        <v>24</v>
      </c>
      <c r="N455" s="22">
        <f t="shared" si="42"/>
        <v>0.92349367919881797</v>
      </c>
      <c r="O455" s="22">
        <f t="shared" si="43"/>
        <v>0.48906666666666698</v>
      </c>
      <c r="P455" s="23">
        <f t="shared" si="44"/>
        <v>0.234212444444444</v>
      </c>
      <c r="Q455" s="23">
        <f t="shared" si="45"/>
        <v>0.47889676481279497</v>
      </c>
      <c r="R455" s="22">
        <f t="shared" si="46"/>
        <v>2.8482745010228099</v>
      </c>
      <c r="S455" s="22">
        <f t="shared" si="47"/>
        <v>3.8482745010228099</v>
      </c>
    </row>
    <row r="456" spans="1:19">
      <c r="A456" s="18" t="s">
        <v>495</v>
      </c>
      <c r="B456" s="18" t="s">
        <v>34</v>
      </c>
      <c r="C456" s="18" t="s">
        <v>21</v>
      </c>
      <c r="D456" s="19">
        <v>44825</v>
      </c>
      <c r="E456" s="20">
        <v>45441</v>
      </c>
      <c r="F456" s="21">
        <v>15380.8</v>
      </c>
      <c r="G456" s="21">
        <v>7998.4</v>
      </c>
      <c r="H456" s="21">
        <v>4884.8</v>
      </c>
      <c r="I456" s="18">
        <v>1568.192</v>
      </c>
      <c r="J456" s="18">
        <v>3874.56</v>
      </c>
      <c r="K456" s="18" t="s">
        <v>30</v>
      </c>
      <c r="L456" s="18" t="s">
        <v>50</v>
      </c>
      <c r="M456" s="18" t="s">
        <v>32</v>
      </c>
      <c r="N456" s="22">
        <f t="shared" si="42"/>
        <v>0.52002496619161598</v>
      </c>
      <c r="O456" s="22">
        <f t="shared" si="43"/>
        <v>0.61072214442888595</v>
      </c>
      <c r="P456" s="23">
        <f t="shared" si="44"/>
        <v>0.19606321264252899</v>
      </c>
      <c r="Q456" s="23">
        <f t="shared" si="45"/>
        <v>0.32103504749426798</v>
      </c>
      <c r="R456" s="22">
        <f t="shared" si="46"/>
        <v>1.47071787128107</v>
      </c>
      <c r="S456" s="22">
        <f t="shared" si="47"/>
        <v>2.47071787128107</v>
      </c>
    </row>
    <row r="457" spans="1:19">
      <c r="A457" s="18" t="s">
        <v>496</v>
      </c>
      <c r="B457" s="18" t="s">
        <v>20</v>
      </c>
      <c r="C457" s="18" t="s">
        <v>41</v>
      </c>
      <c r="D457" s="19">
        <v>44792</v>
      </c>
      <c r="E457" s="20">
        <v>45415</v>
      </c>
      <c r="F457" s="21">
        <v>56534.400000000001</v>
      </c>
      <c r="G457" s="21">
        <v>4208</v>
      </c>
      <c r="H457" s="21">
        <v>2923.2</v>
      </c>
      <c r="I457" s="18">
        <v>5243.12</v>
      </c>
      <c r="J457" s="18">
        <v>20830.128000000001</v>
      </c>
      <c r="K457" s="18" t="s">
        <v>22</v>
      </c>
      <c r="L457" s="18" t="s">
        <v>44</v>
      </c>
      <c r="M457" s="18" t="s">
        <v>24</v>
      </c>
      <c r="N457" s="22">
        <f t="shared" si="42"/>
        <v>7.44325578762665E-2</v>
      </c>
      <c r="O457" s="22">
        <f t="shared" si="43"/>
        <v>0.69467680608365001</v>
      </c>
      <c r="P457" s="23">
        <f t="shared" si="44"/>
        <v>1.2459885931558901</v>
      </c>
      <c r="Q457" s="23">
        <f t="shared" si="45"/>
        <v>1.7936234263820501</v>
      </c>
      <c r="R457" s="22">
        <f t="shared" si="46"/>
        <v>2.9728497535818401</v>
      </c>
      <c r="S457" s="22">
        <f t="shared" si="47"/>
        <v>3.9728497535818401</v>
      </c>
    </row>
    <row r="458" spans="1:19">
      <c r="A458" s="18" t="s">
        <v>497</v>
      </c>
      <c r="B458" s="18" t="s">
        <v>40</v>
      </c>
      <c r="C458" s="18" t="s">
        <v>29</v>
      </c>
      <c r="D458" s="19">
        <v>44968</v>
      </c>
      <c r="E458" s="20">
        <v>45598</v>
      </c>
      <c r="F458" s="21">
        <v>13844.8</v>
      </c>
      <c r="G458" s="21">
        <v>5820.8</v>
      </c>
      <c r="H458" s="21">
        <v>601.6</v>
      </c>
      <c r="I458" s="18">
        <v>2531.328</v>
      </c>
      <c r="J458" s="18">
        <v>6747.0720000000001</v>
      </c>
      <c r="K458" s="18" t="s">
        <v>30</v>
      </c>
      <c r="L458" s="18" t="s">
        <v>23</v>
      </c>
      <c r="M458" s="18" t="s">
        <v>24</v>
      </c>
      <c r="N458" s="22">
        <f t="shared" si="42"/>
        <v>0.42043222003929298</v>
      </c>
      <c r="O458" s="22">
        <f t="shared" si="43"/>
        <v>0.103353490929082</v>
      </c>
      <c r="P458" s="23">
        <f t="shared" si="44"/>
        <v>0.434876305662452</v>
      </c>
      <c r="Q458" s="23">
        <f t="shared" si="45"/>
        <v>4.2076595744680896</v>
      </c>
      <c r="R458" s="22">
        <f t="shared" si="46"/>
        <v>1.66542779126214</v>
      </c>
      <c r="S458" s="22">
        <f t="shared" si="47"/>
        <v>2.66542779126214</v>
      </c>
    </row>
    <row r="459" spans="1:19">
      <c r="A459" s="18" t="s">
        <v>498</v>
      </c>
      <c r="B459" s="18" t="s">
        <v>47</v>
      </c>
      <c r="C459" s="18" t="s">
        <v>21</v>
      </c>
      <c r="D459" s="19">
        <v>44694</v>
      </c>
      <c r="E459" s="20">
        <v>45312</v>
      </c>
      <c r="F459" s="21">
        <v>54857.599999999999</v>
      </c>
      <c r="G459" s="21">
        <v>5422.4</v>
      </c>
      <c r="H459" s="21">
        <v>5347.2</v>
      </c>
      <c r="I459" s="18">
        <v>2900.1759999999999</v>
      </c>
      <c r="J459" s="18">
        <v>6025.8879999999999</v>
      </c>
      <c r="K459" s="18" t="s">
        <v>65</v>
      </c>
      <c r="L459" s="18" t="s">
        <v>23</v>
      </c>
      <c r="M459" s="18" t="s">
        <v>32</v>
      </c>
      <c r="N459" s="22">
        <f t="shared" si="42"/>
        <v>9.8845009624919794E-2</v>
      </c>
      <c r="O459" s="22">
        <f t="shared" si="43"/>
        <v>0.98613160224254903</v>
      </c>
      <c r="P459" s="23">
        <f t="shared" si="44"/>
        <v>0.53485098849218105</v>
      </c>
      <c r="Q459" s="23">
        <f t="shared" si="45"/>
        <v>0.54237283064033504</v>
      </c>
      <c r="R459" s="22">
        <f t="shared" si="46"/>
        <v>1.0777663148719201</v>
      </c>
      <c r="S459" s="22">
        <f t="shared" si="47"/>
        <v>2.0777663148719201</v>
      </c>
    </row>
    <row r="460" spans="1:19">
      <c r="A460" s="18" t="s">
        <v>499</v>
      </c>
      <c r="B460" s="18" t="s">
        <v>26</v>
      </c>
      <c r="C460" s="18" t="s">
        <v>29</v>
      </c>
      <c r="D460" s="19">
        <v>44921</v>
      </c>
      <c r="E460" s="20">
        <v>45529</v>
      </c>
      <c r="F460" s="21">
        <v>17987.2</v>
      </c>
      <c r="G460" s="21">
        <v>1233.5999999999999</v>
      </c>
      <c r="H460" s="21">
        <v>1192</v>
      </c>
      <c r="I460" s="18">
        <v>2511.6320000000001</v>
      </c>
      <c r="J460" s="18">
        <v>6830.7520000000004</v>
      </c>
      <c r="K460" s="18" t="s">
        <v>22</v>
      </c>
      <c r="L460" s="18" t="s">
        <v>50</v>
      </c>
      <c r="M460" s="18" t="s">
        <v>32</v>
      </c>
      <c r="N460" s="22">
        <f t="shared" si="42"/>
        <v>6.8582102828678201E-2</v>
      </c>
      <c r="O460" s="22">
        <f t="shared" si="43"/>
        <v>0.96627756160830103</v>
      </c>
      <c r="P460" s="23">
        <f t="shared" si="44"/>
        <v>2.0360181582360601</v>
      </c>
      <c r="Q460" s="23">
        <f t="shared" si="45"/>
        <v>2.1070738255033601</v>
      </c>
      <c r="R460" s="22">
        <f t="shared" si="46"/>
        <v>1.7196468272422101</v>
      </c>
      <c r="S460" s="22">
        <f t="shared" si="47"/>
        <v>2.7196468272422099</v>
      </c>
    </row>
    <row r="461" spans="1:19">
      <c r="A461" s="18" t="s">
        <v>500</v>
      </c>
      <c r="B461" s="18" t="s">
        <v>26</v>
      </c>
      <c r="C461" s="18" t="s">
        <v>41</v>
      </c>
      <c r="D461" s="19">
        <v>44848</v>
      </c>
      <c r="E461" s="20">
        <v>45456</v>
      </c>
      <c r="F461" s="21">
        <v>43022.400000000001</v>
      </c>
      <c r="G461" s="21">
        <v>36131.199999999997</v>
      </c>
      <c r="H461" s="21">
        <v>7243.2</v>
      </c>
      <c r="I461" s="18">
        <v>1981.52</v>
      </c>
      <c r="J461" s="18">
        <v>6580.6239999999998</v>
      </c>
      <c r="K461" s="18" t="s">
        <v>22</v>
      </c>
      <c r="L461" s="18" t="s">
        <v>50</v>
      </c>
      <c r="M461" s="18" t="s">
        <v>24</v>
      </c>
      <c r="N461" s="22">
        <f t="shared" si="42"/>
        <v>0.83982297593811595</v>
      </c>
      <c r="O461" s="22">
        <f t="shared" si="43"/>
        <v>0.20046940040740399</v>
      </c>
      <c r="P461" s="23">
        <f t="shared" si="44"/>
        <v>5.4842352316003901E-2</v>
      </c>
      <c r="Q461" s="23">
        <f t="shared" si="45"/>
        <v>0.27356969295339101</v>
      </c>
      <c r="R461" s="22">
        <f t="shared" si="46"/>
        <v>2.3209980217206998</v>
      </c>
      <c r="S461" s="22">
        <f t="shared" si="47"/>
        <v>3.3209980217206998</v>
      </c>
    </row>
    <row r="462" spans="1:19">
      <c r="A462" s="18" t="s">
        <v>501</v>
      </c>
      <c r="B462" s="18" t="s">
        <v>40</v>
      </c>
      <c r="C462" s="18" t="s">
        <v>21</v>
      </c>
      <c r="D462" s="19">
        <v>44817</v>
      </c>
      <c r="E462" s="20">
        <v>45433</v>
      </c>
      <c r="F462" s="21">
        <v>32000</v>
      </c>
      <c r="G462" s="21">
        <v>20203.2</v>
      </c>
      <c r="H462" s="21">
        <v>2936</v>
      </c>
      <c r="I462" s="18">
        <v>1584.3040000000001</v>
      </c>
      <c r="J462" s="18">
        <v>6003.68</v>
      </c>
      <c r="K462" s="18" t="s">
        <v>22</v>
      </c>
      <c r="L462" s="18" t="s">
        <v>35</v>
      </c>
      <c r="M462" s="18" t="s">
        <v>24</v>
      </c>
      <c r="N462" s="22">
        <f t="shared" si="42"/>
        <v>0.63134999999999997</v>
      </c>
      <c r="O462" s="22">
        <f t="shared" si="43"/>
        <v>0.145323513106835</v>
      </c>
      <c r="P462" s="23">
        <f t="shared" si="44"/>
        <v>7.8418468361447696E-2</v>
      </c>
      <c r="Q462" s="23">
        <f t="shared" si="45"/>
        <v>0.53961307901907396</v>
      </c>
      <c r="R462" s="22">
        <f t="shared" si="46"/>
        <v>2.78947474727073</v>
      </c>
      <c r="S462" s="22">
        <f t="shared" si="47"/>
        <v>3.78947474727073</v>
      </c>
    </row>
    <row r="463" spans="1:19">
      <c r="A463" s="18" t="s">
        <v>502</v>
      </c>
      <c r="B463" s="18" t="s">
        <v>34</v>
      </c>
      <c r="C463" s="18" t="s">
        <v>29</v>
      </c>
      <c r="D463" s="19">
        <v>44835</v>
      </c>
      <c r="E463" s="20">
        <v>45462</v>
      </c>
      <c r="F463" s="21">
        <v>78124.800000000003</v>
      </c>
      <c r="G463" s="21">
        <v>37609.599999999999</v>
      </c>
      <c r="H463" s="21">
        <v>29795.200000000001</v>
      </c>
      <c r="I463" s="18">
        <v>5543.28</v>
      </c>
      <c r="J463" s="18">
        <v>11978.175999999999</v>
      </c>
      <c r="K463" s="18" t="s">
        <v>22</v>
      </c>
      <c r="L463" s="18" t="s">
        <v>44</v>
      </c>
      <c r="M463" s="18" t="s">
        <v>32</v>
      </c>
      <c r="N463" s="22">
        <f t="shared" si="42"/>
        <v>0.48140411239452802</v>
      </c>
      <c r="O463" s="22">
        <f t="shared" si="43"/>
        <v>0.79222326214583505</v>
      </c>
      <c r="P463" s="23">
        <f t="shared" si="44"/>
        <v>0.147390028077938</v>
      </c>
      <c r="Q463" s="23">
        <f t="shared" si="45"/>
        <v>0.18604607453549599</v>
      </c>
      <c r="R463" s="22">
        <f t="shared" si="46"/>
        <v>1.1608462859534401</v>
      </c>
      <c r="S463" s="22">
        <f t="shared" si="47"/>
        <v>2.1608462859534399</v>
      </c>
    </row>
    <row r="464" spans="1:19">
      <c r="A464" s="18" t="s">
        <v>503</v>
      </c>
      <c r="B464" s="18" t="s">
        <v>34</v>
      </c>
      <c r="C464" s="18" t="s">
        <v>48</v>
      </c>
      <c r="D464" s="19">
        <v>44924</v>
      </c>
      <c r="E464" s="20">
        <v>45533</v>
      </c>
      <c r="F464" s="21">
        <v>58360</v>
      </c>
      <c r="G464" s="21">
        <v>28953.599999999999</v>
      </c>
      <c r="H464" s="21">
        <v>12006.4</v>
      </c>
      <c r="I464" s="18">
        <v>2079.616</v>
      </c>
      <c r="J464" s="18">
        <v>6554.5119999999997</v>
      </c>
      <c r="K464" s="18" t="s">
        <v>43</v>
      </c>
      <c r="L464" s="18" t="s">
        <v>35</v>
      </c>
      <c r="M464" s="18" t="s">
        <v>24</v>
      </c>
      <c r="N464" s="22">
        <f t="shared" si="42"/>
        <v>0.496120630568883</v>
      </c>
      <c r="O464" s="22">
        <f t="shared" si="43"/>
        <v>0.414677276746242</v>
      </c>
      <c r="P464" s="23">
        <f t="shared" si="44"/>
        <v>7.1825817860300595E-2</v>
      </c>
      <c r="Q464" s="23">
        <f t="shared" si="45"/>
        <v>0.17320895522388099</v>
      </c>
      <c r="R464" s="22">
        <f t="shared" si="46"/>
        <v>2.1517895611497502</v>
      </c>
      <c r="S464" s="22">
        <f t="shared" si="47"/>
        <v>3.1517895611497502</v>
      </c>
    </row>
    <row r="465" spans="1:19">
      <c r="A465" s="18" t="s">
        <v>504</v>
      </c>
      <c r="B465" s="18" t="s">
        <v>47</v>
      </c>
      <c r="C465" s="18" t="s">
        <v>29</v>
      </c>
      <c r="D465" s="19">
        <v>44950</v>
      </c>
      <c r="E465" s="20">
        <v>45554</v>
      </c>
      <c r="F465" s="21">
        <v>41985.599999999999</v>
      </c>
      <c r="G465" s="21">
        <v>19542.400000000001</v>
      </c>
      <c r="H465" s="21">
        <v>14377.6</v>
      </c>
      <c r="I465" s="18">
        <v>4671.6480000000001</v>
      </c>
      <c r="J465" s="18">
        <v>7542.9920000000002</v>
      </c>
      <c r="K465" s="18" t="s">
        <v>38</v>
      </c>
      <c r="L465" s="18" t="s">
        <v>31</v>
      </c>
      <c r="M465" s="18" t="s">
        <v>32</v>
      </c>
      <c r="N465" s="22">
        <f t="shared" si="42"/>
        <v>0.46545482260584597</v>
      </c>
      <c r="O465" s="22">
        <f t="shared" si="43"/>
        <v>0.73571311609628298</v>
      </c>
      <c r="P465" s="23">
        <f t="shared" si="44"/>
        <v>0.23905190764696199</v>
      </c>
      <c r="Q465" s="23">
        <f t="shared" si="45"/>
        <v>0.32492543957266901</v>
      </c>
      <c r="R465" s="22">
        <f t="shared" si="46"/>
        <v>0.61463192432306502</v>
      </c>
      <c r="S465" s="22">
        <f t="shared" si="47"/>
        <v>1.61463192432307</v>
      </c>
    </row>
    <row r="466" spans="1:19">
      <c r="A466" s="18" t="s">
        <v>505</v>
      </c>
      <c r="B466" s="18" t="s">
        <v>40</v>
      </c>
      <c r="C466" s="18" t="s">
        <v>48</v>
      </c>
      <c r="D466" s="19">
        <v>44753</v>
      </c>
      <c r="E466" s="20">
        <v>45365</v>
      </c>
      <c r="F466" s="21">
        <v>78492.800000000003</v>
      </c>
      <c r="G466" s="21">
        <v>61464</v>
      </c>
      <c r="H466" s="21">
        <v>46628.800000000003</v>
      </c>
      <c r="I466" s="18">
        <v>5349.0559999999996</v>
      </c>
      <c r="J466" s="18">
        <v>13972.784</v>
      </c>
      <c r="K466" s="18" t="s">
        <v>22</v>
      </c>
      <c r="L466" s="18" t="s">
        <v>31</v>
      </c>
      <c r="M466" s="18" t="s">
        <v>24</v>
      </c>
      <c r="N466" s="22">
        <f t="shared" si="42"/>
        <v>0.78305271311508795</v>
      </c>
      <c r="O466" s="22">
        <f t="shared" si="43"/>
        <v>0.75863594949889401</v>
      </c>
      <c r="P466" s="23">
        <f t="shared" si="44"/>
        <v>8.7027463230508903E-2</v>
      </c>
      <c r="Q466" s="23">
        <f t="shared" si="45"/>
        <v>0.114715712177881</v>
      </c>
      <c r="R466" s="22">
        <f t="shared" si="46"/>
        <v>1.61219624546836</v>
      </c>
      <c r="S466" s="22">
        <f t="shared" si="47"/>
        <v>2.6121962454683598</v>
      </c>
    </row>
    <row r="467" spans="1:19">
      <c r="A467" s="18" t="s">
        <v>506</v>
      </c>
      <c r="B467" s="18" t="s">
        <v>20</v>
      </c>
      <c r="C467" s="18" t="s">
        <v>29</v>
      </c>
      <c r="D467" s="19">
        <v>44956</v>
      </c>
      <c r="E467" s="20">
        <v>45568</v>
      </c>
      <c r="F467" s="21">
        <v>45161.599999999999</v>
      </c>
      <c r="G467" s="21">
        <v>30156.799999999999</v>
      </c>
      <c r="H467" s="21">
        <v>2739.2</v>
      </c>
      <c r="I467" s="18">
        <v>6406.5439999999999</v>
      </c>
      <c r="J467" s="18">
        <v>13780.32</v>
      </c>
      <c r="K467" s="18" t="s">
        <v>65</v>
      </c>
      <c r="L467" s="18" t="s">
        <v>44</v>
      </c>
      <c r="M467" s="18" t="s">
        <v>24</v>
      </c>
      <c r="N467" s="22">
        <f t="shared" si="42"/>
        <v>0.66775313540707104</v>
      </c>
      <c r="O467" s="22">
        <f t="shared" si="43"/>
        <v>9.08319185059423E-2</v>
      </c>
      <c r="P467" s="23">
        <f t="shared" si="44"/>
        <v>0.21244110780984701</v>
      </c>
      <c r="Q467" s="23">
        <f t="shared" si="45"/>
        <v>2.3388376168224299</v>
      </c>
      <c r="R467" s="22">
        <f t="shared" si="46"/>
        <v>1.1509756274209599</v>
      </c>
      <c r="S467" s="22">
        <f t="shared" si="47"/>
        <v>2.1509756274209599</v>
      </c>
    </row>
    <row r="468" spans="1:19">
      <c r="A468" s="18" t="s">
        <v>507</v>
      </c>
      <c r="B468" s="18" t="s">
        <v>34</v>
      </c>
      <c r="C468" s="18" t="s">
        <v>48</v>
      </c>
      <c r="D468" s="19">
        <v>44702</v>
      </c>
      <c r="E468" s="20">
        <v>45313</v>
      </c>
      <c r="F468" s="21">
        <v>79123.199999999997</v>
      </c>
      <c r="G468" s="21">
        <v>54430.400000000001</v>
      </c>
      <c r="H468" s="21">
        <v>20760</v>
      </c>
      <c r="I468" s="18">
        <v>3659.3440000000001</v>
      </c>
      <c r="J468" s="18">
        <v>8370.848</v>
      </c>
      <c r="K468" s="18" t="s">
        <v>43</v>
      </c>
      <c r="L468" s="18" t="s">
        <v>44</v>
      </c>
      <c r="M468" s="18" t="s">
        <v>32</v>
      </c>
      <c r="N468" s="22">
        <f t="shared" si="42"/>
        <v>0.68791959880288001</v>
      </c>
      <c r="O468" s="22">
        <f t="shared" si="43"/>
        <v>0.38140450924483399</v>
      </c>
      <c r="P468" s="23">
        <f t="shared" si="44"/>
        <v>6.7229783356359707E-2</v>
      </c>
      <c r="Q468" s="23">
        <f t="shared" si="45"/>
        <v>0.17626897880539499</v>
      </c>
      <c r="R468" s="22">
        <f t="shared" si="46"/>
        <v>1.2875269447201501</v>
      </c>
      <c r="S468" s="22">
        <f t="shared" si="47"/>
        <v>2.2875269447201498</v>
      </c>
    </row>
    <row r="469" spans="1:19">
      <c r="A469" s="18" t="s">
        <v>508</v>
      </c>
      <c r="B469" s="18" t="s">
        <v>26</v>
      </c>
      <c r="C469" s="18" t="s">
        <v>29</v>
      </c>
      <c r="D469" s="19">
        <v>44781</v>
      </c>
      <c r="E469" s="20">
        <v>45403</v>
      </c>
      <c r="F469" s="21">
        <v>64441.599999999999</v>
      </c>
      <c r="G469" s="21">
        <v>27577.599999999999</v>
      </c>
      <c r="H469" s="21">
        <v>8868.7999999999993</v>
      </c>
      <c r="I469" s="18">
        <v>4104</v>
      </c>
      <c r="J469" s="18">
        <v>13888.272000000001</v>
      </c>
      <c r="K469" s="18" t="s">
        <v>43</v>
      </c>
      <c r="L469" s="18" t="s">
        <v>44</v>
      </c>
      <c r="M469" s="18" t="s">
        <v>24</v>
      </c>
      <c r="N469" s="22">
        <f t="shared" si="42"/>
        <v>0.42794716456450499</v>
      </c>
      <c r="O469" s="22">
        <f t="shared" si="43"/>
        <v>0.32159433743327898</v>
      </c>
      <c r="P469" s="23">
        <f t="shared" si="44"/>
        <v>0.14881643072638701</v>
      </c>
      <c r="Q469" s="23">
        <f t="shared" si="45"/>
        <v>0.46274580552047601</v>
      </c>
      <c r="R469" s="22">
        <f t="shared" si="46"/>
        <v>2.38408187134503</v>
      </c>
      <c r="S469" s="22">
        <f t="shared" si="47"/>
        <v>3.38408187134503</v>
      </c>
    </row>
    <row r="470" spans="1:19">
      <c r="A470" s="18" t="s">
        <v>509</v>
      </c>
      <c r="B470" s="18" t="s">
        <v>20</v>
      </c>
      <c r="C470" s="18" t="s">
        <v>41</v>
      </c>
      <c r="D470" s="19">
        <v>44973</v>
      </c>
      <c r="E470" s="20">
        <v>45601</v>
      </c>
      <c r="F470" s="21">
        <v>9324.7999999999993</v>
      </c>
      <c r="G470" s="21">
        <v>7809.6</v>
      </c>
      <c r="H470" s="21">
        <v>7136</v>
      </c>
      <c r="I470" s="18">
        <v>1433.1679999999999</v>
      </c>
      <c r="J470" s="18">
        <v>3778.5920000000001</v>
      </c>
      <c r="K470" s="18" t="s">
        <v>30</v>
      </c>
      <c r="L470" s="18" t="s">
        <v>44</v>
      </c>
      <c r="M470" s="18" t="s">
        <v>24</v>
      </c>
      <c r="N470" s="22">
        <f t="shared" si="42"/>
        <v>0.83750857927247802</v>
      </c>
      <c r="O470" s="22">
        <f t="shared" si="43"/>
        <v>0.91374718295431301</v>
      </c>
      <c r="P470" s="23">
        <f t="shared" si="44"/>
        <v>0.18351362425732401</v>
      </c>
      <c r="Q470" s="23">
        <f t="shared" si="45"/>
        <v>0.20083632286995501</v>
      </c>
      <c r="R470" s="22">
        <f t="shared" si="46"/>
        <v>1.63653109754055</v>
      </c>
      <c r="S470" s="22">
        <f t="shared" si="47"/>
        <v>2.63653109754055</v>
      </c>
    </row>
    <row r="471" spans="1:19">
      <c r="A471" s="18" t="s">
        <v>510</v>
      </c>
      <c r="B471" s="18" t="s">
        <v>47</v>
      </c>
      <c r="C471" s="18" t="s">
        <v>41</v>
      </c>
      <c r="D471" s="19">
        <v>44743</v>
      </c>
      <c r="E471" s="20">
        <v>45363</v>
      </c>
      <c r="F471" s="21">
        <v>14363.2</v>
      </c>
      <c r="G471" s="21">
        <v>13406.4</v>
      </c>
      <c r="H471" s="21">
        <v>2136</v>
      </c>
      <c r="I471" s="18">
        <v>844.4</v>
      </c>
      <c r="J471" s="18">
        <v>1624.864</v>
      </c>
      <c r="K471" s="18" t="s">
        <v>65</v>
      </c>
      <c r="L471" s="18" t="s">
        <v>31</v>
      </c>
      <c r="M471" s="18" t="s">
        <v>24</v>
      </c>
      <c r="N471" s="22">
        <f t="shared" si="42"/>
        <v>0.93338531803497804</v>
      </c>
      <c r="O471" s="22">
        <f t="shared" si="43"/>
        <v>0.15932688865019701</v>
      </c>
      <c r="P471" s="23">
        <f t="shared" si="44"/>
        <v>6.2984843060031007E-2</v>
      </c>
      <c r="Q471" s="23">
        <f t="shared" si="45"/>
        <v>0.39531835205992499</v>
      </c>
      <c r="R471" s="22">
        <f t="shared" si="46"/>
        <v>0.92428233064898202</v>
      </c>
      <c r="S471" s="22">
        <f t="shared" si="47"/>
        <v>1.92428233064898</v>
      </c>
    </row>
    <row r="472" spans="1:19">
      <c r="A472" s="18" t="s">
        <v>511</v>
      </c>
      <c r="B472" s="18" t="s">
        <v>26</v>
      </c>
      <c r="C472" s="18" t="s">
        <v>21</v>
      </c>
      <c r="D472" s="19">
        <v>44836</v>
      </c>
      <c r="E472" s="20">
        <v>45453</v>
      </c>
      <c r="F472" s="21">
        <v>19556.8</v>
      </c>
      <c r="G472" s="21">
        <v>2966.4</v>
      </c>
      <c r="H472" s="21">
        <v>374.4</v>
      </c>
      <c r="I472" s="18">
        <v>3754.1120000000001</v>
      </c>
      <c r="J472" s="18">
        <v>10033.664000000001</v>
      </c>
      <c r="K472" s="18" t="s">
        <v>22</v>
      </c>
      <c r="L472" s="18" t="s">
        <v>35</v>
      </c>
      <c r="M472" s="18" t="s">
        <v>32</v>
      </c>
      <c r="N472" s="22">
        <f t="shared" si="42"/>
        <v>0.151681256647304</v>
      </c>
      <c r="O472" s="22">
        <f t="shared" si="43"/>
        <v>0.12621359223301001</v>
      </c>
      <c r="P472" s="23">
        <f t="shared" si="44"/>
        <v>1.2655447680690399</v>
      </c>
      <c r="Q472" s="23">
        <f t="shared" si="45"/>
        <v>10.027008547008499</v>
      </c>
      <c r="R472" s="22">
        <f t="shared" si="46"/>
        <v>1.6727130144225899</v>
      </c>
      <c r="S472" s="22">
        <f t="shared" si="47"/>
        <v>2.6727130144225901</v>
      </c>
    </row>
    <row r="473" spans="1:19">
      <c r="A473" s="18" t="s">
        <v>512</v>
      </c>
      <c r="B473" s="18" t="s">
        <v>28</v>
      </c>
      <c r="C473" s="18" t="s">
        <v>41</v>
      </c>
      <c r="D473" s="19">
        <v>44895</v>
      </c>
      <c r="E473" s="20">
        <v>45510</v>
      </c>
      <c r="F473" s="21">
        <v>21462.400000000001</v>
      </c>
      <c r="G473" s="21">
        <v>3377.6</v>
      </c>
      <c r="H473" s="21">
        <v>2681.6</v>
      </c>
      <c r="I473" s="18">
        <v>6141.12</v>
      </c>
      <c r="J473" s="18">
        <v>9756.1919999999991</v>
      </c>
      <c r="K473" s="18" t="s">
        <v>30</v>
      </c>
      <c r="L473" s="18" t="s">
        <v>50</v>
      </c>
      <c r="M473" s="18" t="s">
        <v>24</v>
      </c>
      <c r="N473" s="22">
        <f t="shared" si="42"/>
        <v>0.15737289399135199</v>
      </c>
      <c r="O473" s="22">
        <f t="shared" si="43"/>
        <v>0.79393652297489303</v>
      </c>
      <c r="P473" s="23">
        <f t="shared" si="44"/>
        <v>1.8181904310753201</v>
      </c>
      <c r="Q473" s="23">
        <f t="shared" si="45"/>
        <v>2.2900954653937902</v>
      </c>
      <c r="R473" s="22">
        <f t="shared" si="46"/>
        <v>0.58866656245114901</v>
      </c>
      <c r="S473" s="22">
        <f t="shared" si="47"/>
        <v>1.58866656245115</v>
      </c>
    </row>
    <row r="474" spans="1:19">
      <c r="A474" s="18" t="s">
        <v>513</v>
      </c>
      <c r="B474" s="18" t="s">
        <v>40</v>
      </c>
      <c r="C474" s="18" t="s">
        <v>41</v>
      </c>
      <c r="D474" s="19">
        <v>44979</v>
      </c>
      <c r="E474" s="20">
        <v>45585</v>
      </c>
      <c r="F474" s="21">
        <v>50888</v>
      </c>
      <c r="G474" s="21">
        <v>7145.6</v>
      </c>
      <c r="H474" s="21">
        <v>6198.4</v>
      </c>
      <c r="I474" s="18">
        <v>5079.3599999999997</v>
      </c>
      <c r="J474" s="18">
        <v>17050.32</v>
      </c>
      <c r="K474" s="18" t="s">
        <v>65</v>
      </c>
      <c r="L474" s="18" t="s">
        <v>35</v>
      </c>
      <c r="M474" s="18" t="s">
        <v>32</v>
      </c>
      <c r="N474" s="22">
        <f t="shared" si="42"/>
        <v>0.14041817324320099</v>
      </c>
      <c r="O474" s="22">
        <f t="shared" si="43"/>
        <v>0.86744290192565998</v>
      </c>
      <c r="P474" s="23">
        <f t="shared" si="44"/>
        <v>0.710837438423645</v>
      </c>
      <c r="Q474" s="23">
        <f t="shared" si="45"/>
        <v>0.81946308724832195</v>
      </c>
      <c r="R474" s="22">
        <f t="shared" si="46"/>
        <v>2.35678510678511</v>
      </c>
      <c r="S474" s="22">
        <f t="shared" si="47"/>
        <v>3.35678510678511</v>
      </c>
    </row>
    <row r="475" spans="1:19">
      <c r="A475" s="18" t="s">
        <v>514</v>
      </c>
      <c r="B475" s="18" t="s">
        <v>20</v>
      </c>
      <c r="C475" s="18" t="s">
        <v>21</v>
      </c>
      <c r="D475" s="19">
        <v>44927</v>
      </c>
      <c r="E475" s="20">
        <v>45544</v>
      </c>
      <c r="F475" s="21">
        <v>51468.800000000003</v>
      </c>
      <c r="G475" s="21">
        <v>22180.799999999999</v>
      </c>
      <c r="H475" s="21">
        <v>13913.6</v>
      </c>
      <c r="I475" s="18">
        <v>4498.8959999999997</v>
      </c>
      <c r="J475" s="18">
        <v>5735.3440000000001</v>
      </c>
      <c r="K475" s="18" t="s">
        <v>22</v>
      </c>
      <c r="L475" s="18" t="s">
        <v>31</v>
      </c>
      <c r="M475" s="18" t="s">
        <v>24</v>
      </c>
      <c r="N475" s="22">
        <f t="shared" si="42"/>
        <v>0.430956229793584</v>
      </c>
      <c r="O475" s="22">
        <f t="shared" si="43"/>
        <v>0.62728125225420195</v>
      </c>
      <c r="P475" s="23">
        <f t="shared" si="44"/>
        <v>0.20282839212291701</v>
      </c>
      <c r="Q475" s="23">
        <f t="shared" si="45"/>
        <v>0.32334521619135198</v>
      </c>
      <c r="R475" s="22">
        <f t="shared" si="46"/>
        <v>0.274833648077217</v>
      </c>
      <c r="S475" s="22">
        <f t="shared" si="47"/>
        <v>1.27483364807722</v>
      </c>
    </row>
    <row r="476" spans="1:19">
      <c r="A476" s="18" t="s">
        <v>515</v>
      </c>
      <c r="B476" s="18" t="s">
        <v>34</v>
      </c>
      <c r="C476" s="18" t="s">
        <v>29</v>
      </c>
      <c r="D476" s="19">
        <v>44911</v>
      </c>
      <c r="E476" s="20">
        <v>45516</v>
      </c>
      <c r="F476" s="21">
        <v>2326.4</v>
      </c>
      <c r="G476" s="21">
        <v>1923.2</v>
      </c>
      <c r="H476" s="21">
        <v>1444.8</v>
      </c>
      <c r="I476" s="18">
        <v>1485.328</v>
      </c>
      <c r="J476" s="18">
        <v>2013.92</v>
      </c>
      <c r="K476" s="18" t="s">
        <v>65</v>
      </c>
      <c r="L476" s="18" t="s">
        <v>35</v>
      </c>
      <c r="M476" s="18" t="s">
        <v>32</v>
      </c>
      <c r="N476" s="22">
        <f t="shared" si="42"/>
        <v>0.82668500687757895</v>
      </c>
      <c r="O476" s="22">
        <f t="shared" si="43"/>
        <v>0.75124792013311104</v>
      </c>
      <c r="P476" s="23">
        <f t="shared" si="44"/>
        <v>0.77232113144758696</v>
      </c>
      <c r="Q476" s="23">
        <f t="shared" si="45"/>
        <v>1.02805094130676</v>
      </c>
      <c r="R476" s="22">
        <f t="shared" si="46"/>
        <v>0.35587560458026801</v>
      </c>
      <c r="S476" s="22">
        <f t="shared" si="47"/>
        <v>1.35587560458027</v>
      </c>
    </row>
    <row r="477" spans="1:19">
      <c r="A477" s="18" t="s">
        <v>516</v>
      </c>
      <c r="B477" s="18" t="s">
        <v>40</v>
      </c>
      <c r="C477" s="18" t="s">
        <v>48</v>
      </c>
      <c r="D477" s="19">
        <v>44841</v>
      </c>
      <c r="E477" s="20">
        <v>45444</v>
      </c>
      <c r="F477" s="21">
        <v>58208</v>
      </c>
      <c r="G477" s="21">
        <v>22996.799999999999</v>
      </c>
      <c r="H477" s="21">
        <v>9030.4</v>
      </c>
      <c r="I477" s="18">
        <v>7117.1360000000004</v>
      </c>
      <c r="J477" s="18">
        <v>21107.008000000002</v>
      </c>
      <c r="K477" s="18" t="s">
        <v>65</v>
      </c>
      <c r="L477" s="18" t="s">
        <v>31</v>
      </c>
      <c r="M477" s="18" t="s">
        <v>32</v>
      </c>
      <c r="N477" s="22">
        <f t="shared" si="42"/>
        <v>0.39507971412864201</v>
      </c>
      <c r="O477" s="22">
        <f t="shared" si="43"/>
        <v>0.39268072079593702</v>
      </c>
      <c r="P477" s="23">
        <f t="shared" si="44"/>
        <v>0.30948375426146302</v>
      </c>
      <c r="Q477" s="23">
        <f t="shared" si="45"/>
        <v>0.78813075832742696</v>
      </c>
      <c r="R477" s="22">
        <f t="shared" si="46"/>
        <v>1.96566034427331</v>
      </c>
      <c r="S477" s="22">
        <f t="shared" si="47"/>
        <v>2.96566034427331</v>
      </c>
    </row>
    <row r="478" spans="1:19">
      <c r="A478" s="18" t="s">
        <v>517</v>
      </c>
      <c r="B478" s="18" t="s">
        <v>26</v>
      </c>
      <c r="C478" s="18" t="s">
        <v>41</v>
      </c>
      <c r="D478" s="19">
        <v>44907</v>
      </c>
      <c r="E478" s="20">
        <v>45534</v>
      </c>
      <c r="F478" s="21">
        <v>36966.400000000001</v>
      </c>
      <c r="G478" s="21">
        <v>15526.4</v>
      </c>
      <c r="H478" s="21">
        <v>2980.8</v>
      </c>
      <c r="I478" s="18">
        <v>4352.6880000000001</v>
      </c>
      <c r="J478" s="18">
        <v>9993.7119999999995</v>
      </c>
      <c r="K478" s="18" t="s">
        <v>38</v>
      </c>
      <c r="L478" s="18" t="s">
        <v>31</v>
      </c>
      <c r="M478" s="18" t="s">
        <v>32</v>
      </c>
      <c r="N478" s="22">
        <f t="shared" si="42"/>
        <v>0.42001385041551198</v>
      </c>
      <c r="O478" s="22">
        <f t="shared" si="43"/>
        <v>0.19198268755152501</v>
      </c>
      <c r="P478" s="23">
        <f t="shared" si="44"/>
        <v>0.28034109645506999</v>
      </c>
      <c r="Q478" s="23">
        <f t="shared" si="45"/>
        <v>1.4602415458937199</v>
      </c>
      <c r="R478" s="22">
        <f t="shared" si="46"/>
        <v>1.2959862962840401</v>
      </c>
      <c r="S478" s="22">
        <f t="shared" si="47"/>
        <v>2.2959862962840401</v>
      </c>
    </row>
    <row r="479" spans="1:19">
      <c r="A479" s="18" t="s">
        <v>518</v>
      </c>
      <c r="B479" s="18" t="s">
        <v>20</v>
      </c>
      <c r="C479" s="18" t="s">
        <v>48</v>
      </c>
      <c r="D479" s="19">
        <v>44965</v>
      </c>
      <c r="E479" s="20">
        <v>45589</v>
      </c>
      <c r="F479" s="21">
        <v>59745.599999999999</v>
      </c>
      <c r="G479" s="21">
        <v>9569.6</v>
      </c>
      <c r="H479" s="21">
        <v>5832</v>
      </c>
      <c r="I479" s="18">
        <v>4500.08</v>
      </c>
      <c r="J479" s="18">
        <v>6166.4960000000001</v>
      </c>
      <c r="K479" s="18" t="s">
        <v>22</v>
      </c>
      <c r="L479" s="18" t="s">
        <v>35</v>
      </c>
      <c r="M479" s="18" t="s">
        <v>32</v>
      </c>
      <c r="N479" s="22">
        <f t="shared" si="42"/>
        <v>0.160172464583166</v>
      </c>
      <c r="O479" s="22">
        <f t="shared" si="43"/>
        <v>0.60942986122721998</v>
      </c>
      <c r="P479" s="23">
        <f t="shared" si="44"/>
        <v>0.47024745025915399</v>
      </c>
      <c r="Q479" s="23">
        <f t="shared" si="45"/>
        <v>0.77161865569273003</v>
      </c>
      <c r="R479" s="22">
        <f t="shared" si="46"/>
        <v>0.37030808341185101</v>
      </c>
      <c r="S479" s="22">
        <f t="shared" si="47"/>
        <v>1.37030808341185</v>
      </c>
    </row>
    <row r="480" spans="1:19">
      <c r="A480" s="18" t="s">
        <v>519</v>
      </c>
      <c r="B480" s="18" t="s">
        <v>40</v>
      </c>
      <c r="C480" s="18" t="s">
        <v>21</v>
      </c>
      <c r="D480" s="19">
        <v>44944</v>
      </c>
      <c r="E480" s="20">
        <v>45545</v>
      </c>
      <c r="F480" s="21">
        <v>8161.6</v>
      </c>
      <c r="G480" s="21">
        <v>3545.6</v>
      </c>
      <c r="H480" s="21">
        <v>2267.1999999999998</v>
      </c>
      <c r="I480" s="18">
        <v>3518.5439999999999</v>
      </c>
      <c r="J480" s="18">
        <v>7681.5680000000002</v>
      </c>
      <c r="K480" s="18" t="s">
        <v>30</v>
      </c>
      <c r="L480" s="18" t="s">
        <v>44</v>
      </c>
      <c r="M480" s="18" t="s">
        <v>24</v>
      </c>
      <c r="N480" s="22">
        <f t="shared" si="42"/>
        <v>0.43442462262301501</v>
      </c>
      <c r="O480" s="22">
        <f t="shared" si="43"/>
        <v>0.63944043321299604</v>
      </c>
      <c r="P480" s="23">
        <f t="shared" si="44"/>
        <v>0.99236913357400702</v>
      </c>
      <c r="Q480" s="23">
        <f t="shared" si="45"/>
        <v>1.5519336626676099</v>
      </c>
      <c r="R480" s="22">
        <f t="shared" si="46"/>
        <v>1.18316667348767</v>
      </c>
      <c r="S480" s="22">
        <f t="shared" si="47"/>
        <v>2.18316667348767</v>
      </c>
    </row>
    <row r="481" spans="1:19">
      <c r="A481" s="18" t="s">
        <v>520</v>
      </c>
      <c r="B481" s="18" t="s">
        <v>40</v>
      </c>
      <c r="C481" s="18" t="s">
        <v>41</v>
      </c>
      <c r="D481" s="19">
        <v>44802</v>
      </c>
      <c r="E481" s="20">
        <v>45412</v>
      </c>
      <c r="F481" s="21">
        <v>28659.200000000001</v>
      </c>
      <c r="G481" s="21">
        <v>22558.400000000001</v>
      </c>
      <c r="H481" s="21">
        <v>4633.6000000000004</v>
      </c>
      <c r="I481" s="18">
        <v>7835.9040000000005</v>
      </c>
      <c r="J481" s="18">
        <v>24805.84</v>
      </c>
      <c r="K481" s="18" t="s">
        <v>65</v>
      </c>
      <c r="L481" s="18" t="s">
        <v>23</v>
      </c>
      <c r="M481" s="18" t="s">
        <v>32</v>
      </c>
      <c r="N481" s="22">
        <f t="shared" si="42"/>
        <v>0.78712594908441302</v>
      </c>
      <c r="O481" s="22">
        <f t="shared" si="43"/>
        <v>0.20540463862685299</v>
      </c>
      <c r="P481" s="23">
        <f t="shared" si="44"/>
        <v>0.347360805730903</v>
      </c>
      <c r="Q481" s="23">
        <f t="shared" si="45"/>
        <v>1.6911049723756899</v>
      </c>
      <c r="R481" s="22">
        <f t="shared" si="46"/>
        <v>2.1656641020614802</v>
      </c>
      <c r="S481" s="22">
        <f t="shared" si="47"/>
        <v>3.1656641020614802</v>
      </c>
    </row>
    <row r="482" spans="1:19">
      <c r="A482" s="18" t="s">
        <v>521</v>
      </c>
      <c r="B482" s="18" t="s">
        <v>28</v>
      </c>
      <c r="C482" s="18" t="s">
        <v>48</v>
      </c>
      <c r="D482" s="19">
        <v>44751</v>
      </c>
      <c r="E482" s="20">
        <v>45357</v>
      </c>
      <c r="F482" s="21">
        <v>65707.199999999997</v>
      </c>
      <c r="G482" s="21">
        <v>37587.199999999997</v>
      </c>
      <c r="H482" s="21">
        <v>19118.400000000001</v>
      </c>
      <c r="I482" s="18">
        <v>7462.0159999999996</v>
      </c>
      <c r="J482" s="18">
        <v>9059.0720000000001</v>
      </c>
      <c r="K482" s="18" t="s">
        <v>43</v>
      </c>
      <c r="L482" s="18" t="s">
        <v>44</v>
      </c>
      <c r="M482" s="18" t="s">
        <v>24</v>
      </c>
      <c r="N482" s="22">
        <f t="shared" si="42"/>
        <v>0.57204081135705098</v>
      </c>
      <c r="O482" s="22">
        <f t="shared" si="43"/>
        <v>0.508641239570918</v>
      </c>
      <c r="P482" s="23">
        <f t="shared" si="44"/>
        <v>0.198525455474204</v>
      </c>
      <c r="Q482" s="23">
        <f t="shared" si="45"/>
        <v>0.39030546489245999</v>
      </c>
      <c r="R482" s="22">
        <f t="shared" si="46"/>
        <v>0.21402473540662501</v>
      </c>
      <c r="S482" s="22">
        <f t="shared" si="47"/>
        <v>1.21402473540662</v>
      </c>
    </row>
    <row r="483" spans="1:19">
      <c r="A483" s="18" t="s">
        <v>522</v>
      </c>
      <c r="B483" s="18" t="s">
        <v>26</v>
      </c>
      <c r="C483" s="18" t="s">
        <v>21</v>
      </c>
      <c r="D483" s="19">
        <v>44759</v>
      </c>
      <c r="E483" s="20">
        <v>45376</v>
      </c>
      <c r="F483" s="21">
        <v>40692.800000000003</v>
      </c>
      <c r="G483" s="21">
        <v>24584</v>
      </c>
      <c r="H483" s="21">
        <v>24070.400000000001</v>
      </c>
      <c r="I483" s="18">
        <v>3917.9679999999998</v>
      </c>
      <c r="J483" s="18">
        <v>14327.407999999999</v>
      </c>
      <c r="K483" s="18" t="s">
        <v>22</v>
      </c>
      <c r="L483" s="18" t="s">
        <v>23</v>
      </c>
      <c r="M483" s="18" t="s">
        <v>24</v>
      </c>
      <c r="N483" s="22">
        <f t="shared" si="42"/>
        <v>0.60413635827468204</v>
      </c>
      <c r="O483" s="22">
        <f t="shared" si="43"/>
        <v>0.97910836316303296</v>
      </c>
      <c r="P483" s="23">
        <f t="shared" si="44"/>
        <v>0.159370647575659</v>
      </c>
      <c r="Q483" s="23">
        <f t="shared" si="45"/>
        <v>0.162771204466897</v>
      </c>
      <c r="R483" s="22">
        <f t="shared" si="46"/>
        <v>2.6568466102836998</v>
      </c>
      <c r="S483" s="22">
        <f t="shared" si="47"/>
        <v>3.6568466102836998</v>
      </c>
    </row>
    <row r="484" spans="1:19">
      <c r="A484" s="18" t="s">
        <v>523</v>
      </c>
      <c r="B484" s="18" t="s">
        <v>47</v>
      </c>
      <c r="C484" s="18" t="s">
        <v>48</v>
      </c>
      <c r="D484" s="19">
        <v>44698</v>
      </c>
      <c r="E484" s="20">
        <v>45322</v>
      </c>
      <c r="F484" s="21">
        <v>66291.199999999997</v>
      </c>
      <c r="G484" s="21">
        <v>13912</v>
      </c>
      <c r="H484" s="21">
        <v>3699.2</v>
      </c>
      <c r="I484" s="18">
        <v>6045.6</v>
      </c>
      <c r="J484" s="18">
        <v>11150.128000000001</v>
      </c>
      <c r="K484" s="18" t="s">
        <v>30</v>
      </c>
      <c r="L484" s="18" t="s">
        <v>44</v>
      </c>
      <c r="M484" s="18" t="s">
        <v>32</v>
      </c>
      <c r="N484" s="22">
        <f t="shared" si="42"/>
        <v>0.209861942459934</v>
      </c>
      <c r="O484" s="22">
        <f t="shared" si="43"/>
        <v>0.26589994249568699</v>
      </c>
      <c r="P484" s="23">
        <f t="shared" si="44"/>
        <v>0.43456009200690099</v>
      </c>
      <c r="Q484" s="23">
        <f t="shared" si="45"/>
        <v>1.63429930795848</v>
      </c>
      <c r="R484" s="22">
        <f t="shared" si="46"/>
        <v>0.84433770014555998</v>
      </c>
      <c r="S484" s="22">
        <f t="shared" si="47"/>
        <v>1.8443377001455601</v>
      </c>
    </row>
    <row r="485" spans="1:19">
      <c r="A485" s="18" t="s">
        <v>524</v>
      </c>
      <c r="B485" s="18" t="s">
        <v>34</v>
      </c>
      <c r="C485" s="18" t="s">
        <v>21</v>
      </c>
      <c r="D485" s="19">
        <v>44718</v>
      </c>
      <c r="E485" s="20">
        <v>45338</v>
      </c>
      <c r="F485" s="21">
        <v>22867.200000000001</v>
      </c>
      <c r="G485" s="21">
        <v>21937.599999999999</v>
      </c>
      <c r="H485" s="21">
        <v>9347.2000000000007</v>
      </c>
      <c r="I485" s="18">
        <v>2121.424</v>
      </c>
      <c r="J485" s="18">
        <v>4883.7280000000001</v>
      </c>
      <c r="K485" s="18" t="s">
        <v>65</v>
      </c>
      <c r="L485" s="18" t="s">
        <v>31</v>
      </c>
      <c r="M485" s="18" t="s">
        <v>24</v>
      </c>
      <c r="N485" s="22">
        <f t="shared" si="42"/>
        <v>0.95934788692975104</v>
      </c>
      <c r="O485" s="22">
        <f t="shared" si="43"/>
        <v>0.42608124863248498</v>
      </c>
      <c r="P485" s="23">
        <f t="shared" si="44"/>
        <v>9.6702647509299106E-2</v>
      </c>
      <c r="Q485" s="23">
        <f t="shared" si="45"/>
        <v>0.22695823348168401</v>
      </c>
      <c r="R485" s="22">
        <f t="shared" si="46"/>
        <v>1.30209896748599</v>
      </c>
      <c r="S485" s="22">
        <f t="shared" si="47"/>
        <v>2.30209896748599</v>
      </c>
    </row>
    <row r="486" spans="1:19">
      <c r="A486" s="18" t="s">
        <v>525</v>
      </c>
      <c r="B486" s="18" t="s">
        <v>40</v>
      </c>
      <c r="C486" s="18" t="s">
        <v>48</v>
      </c>
      <c r="D486" s="19">
        <v>44981</v>
      </c>
      <c r="E486" s="20">
        <v>45590</v>
      </c>
      <c r="F486" s="21">
        <v>6496</v>
      </c>
      <c r="G486" s="21">
        <v>5945.6</v>
      </c>
      <c r="H486" s="21">
        <v>288</v>
      </c>
      <c r="I486" s="18">
        <v>3227.28</v>
      </c>
      <c r="J486" s="18">
        <v>7219.9040000000005</v>
      </c>
      <c r="K486" s="18" t="s">
        <v>65</v>
      </c>
      <c r="L486" s="18" t="s">
        <v>35</v>
      </c>
      <c r="M486" s="18" t="s">
        <v>24</v>
      </c>
      <c r="N486" s="22">
        <f t="shared" si="42"/>
        <v>0.91527093596059095</v>
      </c>
      <c r="O486" s="22">
        <f t="shared" si="43"/>
        <v>4.8439181916038701E-2</v>
      </c>
      <c r="P486" s="23">
        <f t="shared" si="44"/>
        <v>0.54280139935414395</v>
      </c>
      <c r="Q486" s="23">
        <f t="shared" si="45"/>
        <v>11.205833333333301</v>
      </c>
      <c r="R486" s="22">
        <f t="shared" si="46"/>
        <v>1.2371483106516901</v>
      </c>
      <c r="S486" s="22">
        <f t="shared" si="47"/>
        <v>2.2371483106516901</v>
      </c>
    </row>
    <row r="487" spans="1:19">
      <c r="A487" s="18" t="s">
        <v>526</v>
      </c>
      <c r="B487" s="18" t="s">
        <v>34</v>
      </c>
      <c r="C487" s="18" t="s">
        <v>21</v>
      </c>
      <c r="D487" s="19">
        <v>44810</v>
      </c>
      <c r="E487" s="20">
        <v>45422</v>
      </c>
      <c r="F487" s="21">
        <v>69124.800000000003</v>
      </c>
      <c r="G487" s="21">
        <v>35433.599999999999</v>
      </c>
      <c r="H487" s="21">
        <v>11017.6</v>
      </c>
      <c r="I487" s="18">
        <v>4617.0079999999998</v>
      </c>
      <c r="J487" s="18">
        <v>12265.504000000001</v>
      </c>
      <c r="K487" s="18" t="s">
        <v>22</v>
      </c>
      <c r="L487" s="18" t="s">
        <v>23</v>
      </c>
      <c r="M487" s="18" t="s">
        <v>24</v>
      </c>
      <c r="N487" s="22">
        <f t="shared" si="42"/>
        <v>0.51260329143809502</v>
      </c>
      <c r="O487" s="22">
        <f t="shared" si="43"/>
        <v>0.310936512236973</v>
      </c>
      <c r="P487" s="23">
        <f t="shared" si="44"/>
        <v>0.130300279960264</v>
      </c>
      <c r="Q487" s="23">
        <f t="shared" si="45"/>
        <v>0.41905750798722002</v>
      </c>
      <c r="R487" s="22">
        <f t="shared" si="46"/>
        <v>1.65659145489893</v>
      </c>
      <c r="S487" s="22">
        <f t="shared" si="47"/>
        <v>2.6565914548989298</v>
      </c>
    </row>
    <row r="488" spans="1:19">
      <c r="A488" s="18" t="s">
        <v>527</v>
      </c>
      <c r="B488" s="18" t="s">
        <v>28</v>
      </c>
      <c r="C488" s="18" t="s">
        <v>21</v>
      </c>
      <c r="D488" s="19">
        <v>44903</v>
      </c>
      <c r="E488" s="20">
        <v>45519</v>
      </c>
      <c r="F488" s="21">
        <v>45401.599999999999</v>
      </c>
      <c r="G488" s="21">
        <v>7484.8</v>
      </c>
      <c r="H488" s="21">
        <v>678.4</v>
      </c>
      <c r="I488" s="18">
        <v>1511.7439999999999</v>
      </c>
      <c r="J488" s="18">
        <v>3211.328</v>
      </c>
      <c r="K488" s="18" t="s">
        <v>43</v>
      </c>
      <c r="L488" s="18" t="s">
        <v>50</v>
      </c>
      <c r="M488" s="18" t="s">
        <v>24</v>
      </c>
      <c r="N488" s="22">
        <f t="shared" si="42"/>
        <v>0.16485762616295499</v>
      </c>
      <c r="O488" s="22">
        <f t="shared" si="43"/>
        <v>9.06370243693886E-2</v>
      </c>
      <c r="P488" s="23">
        <f t="shared" si="44"/>
        <v>0.20197520307823899</v>
      </c>
      <c r="Q488" s="23">
        <f t="shared" si="45"/>
        <v>2.2283962264150898</v>
      </c>
      <c r="R488" s="22">
        <f t="shared" si="46"/>
        <v>1.1242538419203301</v>
      </c>
      <c r="S488" s="22">
        <f t="shared" si="47"/>
        <v>2.1242538419203298</v>
      </c>
    </row>
    <row r="489" spans="1:19">
      <c r="A489" s="18" t="s">
        <v>528</v>
      </c>
      <c r="B489" s="18" t="s">
        <v>34</v>
      </c>
      <c r="C489" s="18" t="s">
        <v>41</v>
      </c>
      <c r="D489" s="19">
        <v>44957</v>
      </c>
      <c r="E489" s="20">
        <v>45580</v>
      </c>
      <c r="F489" s="21">
        <v>64248</v>
      </c>
      <c r="G489" s="21">
        <v>14291.2</v>
      </c>
      <c r="H489" s="21">
        <v>6702.4</v>
      </c>
      <c r="I489" s="18">
        <v>3641.8560000000002</v>
      </c>
      <c r="J489" s="18">
        <v>11574.864</v>
      </c>
      <c r="K489" s="18" t="s">
        <v>65</v>
      </c>
      <c r="L489" s="18" t="s">
        <v>31</v>
      </c>
      <c r="M489" s="18" t="s">
        <v>24</v>
      </c>
      <c r="N489" s="22">
        <f t="shared" si="42"/>
        <v>0.22243805254638299</v>
      </c>
      <c r="O489" s="22">
        <f t="shared" si="43"/>
        <v>0.46898790864308099</v>
      </c>
      <c r="P489" s="23">
        <f t="shared" si="44"/>
        <v>0.254832064487237</v>
      </c>
      <c r="Q489" s="23">
        <f t="shared" si="45"/>
        <v>0.54336595846264002</v>
      </c>
      <c r="R489" s="22">
        <f t="shared" si="46"/>
        <v>2.1782871151412899</v>
      </c>
      <c r="S489" s="22">
        <f t="shared" si="47"/>
        <v>3.1782871151412899</v>
      </c>
    </row>
    <row r="490" spans="1:19">
      <c r="A490" s="18" t="s">
        <v>529</v>
      </c>
      <c r="B490" s="18" t="s">
        <v>20</v>
      </c>
      <c r="C490" s="18" t="s">
        <v>21</v>
      </c>
      <c r="D490" s="19">
        <v>44905</v>
      </c>
      <c r="E490" s="20">
        <v>45524</v>
      </c>
      <c r="F490" s="21">
        <v>26652.799999999999</v>
      </c>
      <c r="G490" s="21">
        <v>15291.2</v>
      </c>
      <c r="H490" s="21">
        <v>308.8</v>
      </c>
      <c r="I490" s="18">
        <v>318.35199999999998</v>
      </c>
      <c r="J490" s="18">
        <v>874.52800000000002</v>
      </c>
      <c r="K490" s="18" t="s">
        <v>30</v>
      </c>
      <c r="L490" s="18" t="s">
        <v>50</v>
      </c>
      <c r="M490" s="18" t="s">
        <v>24</v>
      </c>
      <c r="N490" s="22">
        <f t="shared" si="42"/>
        <v>0.57371833353343704</v>
      </c>
      <c r="O490" s="22">
        <f t="shared" si="43"/>
        <v>2.0194621743224901E-2</v>
      </c>
      <c r="P490" s="23">
        <f t="shared" si="44"/>
        <v>2.08192947577692E-2</v>
      </c>
      <c r="Q490" s="23">
        <f t="shared" si="45"/>
        <v>1.03093264248705</v>
      </c>
      <c r="R490" s="22">
        <f t="shared" si="46"/>
        <v>1.74704729356184</v>
      </c>
      <c r="S490" s="22">
        <f t="shared" si="47"/>
        <v>2.74704729356184</v>
      </c>
    </row>
    <row r="491" spans="1:19">
      <c r="A491" s="18" t="s">
        <v>530</v>
      </c>
      <c r="B491" s="18" t="s">
        <v>47</v>
      </c>
      <c r="C491" s="18" t="s">
        <v>41</v>
      </c>
      <c r="D491" s="19">
        <v>44798</v>
      </c>
      <c r="E491" s="20">
        <v>45402</v>
      </c>
      <c r="F491" s="21">
        <v>2448</v>
      </c>
      <c r="G491" s="21">
        <v>1064</v>
      </c>
      <c r="H491" s="21">
        <v>836.8</v>
      </c>
      <c r="I491" s="18">
        <v>7470.5280000000002</v>
      </c>
      <c r="J491" s="18">
        <v>12419.727999999999</v>
      </c>
      <c r="K491" s="18" t="s">
        <v>43</v>
      </c>
      <c r="L491" s="18" t="s">
        <v>23</v>
      </c>
      <c r="M491" s="18" t="s">
        <v>24</v>
      </c>
      <c r="N491" s="22">
        <f t="shared" si="42"/>
        <v>0.434640522875817</v>
      </c>
      <c r="O491" s="22">
        <f t="shared" si="43"/>
        <v>0.78646616541353398</v>
      </c>
      <c r="P491" s="23">
        <f t="shared" si="44"/>
        <v>7.0211729323308303</v>
      </c>
      <c r="Q491" s="23">
        <f t="shared" si="45"/>
        <v>8.9274952198852802</v>
      </c>
      <c r="R491" s="22">
        <f t="shared" si="46"/>
        <v>0.66249668028819397</v>
      </c>
      <c r="S491" s="22">
        <f t="shared" si="47"/>
        <v>1.66249668028819</v>
      </c>
    </row>
    <row r="492" spans="1:19">
      <c r="A492" s="18" t="s">
        <v>531</v>
      </c>
      <c r="B492" s="18" t="s">
        <v>20</v>
      </c>
      <c r="C492" s="18" t="s">
        <v>29</v>
      </c>
      <c r="D492" s="19">
        <v>44853</v>
      </c>
      <c r="E492" s="20">
        <v>45472</v>
      </c>
      <c r="F492" s="21">
        <v>19140.8</v>
      </c>
      <c r="G492" s="21">
        <v>7048</v>
      </c>
      <c r="H492" s="21">
        <v>635.20000000000005</v>
      </c>
      <c r="I492" s="18">
        <v>5460.7359999999999</v>
      </c>
      <c r="J492" s="18">
        <v>9012.2880000000005</v>
      </c>
      <c r="K492" s="18" t="s">
        <v>65</v>
      </c>
      <c r="L492" s="18" t="s">
        <v>44</v>
      </c>
      <c r="M492" s="18" t="s">
        <v>24</v>
      </c>
      <c r="N492" s="22">
        <f t="shared" si="42"/>
        <v>0.36821867424559102</v>
      </c>
      <c r="O492" s="22">
        <f t="shared" si="43"/>
        <v>9.0124858115777501E-2</v>
      </c>
      <c r="P492" s="23">
        <f t="shared" si="44"/>
        <v>0.77479228149829704</v>
      </c>
      <c r="Q492" s="23">
        <f t="shared" si="45"/>
        <v>8.5968765743073003</v>
      </c>
      <c r="R492" s="22">
        <f t="shared" si="46"/>
        <v>0.65037972903286301</v>
      </c>
      <c r="S492" s="22">
        <f t="shared" si="47"/>
        <v>1.6503797290328599</v>
      </c>
    </row>
    <row r="493" spans="1:19">
      <c r="A493" s="18" t="s">
        <v>532</v>
      </c>
      <c r="B493" s="18" t="s">
        <v>26</v>
      </c>
      <c r="C493" s="18" t="s">
        <v>21</v>
      </c>
      <c r="D493" s="19">
        <v>44896</v>
      </c>
      <c r="E493" s="20">
        <v>45516</v>
      </c>
      <c r="F493" s="21">
        <v>29129.599999999999</v>
      </c>
      <c r="G493" s="21">
        <v>7412.8</v>
      </c>
      <c r="H493" s="21">
        <v>1966.4</v>
      </c>
      <c r="I493" s="18">
        <v>5599.6959999999999</v>
      </c>
      <c r="J493" s="18">
        <v>17207.024000000001</v>
      </c>
      <c r="K493" s="18" t="s">
        <v>22</v>
      </c>
      <c r="L493" s="18" t="s">
        <v>50</v>
      </c>
      <c r="M493" s="18" t="s">
        <v>24</v>
      </c>
      <c r="N493" s="22">
        <f t="shared" si="42"/>
        <v>0.25447654619356302</v>
      </c>
      <c r="O493" s="22">
        <f t="shared" si="43"/>
        <v>0.26527088279732403</v>
      </c>
      <c r="P493" s="23">
        <f t="shared" si="44"/>
        <v>0.75540902223181505</v>
      </c>
      <c r="Q493" s="23">
        <f t="shared" si="45"/>
        <v>2.84768917819365</v>
      </c>
      <c r="R493" s="22">
        <f t="shared" si="46"/>
        <v>2.0728496689820299</v>
      </c>
      <c r="S493" s="22">
        <f t="shared" si="47"/>
        <v>3.0728496689820299</v>
      </c>
    </row>
    <row r="494" spans="1:19">
      <c r="A494" s="18" t="s">
        <v>533</v>
      </c>
      <c r="B494" s="18" t="s">
        <v>28</v>
      </c>
      <c r="C494" s="18" t="s">
        <v>41</v>
      </c>
      <c r="D494" s="19">
        <v>44816</v>
      </c>
      <c r="E494" s="20">
        <v>45434</v>
      </c>
      <c r="F494" s="21">
        <v>35072</v>
      </c>
      <c r="G494" s="21">
        <v>731.2</v>
      </c>
      <c r="H494" s="21">
        <v>139.19999999999999</v>
      </c>
      <c r="I494" s="18">
        <v>1355.8879999999999</v>
      </c>
      <c r="J494" s="18">
        <v>3818.24</v>
      </c>
      <c r="K494" s="18" t="s">
        <v>43</v>
      </c>
      <c r="L494" s="18" t="s">
        <v>35</v>
      </c>
      <c r="M494" s="18" t="s">
        <v>24</v>
      </c>
      <c r="N494" s="22">
        <f t="shared" si="42"/>
        <v>2.08485401459854E-2</v>
      </c>
      <c r="O494" s="22">
        <f t="shared" si="43"/>
        <v>0.190371991247265</v>
      </c>
      <c r="P494" s="23">
        <f t="shared" si="44"/>
        <v>1.85433260393873</v>
      </c>
      <c r="Q494" s="23">
        <f t="shared" si="45"/>
        <v>9.7405747126436797</v>
      </c>
      <c r="R494" s="22">
        <f t="shared" si="46"/>
        <v>1.81604380302798</v>
      </c>
      <c r="S494" s="22">
        <f t="shared" si="47"/>
        <v>2.8160438030279802</v>
      </c>
    </row>
    <row r="495" spans="1:19">
      <c r="A495" s="18" t="s">
        <v>534</v>
      </c>
      <c r="B495" s="18" t="s">
        <v>34</v>
      </c>
      <c r="C495" s="18" t="s">
        <v>41</v>
      </c>
      <c r="D495" s="19">
        <v>44913</v>
      </c>
      <c r="E495" s="20">
        <v>45540</v>
      </c>
      <c r="F495" s="21">
        <v>66091.199999999997</v>
      </c>
      <c r="G495" s="21">
        <v>6155.2</v>
      </c>
      <c r="H495" s="21">
        <v>936</v>
      </c>
      <c r="I495" s="18">
        <v>5962.5119999999997</v>
      </c>
      <c r="J495" s="18">
        <v>8076.7520000000004</v>
      </c>
      <c r="K495" s="18" t="s">
        <v>38</v>
      </c>
      <c r="L495" s="18" t="s">
        <v>23</v>
      </c>
      <c r="M495" s="18" t="s">
        <v>24</v>
      </c>
      <c r="N495" s="22">
        <f t="shared" si="42"/>
        <v>9.3131914687583195E-2</v>
      </c>
      <c r="O495" s="22">
        <f t="shared" si="43"/>
        <v>0.15206654536002101</v>
      </c>
      <c r="P495" s="23">
        <f t="shared" si="44"/>
        <v>0.96869508708084195</v>
      </c>
      <c r="Q495" s="23">
        <f t="shared" si="45"/>
        <v>6.3702051282051304</v>
      </c>
      <c r="R495" s="22">
        <f t="shared" si="46"/>
        <v>0.35458880418186201</v>
      </c>
      <c r="S495" s="22">
        <f t="shared" si="47"/>
        <v>1.3545888041818599</v>
      </c>
    </row>
    <row r="496" spans="1:19">
      <c r="A496" s="18" t="s">
        <v>535</v>
      </c>
      <c r="B496" s="18" t="s">
        <v>34</v>
      </c>
      <c r="C496" s="18" t="s">
        <v>29</v>
      </c>
      <c r="D496" s="19">
        <v>44966</v>
      </c>
      <c r="E496" s="20">
        <v>45577</v>
      </c>
      <c r="F496" s="21">
        <v>37278.400000000001</v>
      </c>
      <c r="G496" s="21">
        <v>32872</v>
      </c>
      <c r="H496" s="21">
        <v>9611.2000000000007</v>
      </c>
      <c r="I496" s="18">
        <v>5760.7039999999997</v>
      </c>
      <c r="J496" s="18">
        <v>7067.0879999999997</v>
      </c>
      <c r="K496" s="18" t="s">
        <v>30</v>
      </c>
      <c r="L496" s="18" t="s">
        <v>50</v>
      </c>
      <c r="M496" s="18" t="s">
        <v>24</v>
      </c>
      <c r="N496" s="22">
        <f t="shared" si="42"/>
        <v>0.88179750203871399</v>
      </c>
      <c r="O496" s="22">
        <f t="shared" si="43"/>
        <v>0.29238257483572599</v>
      </c>
      <c r="P496" s="23">
        <f t="shared" si="44"/>
        <v>0.17524653200292001</v>
      </c>
      <c r="Q496" s="23">
        <f t="shared" si="45"/>
        <v>0.59937406359247503</v>
      </c>
      <c r="R496" s="22">
        <f t="shared" si="46"/>
        <v>0.22677506082589899</v>
      </c>
      <c r="S496" s="22">
        <f t="shared" si="47"/>
        <v>1.2267750608259</v>
      </c>
    </row>
    <row r="497" spans="1:19">
      <c r="A497" s="18" t="s">
        <v>536</v>
      </c>
      <c r="B497" s="18" t="s">
        <v>20</v>
      </c>
      <c r="C497" s="18" t="s">
        <v>41</v>
      </c>
      <c r="D497" s="19">
        <v>44898</v>
      </c>
      <c r="E497" s="20">
        <v>45520</v>
      </c>
      <c r="F497" s="21">
        <v>48897.599999999999</v>
      </c>
      <c r="G497" s="21">
        <v>32014.400000000001</v>
      </c>
      <c r="H497" s="21">
        <v>694.4</v>
      </c>
      <c r="I497" s="18">
        <v>2989.8719999999998</v>
      </c>
      <c r="J497" s="18">
        <v>9924.0480000000007</v>
      </c>
      <c r="K497" s="18" t="s">
        <v>38</v>
      </c>
      <c r="L497" s="18" t="s">
        <v>44</v>
      </c>
      <c r="M497" s="18" t="s">
        <v>24</v>
      </c>
      <c r="N497" s="22">
        <f t="shared" si="42"/>
        <v>0.65472334020483602</v>
      </c>
      <c r="O497" s="22">
        <f t="shared" si="43"/>
        <v>2.1690239392273498E-2</v>
      </c>
      <c r="P497" s="23">
        <f t="shared" si="44"/>
        <v>9.3391473836773403E-2</v>
      </c>
      <c r="Q497" s="23">
        <f t="shared" si="45"/>
        <v>4.3056912442396298</v>
      </c>
      <c r="R497" s="22">
        <f t="shared" si="46"/>
        <v>2.3192216924336599</v>
      </c>
      <c r="S497" s="22">
        <f t="shared" si="47"/>
        <v>3.3192216924336599</v>
      </c>
    </row>
    <row r="498" spans="1:19">
      <c r="A498" s="18" t="s">
        <v>537</v>
      </c>
      <c r="B498" s="18" t="s">
        <v>40</v>
      </c>
      <c r="C498" s="18" t="s">
        <v>48</v>
      </c>
      <c r="D498" s="19">
        <v>44701</v>
      </c>
      <c r="E498" s="20">
        <v>45315</v>
      </c>
      <c r="F498" s="21">
        <v>73744</v>
      </c>
      <c r="G498" s="21">
        <v>44694.400000000001</v>
      </c>
      <c r="H498" s="21">
        <v>3062.4</v>
      </c>
      <c r="I498" s="18">
        <v>5996.4480000000003</v>
      </c>
      <c r="J498" s="18">
        <v>11604.656000000001</v>
      </c>
      <c r="K498" s="18" t="s">
        <v>30</v>
      </c>
      <c r="L498" s="18" t="s">
        <v>35</v>
      </c>
      <c r="M498" s="18" t="s">
        <v>24</v>
      </c>
      <c r="N498" s="22">
        <f t="shared" si="42"/>
        <v>0.60607507051421095</v>
      </c>
      <c r="O498" s="22">
        <f t="shared" si="43"/>
        <v>6.8518651106178802E-2</v>
      </c>
      <c r="P498" s="23">
        <f t="shared" si="44"/>
        <v>0.13416553304217099</v>
      </c>
      <c r="Q498" s="23">
        <f t="shared" si="45"/>
        <v>1.9580877742946701</v>
      </c>
      <c r="R498" s="22">
        <f t="shared" si="46"/>
        <v>0.93525500429587605</v>
      </c>
      <c r="S498" s="22">
        <f t="shared" si="47"/>
        <v>1.93525500429588</v>
      </c>
    </row>
    <row r="499" spans="1:19">
      <c r="A499" s="18" t="s">
        <v>538</v>
      </c>
      <c r="B499" s="18" t="s">
        <v>34</v>
      </c>
      <c r="C499" s="18" t="s">
        <v>21</v>
      </c>
      <c r="D499" s="19">
        <v>44890</v>
      </c>
      <c r="E499" s="20">
        <v>45504</v>
      </c>
      <c r="F499" s="21">
        <v>65569.600000000006</v>
      </c>
      <c r="G499" s="21">
        <v>11150.4</v>
      </c>
      <c r="H499" s="21">
        <v>8072</v>
      </c>
      <c r="I499" s="18">
        <v>7699.8239999999996</v>
      </c>
      <c r="J499" s="18">
        <v>21578.815999999999</v>
      </c>
      <c r="K499" s="18" t="s">
        <v>65</v>
      </c>
      <c r="L499" s="18" t="s">
        <v>44</v>
      </c>
      <c r="M499" s="18" t="s">
        <v>32</v>
      </c>
      <c r="N499" s="22">
        <f t="shared" si="42"/>
        <v>0.17005441546082301</v>
      </c>
      <c r="O499" s="22">
        <f t="shared" si="43"/>
        <v>0.72392021810876706</v>
      </c>
      <c r="P499" s="23">
        <f t="shared" si="44"/>
        <v>0.69054240206629403</v>
      </c>
      <c r="Q499" s="23">
        <f t="shared" si="45"/>
        <v>0.95389296333003004</v>
      </c>
      <c r="R499" s="22">
        <f t="shared" si="46"/>
        <v>1.8025076936823501</v>
      </c>
      <c r="S499" s="22">
        <f t="shared" si="47"/>
        <v>2.8025076936823501</v>
      </c>
    </row>
    <row r="500" spans="1:19">
      <c r="A500" s="18" t="s">
        <v>539</v>
      </c>
      <c r="B500" s="18" t="s">
        <v>28</v>
      </c>
      <c r="C500" s="18" t="s">
        <v>21</v>
      </c>
      <c r="D500" s="19">
        <v>44775</v>
      </c>
      <c r="E500" s="20">
        <v>45393</v>
      </c>
      <c r="F500" s="21">
        <v>36777.599999999999</v>
      </c>
      <c r="G500" s="21">
        <v>16576</v>
      </c>
      <c r="H500" s="21">
        <v>4966.3999999999996</v>
      </c>
      <c r="I500" s="18">
        <v>865.24800000000005</v>
      </c>
      <c r="J500" s="18">
        <v>1292.7360000000001</v>
      </c>
      <c r="K500" s="18" t="s">
        <v>43</v>
      </c>
      <c r="L500" s="18" t="s">
        <v>35</v>
      </c>
      <c r="M500" s="18" t="s">
        <v>32</v>
      </c>
      <c r="N500" s="22">
        <f t="shared" si="42"/>
        <v>0.450709127294875</v>
      </c>
      <c r="O500" s="22">
        <f t="shared" si="43"/>
        <v>0.2996138996139</v>
      </c>
      <c r="P500" s="23">
        <f t="shared" si="44"/>
        <v>5.2198841698841703E-2</v>
      </c>
      <c r="Q500" s="23">
        <f t="shared" si="45"/>
        <v>0.17422036082474199</v>
      </c>
      <c r="R500" s="22">
        <f t="shared" si="46"/>
        <v>0.49406412959059098</v>
      </c>
      <c r="S500" s="22">
        <f t="shared" si="47"/>
        <v>1.4940641295905901</v>
      </c>
    </row>
    <row r="501" spans="1:19">
      <c r="A501" s="18" t="s">
        <v>540</v>
      </c>
      <c r="B501" s="18" t="s">
        <v>47</v>
      </c>
      <c r="C501" s="18" t="s">
        <v>48</v>
      </c>
      <c r="D501" s="19">
        <v>44938</v>
      </c>
      <c r="E501" s="20">
        <v>45563</v>
      </c>
      <c r="F501" s="21">
        <v>71696</v>
      </c>
      <c r="G501" s="21">
        <v>26102.400000000001</v>
      </c>
      <c r="H501" s="21">
        <v>7795.2</v>
      </c>
      <c r="I501" s="18">
        <v>847.47199999999998</v>
      </c>
      <c r="J501" s="18">
        <v>2376.7840000000001</v>
      </c>
      <c r="K501" s="18" t="s">
        <v>30</v>
      </c>
      <c r="L501" s="18" t="s">
        <v>35</v>
      </c>
      <c r="M501" s="18" t="s">
        <v>24</v>
      </c>
      <c r="N501" s="22">
        <f t="shared" si="42"/>
        <v>0.36407051997321999</v>
      </c>
      <c r="O501" s="22">
        <f t="shared" si="43"/>
        <v>0.298639205590291</v>
      </c>
      <c r="P501" s="23">
        <f t="shared" si="44"/>
        <v>3.2467206080666902E-2</v>
      </c>
      <c r="Q501" s="23">
        <f t="shared" si="45"/>
        <v>0.108717159277504</v>
      </c>
      <c r="R501" s="22">
        <f t="shared" si="46"/>
        <v>1.8045575547038699</v>
      </c>
      <c r="S501" s="22">
        <f t="shared" si="47"/>
        <v>2.8045575547038699</v>
      </c>
    </row>
    <row r="502" spans="1:19">
      <c r="A502" s="18" t="s">
        <v>541</v>
      </c>
      <c r="B502" s="18" t="s">
        <v>47</v>
      </c>
      <c r="C502" s="18" t="s">
        <v>29</v>
      </c>
      <c r="D502" s="19">
        <v>44721</v>
      </c>
      <c r="E502" s="20">
        <v>45333</v>
      </c>
      <c r="F502" s="21">
        <v>59552</v>
      </c>
      <c r="G502" s="21">
        <v>29329.599999999999</v>
      </c>
      <c r="H502" s="21">
        <v>22888</v>
      </c>
      <c r="I502" s="18">
        <v>7683.3440000000001</v>
      </c>
      <c r="J502" s="18">
        <v>18368.815999999999</v>
      </c>
      <c r="K502" s="18" t="s">
        <v>30</v>
      </c>
      <c r="L502" s="18" t="s">
        <v>23</v>
      </c>
      <c r="M502" s="18" t="s">
        <v>32</v>
      </c>
      <c r="N502" s="22">
        <f t="shared" si="42"/>
        <v>0.49250403009134902</v>
      </c>
      <c r="O502" s="22">
        <f t="shared" si="43"/>
        <v>0.78037204735148102</v>
      </c>
      <c r="P502" s="23">
        <f t="shared" si="44"/>
        <v>0.26196552288473102</v>
      </c>
      <c r="Q502" s="23">
        <f t="shared" si="45"/>
        <v>0.33569311429570098</v>
      </c>
      <c r="R502" s="22">
        <f t="shared" si="46"/>
        <v>1.3907319521291801</v>
      </c>
      <c r="S502" s="22">
        <f t="shared" si="47"/>
        <v>2.3907319521291801</v>
      </c>
    </row>
    <row r="503" spans="1:19">
      <c r="A503" s="18" t="s">
        <v>542</v>
      </c>
      <c r="B503" s="18" t="s">
        <v>26</v>
      </c>
      <c r="C503" s="18" t="s">
        <v>41</v>
      </c>
      <c r="D503" s="19">
        <v>44893</v>
      </c>
      <c r="E503" s="20">
        <v>45506</v>
      </c>
      <c r="F503" s="21">
        <v>37163.199999999997</v>
      </c>
      <c r="G503" s="21">
        <v>572.79999999999995</v>
      </c>
      <c r="H503" s="21">
        <v>395.2</v>
      </c>
      <c r="I503" s="18">
        <v>3030.8319999999999</v>
      </c>
      <c r="J503" s="18">
        <v>9237.5840000000007</v>
      </c>
      <c r="K503" s="18" t="s">
        <v>38</v>
      </c>
      <c r="L503" s="18" t="s">
        <v>50</v>
      </c>
      <c r="M503" s="18" t="s">
        <v>32</v>
      </c>
      <c r="N503" s="22">
        <f t="shared" si="42"/>
        <v>1.5413096826968601E-2</v>
      </c>
      <c r="O503" s="22">
        <f t="shared" si="43"/>
        <v>0.68994413407821198</v>
      </c>
      <c r="P503" s="23">
        <f t="shared" si="44"/>
        <v>5.2912569832402196</v>
      </c>
      <c r="Q503" s="23">
        <f t="shared" si="45"/>
        <v>7.6691093117408897</v>
      </c>
      <c r="R503" s="22">
        <f t="shared" si="46"/>
        <v>2.0478706836934499</v>
      </c>
      <c r="S503" s="22">
        <f t="shared" si="47"/>
        <v>3.0478706836934499</v>
      </c>
    </row>
    <row r="504" spans="1:19">
      <c r="A504" s="18" t="s">
        <v>543</v>
      </c>
      <c r="B504" s="18" t="s">
        <v>26</v>
      </c>
      <c r="C504" s="18" t="s">
        <v>21</v>
      </c>
      <c r="D504" s="19">
        <v>44757</v>
      </c>
      <c r="E504" s="20">
        <v>45384</v>
      </c>
      <c r="F504" s="21">
        <v>55152</v>
      </c>
      <c r="G504" s="21">
        <v>2649.6</v>
      </c>
      <c r="H504" s="21">
        <v>620.79999999999995</v>
      </c>
      <c r="I504" s="18">
        <v>2318.944</v>
      </c>
      <c r="J504" s="18">
        <v>7618.3040000000001</v>
      </c>
      <c r="K504" s="18" t="s">
        <v>38</v>
      </c>
      <c r="L504" s="18" t="s">
        <v>31</v>
      </c>
      <c r="M504" s="18" t="s">
        <v>24</v>
      </c>
      <c r="N504" s="22">
        <f t="shared" si="42"/>
        <v>4.8041775456919102E-2</v>
      </c>
      <c r="O504" s="22">
        <f t="shared" si="43"/>
        <v>0.23429951690821299</v>
      </c>
      <c r="P504" s="23">
        <f t="shared" si="44"/>
        <v>0.87520531400966195</v>
      </c>
      <c r="Q504" s="23">
        <f t="shared" si="45"/>
        <v>3.7354123711340201</v>
      </c>
      <c r="R504" s="22">
        <f t="shared" si="46"/>
        <v>2.28524707798032</v>
      </c>
      <c r="S504" s="22">
        <f t="shared" si="47"/>
        <v>3.28524707798032</v>
      </c>
    </row>
    <row r="505" spans="1:19">
      <c r="A505" s="18" t="s">
        <v>544</v>
      </c>
      <c r="B505" s="18" t="s">
        <v>28</v>
      </c>
      <c r="C505" s="18" t="s">
        <v>41</v>
      </c>
      <c r="D505" s="19">
        <v>44742</v>
      </c>
      <c r="E505" s="20">
        <v>45347</v>
      </c>
      <c r="F505" s="21">
        <v>18846.400000000001</v>
      </c>
      <c r="G505" s="21">
        <v>3540.8</v>
      </c>
      <c r="H505" s="21">
        <v>596.79999999999995</v>
      </c>
      <c r="I505" s="18">
        <v>7233.8559999999998</v>
      </c>
      <c r="J505" s="18">
        <v>23194.32</v>
      </c>
      <c r="K505" s="18" t="s">
        <v>65</v>
      </c>
      <c r="L505" s="18" t="s">
        <v>35</v>
      </c>
      <c r="M505" s="18" t="s">
        <v>32</v>
      </c>
      <c r="N505" s="22">
        <f t="shared" si="42"/>
        <v>0.18787672977332501</v>
      </c>
      <c r="O505" s="22">
        <f t="shared" si="43"/>
        <v>0.16854948034342501</v>
      </c>
      <c r="P505" s="23">
        <f t="shared" si="44"/>
        <v>2.04300045187528</v>
      </c>
      <c r="Q505" s="23">
        <f t="shared" si="45"/>
        <v>12.121072386059</v>
      </c>
      <c r="R505" s="22">
        <f t="shared" si="46"/>
        <v>2.2063563333303802</v>
      </c>
      <c r="S505" s="22">
        <f t="shared" si="47"/>
        <v>3.2063563333303802</v>
      </c>
    </row>
    <row r="506" spans="1:19">
      <c r="A506" s="18" t="s">
        <v>545</v>
      </c>
      <c r="B506" s="18" t="s">
        <v>28</v>
      </c>
      <c r="C506" s="18" t="s">
        <v>41</v>
      </c>
      <c r="D506" s="19">
        <v>44929</v>
      </c>
      <c r="E506" s="20">
        <v>45534</v>
      </c>
      <c r="F506" s="21">
        <v>54196.800000000003</v>
      </c>
      <c r="G506" s="21">
        <v>51243.199999999997</v>
      </c>
      <c r="H506" s="21">
        <v>17017.599999999999</v>
      </c>
      <c r="I506" s="18">
        <v>3762.88</v>
      </c>
      <c r="J506" s="18">
        <v>5792.56</v>
      </c>
      <c r="K506" s="18" t="s">
        <v>65</v>
      </c>
      <c r="L506" s="18" t="s">
        <v>35</v>
      </c>
      <c r="M506" s="18" t="s">
        <v>24</v>
      </c>
      <c r="N506" s="22">
        <f t="shared" si="42"/>
        <v>0.94550231747999902</v>
      </c>
      <c r="O506" s="22">
        <f t="shared" si="43"/>
        <v>0.33209479501670502</v>
      </c>
      <c r="P506" s="23">
        <f t="shared" si="44"/>
        <v>7.3431791925562803E-2</v>
      </c>
      <c r="Q506" s="23">
        <f t="shared" si="45"/>
        <v>0.22111696126363301</v>
      </c>
      <c r="R506" s="22">
        <f t="shared" si="46"/>
        <v>0.53939535674802297</v>
      </c>
      <c r="S506" s="22">
        <f t="shared" si="47"/>
        <v>1.5393953567480201</v>
      </c>
    </row>
    <row r="507" spans="1:19">
      <c r="A507" s="18" t="s">
        <v>546</v>
      </c>
      <c r="B507" s="18" t="s">
        <v>26</v>
      </c>
      <c r="C507" s="18" t="s">
        <v>48</v>
      </c>
      <c r="D507" s="19">
        <v>44764</v>
      </c>
      <c r="E507" s="20">
        <v>45382</v>
      </c>
      <c r="F507" s="21">
        <v>20944</v>
      </c>
      <c r="G507" s="21">
        <v>9028.7999999999993</v>
      </c>
      <c r="H507" s="21">
        <v>1913.6</v>
      </c>
      <c r="I507" s="18">
        <v>1442.4159999999999</v>
      </c>
      <c r="J507" s="18">
        <v>1927.952</v>
      </c>
      <c r="K507" s="18" t="s">
        <v>38</v>
      </c>
      <c r="L507" s="18" t="s">
        <v>44</v>
      </c>
      <c r="M507" s="18" t="s">
        <v>32</v>
      </c>
      <c r="N507" s="22">
        <f t="shared" si="42"/>
        <v>0.43109243697478999</v>
      </c>
      <c r="O507" s="22">
        <f t="shared" si="43"/>
        <v>0.21194400141768599</v>
      </c>
      <c r="P507" s="23">
        <f t="shared" si="44"/>
        <v>0.15975722133616899</v>
      </c>
      <c r="Q507" s="23">
        <f t="shared" si="45"/>
        <v>0.75377090301003302</v>
      </c>
      <c r="R507" s="22">
        <f t="shared" si="46"/>
        <v>0.33661301593992299</v>
      </c>
      <c r="S507" s="22">
        <f t="shared" si="47"/>
        <v>1.3366130159399201</v>
      </c>
    </row>
    <row r="508" spans="1:19">
      <c r="A508" s="18" t="s">
        <v>547</v>
      </c>
      <c r="B508" s="18" t="s">
        <v>34</v>
      </c>
      <c r="C508" s="18" t="s">
        <v>29</v>
      </c>
      <c r="D508" s="19">
        <v>44894</v>
      </c>
      <c r="E508" s="20">
        <v>45502</v>
      </c>
      <c r="F508" s="21">
        <v>47652.800000000003</v>
      </c>
      <c r="G508" s="21">
        <v>25284.799999999999</v>
      </c>
      <c r="H508" s="21">
        <v>24803.200000000001</v>
      </c>
      <c r="I508" s="18">
        <v>1797.6479999999999</v>
      </c>
      <c r="J508" s="18">
        <v>2167.8240000000001</v>
      </c>
      <c r="K508" s="18" t="s">
        <v>43</v>
      </c>
      <c r="L508" s="18" t="s">
        <v>31</v>
      </c>
      <c r="M508" s="18" t="s">
        <v>24</v>
      </c>
      <c r="N508" s="22">
        <f t="shared" si="42"/>
        <v>0.53060470738340704</v>
      </c>
      <c r="O508" s="22">
        <f t="shared" si="43"/>
        <v>0.98095298361070704</v>
      </c>
      <c r="P508" s="23">
        <f t="shared" si="44"/>
        <v>7.1095994431437104E-2</v>
      </c>
      <c r="Q508" s="23">
        <f t="shared" si="45"/>
        <v>7.2476454651012795E-2</v>
      </c>
      <c r="R508" s="22">
        <f t="shared" si="46"/>
        <v>0.20592240527622799</v>
      </c>
      <c r="S508" s="22">
        <f t="shared" si="47"/>
        <v>1.2059224052762301</v>
      </c>
    </row>
    <row r="509" spans="1:19">
      <c r="A509" s="18" t="s">
        <v>548</v>
      </c>
      <c r="B509" s="18" t="s">
        <v>47</v>
      </c>
      <c r="C509" s="18" t="s">
        <v>29</v>
      </c>
      <c r="D509" s="19">
        <v>44984</v>
      </c>
      <c r="E509" s="20">
        <v>45611</v>
      </c>
      <c r="F509" s="21">
        <v>49336</v>
      </c>
      <c r="G509" s="21">
        <v>31446.400000000001</v>
      </c>
      <c r="H509" s="21">
        <v>9089.6</v>
      </c>
      <c r="I509" s="18">
        <v>7435.0240000000003</v>
      </c>
      <c r="J509" s="18">
        <v>10549.152</v>
      </c>
      <c r="K509" s="18" t="s">
        <v>38</v>
      </c>
      <c r="L509" s="18" t="s">
        <v>50</v>
      </c>
      <c r="M509" s="18" t="s">
        <v>32</v>
      </c>
      <c r="N509" s="22">
        <f t="shared" si="42"/>
        <v>0.63739257337441202</v>
      </c>
      <c r="O509" s="22">
        <f t="shared" si="43"/>
        <v>0.28905057494657599</v>
      </c>
      <c r="P509" s="23">
        <f t="shared" si="44"/>
        <v>0.23643482242800401</v>
      </c>
      <c r="Q509" s="23">
        <f t="shared" si="45"/>
        <v>0.81797042774159501</v>
      </c>
      <c r="R509" s="22">
        <f t="shared" si="46"/>
        <v>0.418845722623088</v>
      </c>
      <c r="S509" s="22">
        <f t="shared" si="47"/>
        <v>1.4188457226230899</v>
      </c>
    </row>
    <row r="510" spans="1:19">
      <c r="A510" s="18" t="s">
        <v>549</v>
      </c>
      <c r="B510" s="18" t="s">
        <v>28</v>
      </c>
      <c r="C510" s="18" t="s">
        <v>21</v>
      </c>
      <c r="D510" s="19">
        <v>44941</v>
      </c>
      <c r="E510" s="20">
        <v>45557</v>
      </c>
      <c r="F510" s="21">
        <v>74419.199999999997</v>
      </c>
      <c r="G510" s="21">
        <v>15622.4</v>
      </c>
      <c r="H510" s="21">
        <v>5947.2</v>
      </c>
      <c r="I510" s="18">
        <v>1440.768</v>
      </c>
      <c r="J510" s="18">
        <v>3309.76</v>
      </c>
      <c r="K510" s="18" t="s">
        <v>38</v>
      </c>
      <c r="L510" s="18" t="s">
        <v>31</v>
      </c>
      <c r="M510" s="18" t="s">
        <v>32</v>
      </c>
      <c r="N510" s="22">
        <f t="shared" si="42"/>
        <v>0.20992432060543501</v>
      </c>
      <c r="O510" s="22">
        <f t="shared" si="43"/>
        <v>0.38068414584186799</v>
      </c>
      <c r="P510" s="23">
        <f t="shared" si="44"/>
        <v>9.2224498156493306E-2</v>
      </c>
      <c r="Q510" s="23">
        <f t="shared" si="45"/>
        <v>0.24225988700564999</v>
      </c>
      <c r="R510" s="22">
        <f t="shared" si="46"/>
        <v>1.2972192608386599</v>
      </c>
      <c r="S510" s="22">
        <f t="shared" si="47"/>
        <v>2.2972192608386601</v>
      </c>
    </row>
    <row r="511" spans="1:19">
      <c r="A511" s="18" t="s">
        <v>550</v>
      </c>
      <c r="B511" s="18" t="s">
        <v>47</v>
      </c>
      <c r="C511" s="18" t="s">
        <v>21</v>
      </c>
      <c r="D511" s="19">
        <v>44984</v>
      </c>
      <c r="E511" s="20">
        <v>45592</v>
      </c>
      <c r="F511" s="21">
        <v>51390.400000000001</v>
      </c>
      <c r="G511" s="21">
        <v>16673.599999999999</v>
      </c>
      <c r="H511" s="21">
        <v>1230.4000000000001</v>
      </c>
      <c r="I511" s="18">
        <v>7602.96</v>
      </c>
      <c r="J511" s="18">
        <v>9600.1440000000002</v>
      </c>
      <c r="K511" s="18" t="s">
        <v>38</v>
      </c>
      <c r="L511" s="18" t="s">
        <v>50</v>
      </c>
      <c r="M511" s="18" t="s">
        <v>24</v>
      </c>
      <c r="N511" s="22">
        <f t="shared" si="42"/>
        <v>0.324449702668203</v>
      </c>
      <c r="O511" s="22">
        <f t="shared" si="43"/>
        <v>7.3793301986373697E-2</v>
      </c>
      <c r="P511" s="23">
        <f t="shared" si="44"/>
        <v>0.45598790902984399</v>
      </c>
      <c r="Q511" s="23">
        <f t="shared" si="45"/>
        <v>6.1792587776332901</v>
      </c>
      <c r="R511" s="22">
        <f t="shared" si="46"/>
        <v>0.26268505950314103</v>
      </c>
      <c r="S511" s="22">
        <f t="shared" si="47"/>
        <v>1.26268505950314</v>
      </c>
    </row>
    <row r="512" spans="1:19">
      <c r="A512" s="18" t="s">
        <v>551</v>
      </c>
      <c r="B512" s="18" t="s">
        <v>34</v>
      </c>
      <c r="C512" s="18" t="s">
        <v>21</v>
      </c>
      <c r="D512" s="19">
        <v>44779</v>
      </c>
      <c r="E512" s="20">
        <v>45383</v>
      </c>
      <c r="F512" s="21">
        <v>70280</v>
      </c>
      <c r="G512" s="21">
        <v>5755.2</v>
      </c>
      <c r="H512" s="21">
        <v>24</v>
      </c>
      <c r="I512" s="18">
        <v>4153.3440000000001</v>
      </c>
      <c r="J512" s="18">
        <v>8665.9680000000008</v>
      </c>
      <c r="K512" s="18" t="s">
        <v>22</v>
      </c>
      <c r="L512" s="18" t="s">
        <v>35</v>
      </c>
      <c r="M512" s="18" t="s">
        <v>24</v>
      </c>
      <c r="N512" s="22">
        <f t="shared" si="42"/>
        <v>8.1889584519066597E-2</v>
      </c>
      <c r="O512" s="22">
        <f t="shared" si="43"/>
        <v>4.1701417848206803E-3</v>
      </c>
      <c r="P512" s="23">
        <f t="shared" si="44"/>
        <v>0.72166805671392797</v>
      </c>
      <c r="Q512" s="23">
        <f t="shared" si="45"/>
        <v>173.05600000000001</v>
      </c>
      <c r="R512" s="22">
        <f t="shared" si="46"/>
        <v>1.08650379068047</v>
      </c>
      <c r="S512" s="22">
        <f t="shared" si="47"/>
        <v>2.08650379068047</v>
      </c>
    </row>
    <row r="513" spans="1:19">
      <c r="A513" s="18" t="s">
        <v>552</v>
      </c>
      <c r="B513" s="18" t="s">
        <v>40</v>
      </c>
      <c r="C513" s="18" t="s">
        <v>29</v>
      </c>
      <c r="D513" s="19">
        <v>44986</v>
      </c>
      <c r="E513" s="20">
        <v>45610</v>
      </c>
      <c r="F513" s="21">
        <v>38057.599999999999</v>
      </c>
      <c r="G513" s="21">
        <v>31408</v>
      </c>
      <c r="H513" s="21">
        <v>13926.4</v>
      </c>
      <c r="I513" s="18">
        <v>5715.9520000000002</v>
      </c>
      <c r="J513" s="18">
        <v>16479.648000000001</v>
      </c>
      <c r="K513" s="18" t="s">
        <v>30</v>
      </c>
      <c r="L513" s="18" t="s">
        <v>44</v>
      </c>
      <c r="M513" s="18" t="s">
        <v>32</v>
      </c>
      <c r="N513" s="22">
        <f t="shared" si="42"/>
        <v>0.82527537206760304</v>
      </c>
      <c r="O513" s="22">
        <f t="shared" si="43"/>
        <v>0.44340295466123297</v>
      </c>
      <c r="P513" s="23">
        <f t="shared" si="44"/>
        <v>0.18199032093734099</v>
      </c>
      <c r="Q513" s="23">
        <f t="shared" si="45"/>
        <v>0.41044002757352899</v>
      </c>
      <c r="R513" s="22">
        <f t="shared" si="46"/>
        <v>1.8830976887139701</v>
      </c>
      <c r="S513" s="22">
        <f t="shared" si="47"/>
        <v>2.8830976887139701</v>
      </c>
    </row>
    <row r="514" spans="1:19">
      <c r="A514" s="18" t="s">
        <v>553</v>
      </c>
      <c r="B514" s="18" t="s">
        <v>28</v>
      </c>
      <c r="C514" s="18" t="s">
        <v>21</v>
      </c>
      <c r="D514" s="19">
        <v>44950</v>
      </c>
      <c r="E514" s="20">
        <v>45566</v>
      </c>
      <c r="F514" s="21">
        <v>19782.400000000001</v>
      </c>
      <c r="G514" s="21">
        <v>9832</v>
      </c>
      <c r="H514" s="21">
        <v>2804.8</v>
      </c>
      <c r="I514" s="18">
        <v>4299.6639999999998</v>
      </c>
      <c r="J514" s="18">
        <v>14772.432000000001</v>
      </c>
      <c r="K514" s="18" t="s">
        <v>65</v>
      </c>
      <c r="L514" s="18" t="s">
        <v>50</v>
      </c>
      <c r="M514" s="18" t="s">
        <v>32</v>
      </c>
      <c r="N514" s="22">
        <f t="shared" ref="N514:N577" si="48">G514/F514</f>
        <v>0.49700744095761901</v>
      </c>
      <c r="O514" s="22">
        <f t="shared" ref="O514:O577" si="49">H514/G514</f>
        <v>0.28527257933279099</v>
      </c>
      <c r="P514" s="23">
        <f t="shared" ref="P514:P577" si="50">I514/G514</f>
        <v>0.43731326281529698</v>
      </c>
      <c r="Q514" s="23">
        <f t="shared" ref="Q514:Q577" si="51">I514/H514</f>
        <v>1.5329663434112899</v>
      </c>
      <c r="R514" s="22">
        <f t="shared" ref="R514:R577" si="52">(J514-I514)/I514</f>
        <v>2.4357177677139399</v>
      </c>
      <c r="S514" s="22">
        <f t="shared" ref="S514:S577" si="53">J514/I514</f>
        <v>3.4357177677139399</v>
      </c>
    </row>
    <row r="515" spans="1:19">
      <c r="A515" s="18" t="s">
        <v>554</v>
      </c>
      <c r="B515" s="18" t="s">
        <v>26</v>
      </c>
      <c r="C515" s="18" t="s">
        <v>48</v>
      </c>
      <c r="D515" s="19">
        <v>44837</v>
      </c>
      <c r="E515" s="20">
        <v>45455</v>
      </c>
      <c r="F515" s="21">
        <v>29288</v>
      </c>
      <c r="G515" s="21">
        <v>24278.400000000001</v>
      </c>
      <c r="H515" s="21">
        <v>13406.4</v>
      </c>
      <c r="I515" s="18">
        <v>3113.4079999999999</v>
      </c>
      <c r="J515" s="18">
        <v>4815.7439999999997</v>
      </c>
      <c r="K515" s="18" t="s">
        <v>65</v>
      </c>
      <c r="L515" s="18" t="s">
        <v>35</v>
      </c>
      <c r="M515" s="18" t="s">
        <v>32</v>
      </c>
      <c r="N515" s="22">
        <f t="shared" si="48"/>
        <v>0.82895383774924902</v>
      </c>
      <c r="O515" s="22">
        <f t="shared" si="49"/>
        <v>0.55219454329774598</v>
      </c>
      <c r="P515" s="23">
        <f t="shared" si="50"/>
        <v>0.12823777514168999</v>
      </c>
      <c r="Q515" s="23">
        <f t="shared" si="51"/>
        <v>0.232232963360783</v>
      </c>
      <c r="R515" s="22">
        <f t="shared" si="52"/>
        <v>0.546775751844924</v>
      </c>
      <c r="S515" s="22">
        <f t="shared" si="53"/>
        <v>1.5467757518449201</v>
      </c>
    </row>
    <row r="516" spans="1:19">
      <c r="A516" s="18" t="s">
        <v>555</v>
      </c>
      <c r="B516" s="18" t="s">
        <v>40</v>
      </c>
      <c r="C516" s="18" t="s">
        <v>41</v>
      </c>
      <c r="D516" s="19">
        <v>44962</v>
      </c>
      <c r="E516" s="20">
        <v>45591</v>
      </c>
      <c r="F516" s="21">
        <v>19646.400000000001</v>
      </c>
      <c r="G516" s="21">
        <v>7993.6</v>
      </c>
      <c r="H516" s="21">
        <v>5497.6</v>
      </c>
      <c r="I516" s="18">
        <v>6098.96</v>
      </c>
      <c r="J516" s="18">
        <v>21857.344000000001</v>
      </c>
      <c r="K516" s="18" t="s">
        <v>65</v>
      </c>
      <c r="L516" s="18" t="s">
        <v>35</v>
      </c>
      <c r="M516" s="18" t="s">
        <v>24</v>
      </c>
      <c r="N516" s="22">
        <f t="shared" si="48"/>
        <v>0.40687352390259801</v>
      </c>
      <c r="O516" s="22">
        <f t="shared" si="49"/>
        <v>0.687750200160128</v>
      </c>
      <c r="P516" s="23">
        <f t="shared" si="50"/>
        <v>0.76298038430744597</v>
      </c>
      <c r="Q516" s="23">
        <f t="shared" si="51"/>
        <v>1.10938591385332</v>
      </c>
      <c r="R516" s="22">
        <f t="shared" si="52"/>
        <v>2.5837821530228098</v>
      </c>
      <c r="S516" s="22">
        <f t="shared" si="53"/>
        <v>3.5837821530228098</v>
      </c>
    </row>
    <row r="517" spans="1:19">
      <c r="A517" s="18" t="s">
        <v>556</v>
      </c>
      <c r="B517" s="18" t="s">
        <v>20</v>
      </c>
      <c r="C517" s="18" t="s">
        <v>41</v>
      </c>
      <c r="D517" s="19">
        <v>44907</v>
      </c>
      <c r="E517" s="20">
        <v>45511</v>
      </c>
      <c r="F517" s="21">
        <v>10932.8</v>
      </c>
      <c r="G517" s="21">
        <v>8713.6</v>
      </c>
      <c r="H517" s="21">
        <v>1064</v>
      </c>
      <c r="I517" s="18">
        <v>2849.904</v>
      </c>
      <c r="J517" s="18">
        <v>8490.0959999999995</v>
      </c>
      <c r="K517" s="18" t="s">
        <v>38</v>
      </c>
      <c r="L517" s="18" t="s">
        <v>23</v>
      </c>
      <c r="M517" s="18" t="s">
        <v>24</v>
      </c>
      <c r="N517" s="22">
        <f t="shared" si="48"/>
        <v>0.79701448851163503</v>
      </c>
      <c r="O517" s="22">
        <f t="shared" si="49"/>
        <v>0.12210796915167101</v>
      </c>
      <c r="P517" s="23">
        <f t="shared" si="50"/>
        <v>0.327063900110173</v>
      </c>
      <c r="Q517" s="23">
        <f t="shared" si="51"/>
        <v>2.6784812030075198</v>
      </c>
      <c r="R517" s="22">
        <f t="shared" si="52"/>
        <v>1.9790814006366499</v>
      </c>
      <c r="S517" s="22">
        <f t="shared" si="53"/>
        <v>2.9790814006366499</v>
      </c>
    </row>
    <row r="518" spans="1:19">
      <c r="A518" s="18" t="s">
        <v>557</v>
      </c>
      <c r="B518" s="18" t="s">
        <v>26</v>
      </c>
      <c r="C518" s="18" t="s">
        <v>48</v>
      </c>
      <c r="D518" s="19">
        <v>44970</v>
      </c>
      <c r="E518" s="20">
        <v>45577</v>
      </c>
      <c r="F518" s="21">
        <v>32827.199999999997</v>
      </c>
      <c r="G518" s="21">
        <v>22163.200000000001</v>
      </c>
      <c r="H518" s="21">
        <v>10700.8</v>
      </c>
      <c r="I518" s="18">
        <v>4269.4719999999998</v>
      </c>
      <c r="J518" s="18">
        <v>5386.1760000000004</v>
      </c>
      <c r="K518" s="18" t="s">
        <v>22</v>
      </c>
      <c r="L518" s="18" t="s">
        <v>23</v>
      </c>
      <c r="M518" s="18" t="s">
        <v>24</v>
      </c>
      <c r="N518" s="22">
        <f t="shared" si="48"/>
        <v>0.675147438709363</v>
      </c>
      <c r="O518" s="22">
        <f t="shared" si="49"/>
        <v>0.482818365578978</v>
      </c>
      <c r="P518" s="23">
        <f t="shared" si="50"/>
        <v>0.19263788622581601</v>
      </c>
      <c r="Q518" s="23">
        <f t="shared" si="51"/>
        <v>0.39898624401913901</v>
      </c>
      <c r="R518" s="22">
        <f t="shared" si="52"/>
        <v>0.26155552724083903</v>
      </c>
      <c r="S518" s="22">
        <f t="shared" si="53"/>
        <v>1.2615555272408401</v>
      </c>
    </row>
    <row r="519" spans="1:19">
      <c r="A519" s="18" t="s">
        <v>558</v>
      </c>
      <c r="B519" s="18" t="s">
        <v>40</v>
      </c>
      <c r="C519" s="18" t="s">
        <v>41</v>
      </c>
      <c r="D519" s="19">
        <v>44751</v>
      </c>
      <c r="E519" s="20">
        <v>45372</v>
      </c>
      <c r="F519" s="21">
        <v>50972.800000000003</v>
      </c>
      <c r="G519" s="21">
        <v>28118.400000000001</v>
      </c>
      <c r="H519" s="21">
        <v>11956.8</v>
      </c>
      <c r="I519" s="18">
        <v>6061.6959999999999</v>
      </c>
      <c r="J519" s="18">
        <v>17021.232</v>
      </c>
      <c r="K519" s="18" t="s">
        <v>65</v>
      </c>
      <c r="L519" s="18" t="s">
        <v>44</v>
      </c>
      <c r="M519" s="18" t="s">
        <v>32</v>
      </c>
      <c r="N519" s="22">
        <f t="shared" si="48"/>
        <v>0.55163538200765905</v>
      </c>
      <c r="O519" s="22">
        <f t="shared" si="49"/>
        <v>0.42523045407989102</v>
      </c>
      <c r="P519" s="23">
        <f t="shared" si="50"/>
        <v>0.215577557755776</v>
      </c>
      <c r="Q519" s="23">
        <f t="shared" si="51"/>
        <v>0.50696641241803797</v>
      </c>
      <c r="R519" s="22">
        <f t="shared" si="52"/>
        <v>1.8079982895875999</v>
      </c>
      <c r="S519" s="22">
        <f t="shared" si="53"/>
        <v>2.8079982895876001</v>
      </c>
    </row>
    <row r="520" spans="1:19">
      <c r="A520" s="18" t="s">
        <v>559</v>
      </c>
      <c r="B520" s="18" t="s">
        <v>40</v>
      </c>
      <c r="C520" s="18" t="s">
        <v>41</v>
      </c>
      <c r="D520" s="19">
        <v>44728</v>
      </c>
      <c r="E520" s="20">
        <v>45350</v>
      </c>
      <c r="F520" s="21">
        <v>43286.400000000001</v>
      </c>
      <c r="G520" s="21">
        <v>9139.2000000000007</v>
      </c>
      <c r="H520" s="21">
        <v>1707.2</v>
      </c>
      <c r="I520" s="18">
        <v>3572.192</v>
      </c>
      <c r="J520" s="18">
        <v>4623.6959999999999</v>
      </c>
      <c r="K520" s="18" t="s">
        <v>65</v>
      </c>
      <c r="L520" s="18" t="s">
        <v>31</v>
      </c>
      <c r="M520" s="18" t="s">
        <v>24</v>
      </c>
      <c r="N520" s="22">
        <f t="shared" si="48"/>
        <v>0.2111332889776</v>
      </c>
      <c r="O520" s="22">
        <f t="shared" si="49"/>
        <v>0.18679971988795499</v>
      </c>
      <c r="P520" s="23">
        <f t="shared" si="50"/>
        <v>0.39086484593837501</v>
      </c>
      <c r="Q520" s="23">
        <f t="shared" si="51"/>
        <v>2.0924273664479802</v>
      </c>
      <c r="R520" s="22">
        <f t="shared" si="52"/>
        <v>0.29435819799159701</v>
      </c>
      <c r="S520" s="22">
        <f t="shared" si="53"/>
        <v>1.2943581979915999</v>
      </c>
    </row>
    <row r="521" spans="1:19">
      <c r="A521" s="18" t="s">
        <v>560</v>
      </c>
      <c r="B521" s="18" t="s">
        <v>26</v>
      </c>
      <c r="C521" s="18" t="s">
        <v>48</v>
      </c>
      <c r="D521" s="19">
        <v>44703</v>
      </c>
      <c r="E521" s="20">
        <v>45321</v>
      </c>
      <c r="F521" s="21">
        <v>55976</v>
      </c>
      <c r="G521" s="21">
        <v>28814.400000000001</v>
      </c>
      <c r="H521" s="21">
        <v>26966.400000000001</v>
      </c>
      <c r="I521" s="18">
        <v>4799.7920000000004</v>
      </c>
      <c r="J521" s="18">
        <v>8947.5360000000001</v>
      </c>
      <c r="K521" s="18" t="s">
        <v>30</v>
      </c>
      <c r="L521" s="18" t="s">
        <v>23</v>
      </c>
      <c r="M521" s="18" t="s">
        <v>24</v>
      </c>
      <c r="N521" s="22">
        <f t="shared" si="48"/>
        <v>0.51476347005859702</v>
      </c>
      <c r="O521" s="22">
        <f t="shared" si="49"/>
        <v>0.93586540063301704</v>
      </c>
      <c r="P521" s="23">
        <f t="shared" si="50"/>
        <v>0.166576156366261</v>
      </c>
      <c r="Q521" s="23">
        <f t="shared" si="51"/>
        <v>0.177991574700368</v>
      </c>
      <c r="R521" s="22">
        <f t="shared" si="52"/>
        <v>0.86415077986712696</v>
      </c>
      <c r="S521" s="22">
        <f t="shared" si="53"/>
        <v>1.86415077986713</v>
      </c>
    </row>
    <row r="522" spans="1:19">
      <c r="A522" s="18" t="s">
        <v>561</v>
      </c>
      <c r="B522" s="18" t="s">
        <v>20</v>
      </c>
      <c r="C522" s="18" t="s">
        <v>21</v>
      </c>
      <c r="D522" s="19">
        <v>44717</v>
      </c>
      <c r="E522" s="20">
        <v>45330</v>
      </c>
      <c r="F522" s="21">
        <v>36835.199999999997</v>
      </c>
      <c r="G522" s="21">
        <v>31961.599999999999</v>
      </c>
      <c r="H522" s="21">
        <v>659.2</v>
      </c>
      <c r="I522" s="18">
        <v>1631.008</v>
      </c>
      <c r="J522" s="18">
        <v>3132.5120000000002</v>
      </c>
      <c r="K522" s="18" t="s">
        <v>22</v>
      </c>
      <c r="L522" s="18" t="s">
        <v>50</v>
      </c>
      <c r="M522" s="18" t="s">
        <v>24</v>
      </c>
      <c r="N522" s="22">
        <f t="shared" si="48"/>
        <v>0.86769177308661305</v>
      </c>
      <c r="O522" s="22">
        <f t="shared" si="49"/>
        <v>2.0624749699639601E-2</v>
      </c>
      <c r="P522" s="23">
        <f t="shared" si="50"/>
        <v>5.1030236283540302E-2</v>
      </c>
      <c r="Q522" s="23">
        <f t="shared" si="51"/>
        <v>2.4742233009708698</v>
      </c>
      <c r="R522" s="22">
        <f t="shared" si="52"/>
        <v>0.92059879534619105</v>
      </c>
      <c r="S522" s="22">
        <f t="shared" si="53"/>
        <v>1.92059879534619</v>
      </c>
    </row>
    <row r="523" spans="1:19">
      <c r="A523" s="18" t="s">
        <v>562</v>
      </c>
      <c r="B523" s="18" t="s">
        <v>26</v>
      </c>
      <c r="C523" s="18" t="s">
        <v>41</v>
      </c>
      <c r="D523" s="19">
        <v>44881</v>
      </c>
      <c r="E523" s="20">
        <v>45510</v>
      </c>
      <c r="F523" s="21">
        <v>73734.399999999994</v>
      </c>
      <c r="G523" s="21">
        <v>66128</v>
      </c>
      <c r="H523" s="21">
        <v>65779.199999999997</v>
      </c>
      <c r="I523" s="18">
        <v>5080.4799999999996</v>
      </c>
      <c r="J523" s="18">
        <v>12370.592000000001</v>
      </c>
      <c r="K523" s="18" t="s">
        <v>30</v>
      </c>
      <c r="L523" s="18" t="s">
        <v>44</v>
      </c>
      <c r="M523" s="18" t="s">
        <v>24</v>
      </c>
      <c r="N523" s="22">
        <f t="shared" si="48"/>
        <v>0.89684055203541402</v>
      </c>
      <c r="O523" s="22">
        <f t="shared" si="49"/>
        <v>0.99472538107911901</v>
      </c>
      <c r="P523" s="23">
        <f t="shared" si="50"/>
        <v>7.6827969997580403E-2</v>
      </c>
      <c r="Q523" s="23">
        <f t="shared" si="51"/>
        <v>7.72353570733606E-2</v>
      </c>
      <c r="R523" s="22">
        <f t="shared" si="52"/>
        <v>1.4349258337794899</v>
      </c>
      <c r="S523" s="22">
        <f t="shared" si="53"/>
        <v>2.4349258337794901</v>
      </c>
    </row>
    <row r="524" spans="1:19">
      <c r="A524" s="18" t="s">
        <v>563</v>
      </c>
      <c r="B524" s="18" t="s">
        <v>20</v>
      </c>
      <c r="C524" s="18" t="s">
        <v>21</v>
      </c>
      <c r="D524" s="19">
        <v>44779</v>
      </c>
      <c r="E524" s="20">
        <v>45388</v>
      </c>
      <c r="F524" s="21">
        <v>64665.599999999999</v>
      </c>
      <c r="G524" s="21">
        <v>21608</v>
      </c>
      <c r="H524" s="21">
        <v>20243.2</v>
      </c>
      <c r="I524" s="18">
        <v>2304.3040000000001</v>
      </c>
      <c r="J524" s="18">
        <v>5386.8159999999998</v>
      </c>
      <c r="K524" s="18" t="s">
        <v>22</v>
      </c>
      <c r="L524" s="18" t="s">
        <v>35</v>
      </c>
      <c r="M524" s="18" t="s">
        <v>24</v>
      </c>
      <c r="N524" s="22">
        <f t="shared" si="48"/>
        <v>0.334149841646873</v>
      </c>
      <c r="O524" s="22">
        <f t="shared" si="49"/>
        <v>0.93683820807108498</v>
      </c>
      <c r="P524" s="23">
        <f t="shared" si="50"/>
        <v>0.10664124398371</v>
      </c>
      <c r="Q524" s="23">
        <f t="shared" si="51"/>
        <v>0.11383101485931101</v>
      </c>
      <c r="R524" s="22">
        <f t="shared" si="52"/>
        <v>1.33771932869969</v>
      </c>
      <c r="S524" s="22">
        <f t="shared" si="53"/>
        <v>2.3377193286996798</v>
      </c>
    </row>
    <row r="525" spans="1:19">
      <c r="A525" s="18" t="s">
        <v>564</v>
      </c>
      <c r="B525" s="18" t="s">
        <v>34</v>
      </c>
      <c r="C525" s="18" t="s">
        <v>29</v>
      </c>
      <c r="D525" s="19">
        <v>44763</v>
      </c>
      <c r="E525" s="20">
        <v>45367</v>
      </c>
      <c r="F525" s="21">
        <v>7091.2</v>
      </c>
      <c r="G525" s="21">
        <v>4670.3999999999996</v>
      </c>
      <c r="H525" s="21">
        <v>1092.8</v>
      </c>
      <c r="I525" s="18">
        <v>7632.4480000000003</v>
      </c>
      <c r="J525" s="18">
        <v>13068.848</v>
      </c>
      <c r="K525" s="18" t="s">
        <v>43</v>
      </c>
      <c r="L525" s="18" t="s">
        <v>44</v>
      </c>
      <c r="M525" s="18" t="s">
        <v>24</v>
      </c>
      <c r="N525" s="22">
        <f t="shared" si="48"/>
        <v>0.65861913357400703</v>
      </c>
      <c r="O525" s="22">
        <f t="shared" si="49"/>
        <v>0.23398424117848601</v>
      </c>
      <c r="P525" s="23">
        <f t="shared" si="50"/>
        <v>1.63421719767044</v>
      </c>
      <c r="Q525" s="23">
        <f t="shared" si="51"/>
        <v>6.9843045387994103</v>
      </c>
      <c r="R525" s="22">
        <f t="shared" si="52"/>
        <v>0.71227475116764605</v>
      </c>
      <c r="S525" s="22">
        <f t="shared" si="53"/>
        <v>1.7122747511676499</v>
      </c>
    </row>
    <row r="526" spans="1:19">
      <c r="A526" s="18" t="s">
        <v>565</v>
      </c>
      <c r="B526" s="18" t="s">
        <v>28</v>
      </c>
      <c r="C526" s="18" t="s">
        <v>29</v>
      </c>
      <c r="D526" s="19">
        <v>44801</v>
      </c>
      <c r="E526" s="20">
        <v>45415</v>
      </c>
      <c r="F526" s="21">
        <v>12148.8</v>
      </c>
      <c r="G526" s="21">
        <v>9148.7999999999993</v>
      </c>
      <c r="H526" s="21">
        <v>364.8</v>
      </c>
      <c r="I526" s="18">
        <v>2534.944</v>
      </c>
      <c r="J526" s="18">
        <v>7364.08</v>
      </c>
      <c r="K526" s="18" t="s">
        <v>38</v>
      </c>
      <c r="L526" s="18" t="s">
        <v>31</v>
      </c>
      <c r="M526" s="18" t="s">
        <v>24</v>
      </c>
      <c r="N526" s="22">
        <f t="shared" si="48"/>
        <v>0.75306203081785805</v>
      </c>
      <c r="O526" s="22">
        <f t="shared" si="49"/>
        <v>3.9874081846799601E-2</v>
      </c>
      <c r="P526" s="23">
        <f t="shared" si="50"/>
        <v>0.27707939839104601</v>
      </c>
      <c r="Q526" s="23">
        <f t="shared" si="51"/>
        <v>6.9488596491228103</v>
      </c>
      <c r="R526" s="22">
        <f t="shared" si="52"/>
        <v>1.90502669881465</v>
      </c>
      <c r="S526" s="22">
        <f t="shared" si="53"/>
        <v>2.90502669881465</v>
      </c>
    </row>
    <row r="527" spans="1:19">
      <c r="A527" s="18" t="s">
        <v>566</v>
      </c>
      <c r="B527" s="18" t="s">
        <v>20</v>
      </c>
      <c r="C527" s="18" t="s">
        <v>29</v>
      </c>
      <c r="D527" s="19">
        <v>44958</v>
      </c>
      <c r="E527" s="20">
        <v>45559</v>
      </c>
      <c r="F527" s="21">
        <v>40291.199999999997</v>
      </c>
      <c r="G527" s="21">
        <v>30516.799999999999</v>
      </c>
      <c r="H527" s="21">
        <v>25841.599999999999</v>
      </c>
      <c r="I527" s="18">
        <v>6278.8</v>
      </c>
      <c r="J527" s="18">
        <v>23918.527999999998</v>
      </c>
      <c r="K527" s="18" t="s">
        <v>43</v>
      </c>
      <c r="L527" s="18" t="s">
        <v>50</v>
      </c>
      <c r="M527" s="18" t="s">
        <v>32</v>
      </c>
      <c r="N527" s="22">
        <f t="shared" si="48"/>
        <v>0.75740608371058704</v>
      </c>
      <c r="O527" s="22">
        <f t="shared" si="49"/>
        <v>0.84679914014575597</v>
      </c>
      <c r="P527" s="23">
        <f t="shared" si="50"/>
        <v>0.20574896450479699</v>
      </c>
      <c r="Q527" s="23">
        <f t="shared" si="51"/>
        <v>0.242972571357811</v>
      </c>
      <c r="R527" s="22">
        <f t="shared" si="52"/>
        <v>2.8094107154233301</v>
      </c>
      <c r="S527" s="22">
        <f t="shared" si="53"/>
        <v>3.8094107154233301</v>
      </c>
    </row>
    <row r="528" spans="1:19">
      <c r="A528" s="18" t="s">
        <v>567</v>
      </c>
      <c r="B528" s="18" t="s">
        <v>20</v>
      </c>
      <c r="C528" s="18" t="s">
        <v>21</v>
      </c>
      <c r="D528" s="19">
        <v>44877</v>
      </c>
      <c r="E528" s="20">
        <v>45499</v>
      </c>
      <c r="F528" s="21">
        <v>21286.400000000001</v>
      </c>
      <c r="G528" s="21">
        <v>21278.400000000001</v>
      </c>
      <c r="H528" s="21">
        <v>3920</v>
      </c>
      <c r="I528" s="18">
        <v>6097.3440000000001</v>
      </c>
      <c r="J528" s="18">
        <v>9927.2800000000007</v>
      </c>
      <c r="K528" s="18" t="s">
        <v>30</v>
      </c>
      <c r="L528" s="18" t="s">
        <v>31</v>
      </c>
      <c r="M528" s="18" t="s">
        <v>24</v>
      </c>
      <c r="N528" s="22">
        <f t="shared" si="48"/>
        <v>0.99962417318099805</v>
      </c>
      <c r="O528" s="22">
        <f t="shared" si="49"/>
        <v>0.18422437777276501</v>
      </c>
      <c r="P528" s="23">
        <f t="shared" si="50"/>
        <v>0.28655086848635197</v>
      </c>
      <c r="Q528" s="23">
        <f t="shared" si="51"/>
        <v>1.55544489795918</v>
      </c>
      <c r="R528" s="22">
        <f t="shared" si="52"/>
        <v>0.62813185544394401</v>
      </c>
      <c r="S528" s="22">
        <f t="shared" si="53"/>
        <v>1.6281318554439399</v>
      </c>
    </row>
    <row r="529" spans="1:19">
      <c r="A529" s="18" t="s">
        <v>568</v>
      </c>
      <c r="B529" s="18" t="s">
        <v>28</v>
      </c>
      <c r="C529" s="18" t="s">
        <v>48</v>
      </c>
      <c r="D529" s="19">
        <v>44980</v>
      </c>
      <c r="E529" s="20">
        <v>45591</v>
      </c>
      <c r="F529" s="21">
        <v>43953.599999999999</v>
      </c>
      <c r="G529" s="21">
        <v>39204.800000000003</v>
      </c>
      <c r="H529" s="21">
        <v>20100.8</v>
      </c>
      <c r="I529" s="18">
        <v>3271.6320000000001</v>
      </c>
      <c r="J529" s="18">
        <v>8969.36</v>
      </c>
      <c r="K529" s="18" t="s">
        <v>22</v>
      </c>
      <c r="L529" s="18" t="s">
        <v>44</v>
      </c>
      <c r="M529" s="18" t="s">
        <v>24</v>
      </c>
      <c r="N529" s="22">
        <f t="shared" si="48"/>
        <v>0.89195879290888602</v>
      </c>
      <c r="O529" s="22">
        <f t="shared" si="49"/>
        <v>0.512712729053585</v>
      </c>
      <c r="P529" s="23">
        <f t="shared" si="50"/>
        <v>8.34497816593886E-2</v>
      </c>
      <c r="Q529" s="23">
        <f t="shared" si="51"/>
        <v>0.16276128313301</v>
      </c>
      <c r="R529" s="22">
        <f t="shared" si="52"/>
        <v>1.7415552849464699</v>
      </c>
      <c r="S529" s="22">
        <f t="shared" si="53"/>
        <v>2.7415552849464699</v>
      </c>
    </row>
    <row r="530" spans="1:19">
      <c r="A530" s="18" t="s">
        <v>569</v>
      </c>
      <c r="B530" s="18" t="s">
        <v>34</v>
      </c>
      <c r="C530" s="18" t="s">
        <v>29</v>
      </c>
      <c r="D530" s="19">
        <v>44821</v>
      </c>
      <c r="E530" s="20">
        <v>45431</v>
      </c>
      <c r="F530" s="21">
        <v>16520</v>
      </c>
      <c r="G530" s="21">
        <v>12073.6</v>
      </c>
      <c r="H530" s="21">
        <v>2910.4</v>
      </c>
      <c r="I530" s="18">
        <v>5366.88</v>
      </c>
      <c r="J530" s="18">
        <v>20452.432000000001</v>
      </c>
      <c r="K530" s="18" t="s">
        <v>43</v>
      </c>
      <c r="L530" s="18" t="s">
        <v>35</v>
      </c>
      <c r="M530" s="18" t="s">
        <v>24</v>
      </c>
      <c r="N530" s="22">
        <f t="shared" si="48"/>
        <v>0.730847457627119</v>
      </c>
      <c r="O530" s="22">
        <f t="shared" si="49"/>
        <v>0.241054863503843</v>
      </c>
      <c r="P530" s="23">
        <f t="shared" si="50"/>
        <v>0.44451364961569001</v>
      </c>
      <c r="Q530" s="23">
        <f t="shared" si="51"/>
        <v>1.8440351841671201</v>
      </c>
      <c r="R530" s="22">
        <f t="shared" si="52"/>
        <v>2.8108606862832799</v>
      </c>
      <c r="S530" s="22">
        <f t="shared" si="53"/>
        <v>3.8108606862832799</v>
      </c>
    </row>
    <row r="531" spans="1:19">
      <c r="A531" s="18" t="s">
        <v>570</v>
      </c>
      <c r="B531" s="18" t="s">
        <v>34</v>
      </c>
      <c r="C531" s="18" t="s">
        <v>41</v>
      </c>
      <c r="D531" s="19">
        <v>44796</v>
      </c>
      <c r="E531" s="20">
        <v>45423</v>
      </c>
      <c r="F531" s="21">
        <v>77625.600000000006</v>
      </c>
      <c r="G531" s="21">
        <v>62516.800000000003</v>
      </c>
      <c r="H531" s="21">
        <v>58939.199999999997</v>
      </c>
      <c r="I531" s="18">
        <v>1357.104</v>
      </c>
      <c r="J531" s="18">
        <v>1796.1120000000001</v>
      </c>
      <c r="K531" s="18" t="s">
        <v>30</v>
      </c>
      <c r="L531" s="18" t="s">
        <v>31</v>
      </c>
      <c r="M531" s="18" t="s">
        <v>24</v>
      </c>
      <c r="N531" s="22">
        <f t="shared" si="48"/>
        <v>0.80536317915739097</v>
      </c>
      <c r="O531" s="22">
        <f t="shared" si="49"/>
        <v>0.94277378240728904</v>
      </c>
      <c r="P531" s="23">
        <f t="shared" si="50"/>
        <v>2.17078289355821E-2</v>
      </c>
      <c r="Q531" s="23">
        <f t="shared" si="51"/>
        <v>2.3025490675136401E-2</v>
      </c>
      <c r="R531" s="22">
        <f t="shared" si="52"/>
        <v>0.32348884094365599</v>
      </c>
      <c r="S531" s="22">
        <f t="shared" si="53"/>
        <v>1.32348884094366</v>
      </c>
    </row>
    <row r="532" spans="1:19">
      <c r="A532" s="18" t="s">
        <v>571</v>
      </c>
      <c r="B532" s="18" t="s">
        <v>47</v>
      </c>
      <c r="C532" s="18" t="s">
        <v>21</v>
      </c>
      <c r="D532" s="19">
        <v>44834</v>
      </c>
      <c r="E532" s="20">
        <v>45454</v>
      </c>
      <c r="F532" s="21">
        <v>53294.400000000001</v>
      </c>
      <c r="G532" s="21">
        <v>50120</v>
      </c>
      <c r="H532" s="21">
        <v>44817.599999999999</v>
      </c>
      <c r="I532" s="18">
        <v>6916.576</v>
      </c>
      <c r="J532" s="18">
        <v>17359.919999999998</v>
      </c>
      <c r="K532" s="18" t="s">
        <v>43</v>
      </c>
      <c r="L532" s="18" t="s">
        <v>35</v>
      </c>
      <c r="M532" s="18" t="s">
        <v>32</v>
      </c>
      <c r="N532" s="22">
        <f t="shared" si="48"/>
        <v>0.94043651865862099</v>
      </c>
      <c r="O532" s="22">
        <f t="shared" si="49"/>
        <v>0.894205905826018</v>
      </c>
      <c r="P532" s="23">
        <f t="shared" si="50"/>
        <v>0.13800031923383899</v>
      </c>
      <c r="Q532" s="23">
        <f t="shared" si="51"/>
        <v>0.15432722858876899</v>
      </c>
      <c r="R532" s="22">
        <f t="shared" si="52"/>
        <v>1.5099008526762401</v>
      </c>
      <c r="S532" s="22">
        <f t="shared" si="53"/>
        <v>2.5099008526762399</v>
      </c>
    </row>
    <row r="533" spans="1:19">
      <c r="A533" s="18" t="s">
        <v>572</v>
      </c>
      <c r="B533" s="18" t="s">
        <v>40</v>
      </c>
      <c r="C533" s="18" t="s">
        <v>21</v>
      </c>
      <c r="D533" s="19">
        <v>44724</v>
      </c>
      <c r="E533" s="20">
        <v>45342</v>
      </c>
      <c r="F533" s="21">
        <v>36726.400000000001</v>
      </c>
      <c r="G533" s="21">
        <v>24368</v>
      </c>
      <c r="H533" s="21">
        <v>6681.6</v>
      </c>
      <c r="I533" s="18">
        <v>6886.8</v>
      </c>
      <c r="J533" s="18">
        <v>21294.400000000001</v>
      </c>
      <c r="K533" s="18" t="s">
        <v>65</v>
      </c>
      <c r="L533" s="18" t="s">
        <v>31</v>
      </c>
      <c r="M533" s="18" t="s">
        <v>24</v>
      </c>
      <c r="N533" s="22">
        <f t="shared" si="48"/>
        <v>0.66350091487322505</v>
      </c>
      <c r="O533" s="22">
        <f t="shared" si="49"/>
        <v>0.27419566644780002</v>
      </c>
      <c r="P533" s="23">
        <f t="shared" si="50"/>
        <v>0.28261654629021699</v>
      </c>
      <c r="Q533" s="23">
        <f t="shared" si="51"/>
        <v>1.03071120689655</v>
      </c>
      <c r="R533" s="22">
        <f t="shared" si="52"/>
        <v>2.0920601730847399</v>
      </c>
      <c r="S533" s="22">
        <f t="shared" si="53"/>
        <v>3.0920601730847399</v>
      </c>
    </row>
    <row r="534" spans="1:19">
      <c r="A534" s="18" t="s">
        <v>573</v>
      </c>
      <c r="B534" s="18" t="s">
        <v>28</v>
      </c>
      <c r="C534" s="18" t="s">
        <v>48</v>
      </c>
      <c r="D534" s="19">
        <v>44711</v>
      </c>
      <c r="E534" s="20">
        <v>45325</v>
      </c>
      <c r="F534" s="21">
        <v>70494.399999999994</v>
      </c>
      <c r="G534" s="21">
        <v>65129.599999999999</v>
      </c>
      <c r="H534" s="21">
        <v>19211.2</v>
      </c>
      <c r="I534" s="18">
        <v>5524.3519999999999</v>
      </c>
      <c r="J534" s="18">
        <v>12728.031999999999</v>
      </c>
      <c r="K534" s="18" t="s">
        <v>38</v>
      </c>
      <c r="L534" s="18" t="s">
        <v>44</v>
      </c>
      <c r="M534" s="18" t="s">
        <v>24</v>
      </c>
      <c r="N534" s="22">
        <f t="shared" si="48"/>
        <v>0.92389750107809998</v>
      </c>
      <c r="O534" s="22">
        <f t="shared" si="49"/>
        <v>0.29496880066820602</v>
      </c>
      <c r="P534" s="23">
        <f t="shared" si="50"/>
        <v>8.4820910922222797E-2</v>
      </c>
      <c r="Q534" s="23">
        <f t="shared" si="51"/>
        <v>0.28755892396102301</v>
      </c>
      <c r="R534" s="22">
        <f t="shared" si="52"/>
        <v>1.3039864222989399</v>
      </c>
      <c r="S534" s="22">
        <f t="shared" si="53"/>
        <v>2.3039864222989399</v>
      </c>
    </row>
    <row r="535" spans="1:19">
      <c r="A535" s="18" t="s">
        <v>574</v>
      </c>
      <c r="B535" s="18" t="s">
        <v>40</v>
      </c>
      <c r="C535" s="18" t="s">
        <v>29</v>
      </c>
      <c r="D535" s="19">
        <v>44923</v>
      </c>
      <c r="E535" s="20">
        <v>45553</v>
      </c>
      <c r="F535" s="21">
        <v>53980.800000000003</v>
      </c>
      <c r="G535" s="21">
        <v>18601.599999999999</v>
      </c>
      <c r="H535" s="21">
        <v>6904</v>
      </c>
      <c r="I535" s="18">
        <v>2390.096</v>
      </c>
      <c r="J535" s="18">
        <v>8349.84</v>
      </c>
      <c r="K535" s="18" t="s">
        <v>65</v>
      </c>
      <c r="L535" s="18" t="s">
        <v>35</v>
      </c>
      <c r="M535" s="18" t="s">
        <v>24</v>
      </c>
      <c r="N535" s="22">
        <f t="shared" si="48"/>
        <v>0.34459659730867298</v>
      </c>
      <c r="O535" s="22">
        <f t="shared" si="49"/>
        <v>0.37115086874247399</v>
      </c>
      <c r="P535" s="23">
        <f t="shared" si="50"/>
        <v>0.12848873215207299</v>
      </c>
      <c r="Q535" s="23">
        <f t="shared" si="51"/>
        <v>0.34619003476245702</v>
      </c>
      <c r="R535" s="22">
        <f t="shared" si="52"/>
        <v>2.49351657841359</v>
      </c>
      <c r="S535" s="22">
        <f t="shared" si="53"/>
        <v>3.49351657841359</v>
      </c>
    </row>
    <row r="536" spans="1:19">
      <c r="A536" s="18" t="s">
        <v>575</v>
      </c>
      <c r="B536" s="18" t="s">
        <v>20</v>
      </c>
      <c r="C536" s="18" t="s">
        <v>41</v>
      </c>
      <c r="D536" s="19">
        <v>44747</v>
      </c>
      <c r="E536" s="20">
        <v>45368</v>
      </c>
      <c r="F536" s="21">
        <v>46966.400000000001</v>
      </c>
      <c r="G536" s="21">
        <v>25660.799999999999</v>
      </c>
      <c r="H536" s="21">
        <v>18854.400000000001</v>
      </c>
      <c r="I536" s="18">
        <v>3491.0880000000002</v>
      </c>
      <c r="J536" s="18">
        <v>10283.136</v>
      </c>
      <c r="K536" s="18" t="s">
        <v>65</v>
      </c>
      <c r="L536" s="18" t="s">
        <v>44</v>
      </c>
      <c r="M536" s="18" t="s">
        <v>24</v>
      </c>
      <c r="N536" s="22">
        <f t="shared" si="48"/>
        <v>0.54636506097976401</v>
      </c>
      <c r="O536" s="22">
        <f t="shared" si="49"/>
        <v>0.73475495697717896</v>
      </c>
      <c r="P536" s="23">
        <f t="shared" si="50"/>
        <v>0.13604751215862301</v>
      </c>
      <c r="Q536" s="23">
        <f t="shared" si="51"/>
        <v>0.18516038696537701</v>
      </c>
      <c r="R536" s="22">
        <f t="shared" si="52"/>
        <v>1.94553904112414</v>
      </c>
      <c r="S536" s="22">
        <f t="shared" si="53"/>
        <v>2.9455390411241398</v>
      </c>
    </row>
    <row r="537" spans="1:19">
      <c r="A537" s="18" t="s">
        <v>576</v>
      </c>
      <c r="B537" s="18" t="s">
        <v>40</v>
      </c>
      <c r="C537" s="18" t="s">
        <v>29</v>
      </c>
      <c r="D537" s="19">
        <v>44871</v>
      </c>
      <c r="E537" s="20">
        <v>45473</v>
      </c>
      <c r="F537" s="21">
        <v>62892.800000000003</v>
      </c>
      <c r="G537" s="21">
        <v>60550.400000000001</v>
      </c>
      <c r="H537" s="21">
        <v>12526.4</v>
      </c>
      <c r="I537" s="18">
        <v>6441.1679999999997</v>
      </c>
      <c r="J537" s="18">
        <v>25714.864000000001</v>
      </c>
      <c r="K537" s="18" t="s">
        <v>43</v>
      </c>
      <c r="L537" s="18" t="s">
        <v>44</v>
      </c>
      <c r="M537" s="18" t="s">
        <v>32</v>
      </c>
      <c r="N537" s="22">
        <f t="shared" si="48"/>
        <v>0.96275567314541599</v>
      </c>
      <c r="O537" s="22">
        <f t="shared" si="49"/>
        <v>0.20687559454603099</v>
      </c>
      <c r="P537" s="23">
        <f t="shared" si="50"/>
        <v>0.10637696860797</v>
      </c>
      <c r="Q537" s="23">
        <f t="shared" si="51"/>
        <v>0.51420743389960399</v>
      </c>
      <c r="R537" s="22">
        <f t="shared" si="52"/>
        <v>2.99226724097245</v>
      </c>
      <c r="S537" s="22">
        <f t="shared" si="53"/>
        <v>3.9922672409724398</v>
      </c>
    </row>
    <row r="538" spans="1:19">
      <c r="A538" s="18" t="s">
        <v>577</v>
      </c>
      <c r="B538" s="18" t="s">
        <v>26</v>
      </c>
      <c r="C538" s="18" t="s">
        <v>29</v>
      </c>
      <c r="D538" s="19">
        <v>44843</v>
      </c>
      <c r="E538" s="20">
        <v>45452</v>
      </c>
      <c r="F538" s="21">
        <v>21366.400000000001</v>
      </c>
      <c r="G538" s="21">
        <v>6550.4</v>
      </c>
      <c r="H538" s="21">
        <v>232</v>
      </c>
      <c r="I538" s="18">
        <v>6396.768</v>
      </c>
      <c r="J538" s="18">
        <v>16193.92</v>
      </c>
      <c r="K538" s="18" t="s">
        <v>38</v>
      </c>
      <c r="L538" s="18" t="s">
        <v>31</v>
      </c>
      <c r="M538" s="18" t="s">
        <v>24</v>
      </c>
      <c r="N538" s="22">
        <f t="shared" si="48"/>
        <v>0.306574809045979</v>
      </c>
      <c r="O538" s="22">
        <f t="shared" si="49"/>
        <v>3.5417684416218898E-2</v>
      </c>
      <c r="P538" s="23">
        <f t="shared" si="50"/>
        <v>0.97654616511968695</v>
      </c>
      <c r="Q538" s="23">
        <f t="shared" si="51"/>
        <v>27.572275862068999</v>
      </c>
      <c r="R538" s="22">
        <f t="shared" si="52"/>
        <v>1.5315784471157901</v>
      </c>
      <c r="S538" s="22">
        <f t="shared" si="53"/>
        <v>2.5315784471157898</v>
      </c>
    </row>
    <row r="539" spans="1:19">
      <c r="A539" s="18" t="s">
        <v>578</v>
      </c>
      <c r="B539" s="18" t="s">
        <v>34</v>
      </c>
      <c r="C539" s="18" t="s">
        <v>48</v>
      </c>
      <c r="D539" s="19">
        <v>44941</v>
      </c>
      <c r="E539" s="20">
        <v>45564</v>
      </c>
      <c r="F539" s="21">
        <v>18793.599999999999</v>
      </c>
      <c r="G539" s="21">
        <v>3420.8</v>
      </c>
      <c r="H539" s="21">
        <v>587.20000000000005</v>
      </c>
      <c r="I539" s="18">
        <v>5513.1679999999997</v>
      </c>
      <c r="J539" s="18">
        <v>19853.28</v>
      </c>
      <c r="K539" s="18" t="s">
        <v>43</v>
      </c>
      <c r="L539" s="18" t="s">
        <v>31</v>
      </c>
      <c r="M539" s="18" t="s">
        <v>32</v>
      </c>
      <c r="N539" s="22">
        <f t="shared" si="48"/>
        <v>0.182019410863273</v>
      </c>
      <c r="O539" s="22">
        <f t="shared" si="49"/>
        <v>0.17165575304022501</v>
      </c>
      <c r="P539" s="23">
        <f t="shared" si="50"/>
        <v>1.6116604303087001</v>
      </c>
      <c r="Q539" s="23">
        <f t="shared" si="51"/>
        <v>9.3889100817438695</v>
      </c>
      <c r="R539" s="22">
        <f t="shared" si="52"/>
        <v>2.6010656667817802</v>
      </c>
      <c r="S539" s="22">
        <f t="shared" si="53"/>
        <v>3.6010656667817802</v>
      </c>
    </row>
    <row r="540" spans="1:19">
      <c r="A540" s="18" t="s">
        <v>579</v>
      </c>
      <c r="B540" s="18" t="s">
        <v>26</v>
      </c>
      <c r="C540" s="18" t="s">
        <v>29</v>
      </c>
      <c r="D540" s="19">
        <v>44741</v>
      </c>
      <c r="E540" s="20">
        <v>45353</v>
      </c>
      <c r="F540" s="21">
        <v>13291.2</v>
      </c>
      <c r="G540" s="21">
        <v>12265.6</v>
      </c>
      <c r="H540" s="21">
        <v>996.8</v>
      </c>
      <c r="I540" s="18">
        <v>1367.2</v>
      </c>
      <c r="J540" s="18">
        <v>4462.5919999999996</v>
      </c>
      <c r="K540" s="18" t="s">
        <v>43</v>
      </c>
      <c r="L540" s="18" t="s">
        <v>23</v>
      </c>
      <c r="M540" s="18" t="s">
        <v>24</v>
      </c>
      <c r="N540" s="22">
        <f t="shared" si="48"/>
        <v>0.92283616227278198</v>
      </c>
      <c r="O540" s="22">
        <f t="shared" si="49"/>
        <v>8.1267936342290598E-2</v>
      </c>
      <c r="P540" s="23">
        <f t="shared" si="50"/>
        <v>0.111466214453431</v>
      </c>
      <c r="Q540" s="23">
        <f t="shared" si="51"/>
        <v>1.3715890850722301</v>
      </c>
      <c r="R540" s="22">
        <f t="shared" si="52"/>
        <v>2.2640374488004702</v>
      </c>
      <c r="S540" s="22">
        <f t="shared" si="53"/>
        <v>3.2640374488004702</v>
      </c>
    </row>
    <row r="541" spans="1:19">
      <c r="A541" s="18" t="s">
        <v>580</v>
      </c>
      <c r="B541" s="18" t="s">
        <v>28</v>
      </c>
      <c r="C541" s="18" t="s">
        <v>48</v>
      </c>
      <c r="D541" s="19">
        <v>44869</v>
      </c>
      <c r="E541" s="20">
        <v>45487</v>
      </c>
      <c r="F541" s="21">
        <v>38339.199999999997</v>
      </c>
      <c r="G541" s="21">
        <v>31772.799999999999</v>
      </c>
      <c r="H541" s="21">
        <v>24166.400000000001</v>
      </c>
      <c r="I541" s="18">
        <v>3110.2080000000001</v>
      </c>
      <c r="J541" s="18">
        <v>5200.6080000000002</v>
      </c>
      <c r="K541" s="18" t="s">
        <v>30</v>
      </c>
      <c r="L541" s="18" t="s">
        <v>35</v>
      </c>
      <c r="M541" s="18" t="s">
        <v>24</v>
      </c>
      <c r="N541" s="22">
        <f t="shared" si="48"/>
        <v>0.82872882063266795</v>
      </c>
      <c r="O541" s="22">
        <f t="shared" si="49"/>
        <v>0.76060026185920004</v>
      </c>
      <c r="P541" s="23">
        <f t="shared" si="50"/>
        <v>9.7889011985094199E-2</v>
      </c>
      <c r="Q541" s="23">
        <f t="shared" si="51"/>
        <v>0.12869968220339001</v>
      </c>
      <c r="R541" s="22">
        <f t="shared" si="52"/>
        <v>0.67210938946848597</v>
      </c>
      <c r="S541" s="22">
        <f t="shared" si="53"/>
        <v>1.67210938946849</v>
      </c>
    </row>
    <row r="542" spans="1:19">
      <c r="A542" s="18" t="s">
        <v>581</v>
      </c>
      <c r="B542" s="18" t="s">
        <v>40</v>
      </c>
      <c r="C542" s="18" t="s">
        <v>48</v>
      </c>
      <c r="D542" s="19">
        <v>44883</v>
      </c>
      <c r="E542" s="20">
        <v>45506</v>
      </c>
      <c r="F542" s="21">
        <v>60633.599999999999</v>
      </c>
      <c r="G542" s="21">
        <v>24923.200000000001</v>
      </c>
      <c r="H542" s="21">
        <v>11601.6</v>
      </c>
      <c r="I542" s="18">
        <v>6871.2</v>
      </c>
      <c r="J542" s="18">
        <v>24325.952000000001</v>
      </c>
      <c r="K542" s="18" t="s">
        <v>43</v>
      </c>
      <c r="L542" s="18" t="s">
        <v>23</v>
      </c>
      <c r="M542" s="18" t="s">
        <v>24</v>
      </c>
      <c r="N542" s="22">
        <f t="shared" si="48"/>
        <v>0.41104602068819901</v>
      </c>
      <c r="O542" s="22">
        <f t="shared" si="49"/>
        <v>0.46549399756050602</v>
      </c>
      <c r="P542" s="23">
        <f t="shared" si="50"/>
        <v>0.27569493483982799</v>
      </c>
      <c r="Q542" s="23">
        <f t="shared" si="51"/>
        <v>0.59226313611915604</v>
      </c>
      <c r="R542" s="22">
        <f t="shared" si="52"/>
        <v>2.54027709861451</v>
      </c>
      <c r="S542" s="22">
        <f t="shared" si="53"/>
        <v>3.54027709861451</v>
      </c>
    </row>
    <row r="543" spans="1:19">
      <c r="A543" s="18" t="s">
        <v>582</v>
      </c>
      <c r="B543" s="18" t="s">
        <v>20</v>
      </c>
      <c r="C543" s="18" t="s">
        <v>48</v>
      </c>
      <c r="D543" s="19">
        <v>44843</v>
      </c>
      <c r="E543" s="20">
        <v>45445</v>
      </c>
      <c r="F543" s="21">
        <v>36523.199999999997</v>
      </c>
      <c r="G543" s="21">
        <v>23856</v>
      </c>
      <c r="H543" s="21">
        <v>13521.6</v>
      </c>
      <c r="I543" s="18">
        <v>1082.96</v>
      </c>
      <c r="J543" s="18">
        <v>1758.8320000000001</v>
      </c>
      <c r="K543" s="18" t="s">
        <v>38</v>
      </c>
      <c r="L543" s="18" t="s">
        <v>23</v>
      </c>
      <c r="M543" s="18" t="s">
        <v>24</v>
      </c>
      <c r="N543" s="22">
        <f t="shared" si="48"/>
        <v>0.65317387304507801</v>
      </c>
      <c r="O543" s="22">
        <f t="shared" si="49"/>
        <v>0.56680080482897399</v>
      </c>
      <c r="P543" s="23">
        <f t="shared" si="50"/>
        <v>4.5395707578806198E-2</v>
      </c>
      <c r="Q543" s="23">
        <f t="shared" si="51"/>
        <v>8.0091113477694903E-2</v>
      </c>
      <c r="R543" s="22">
        <f t="shared" si="52"/>
        <v>0.62409691955381597</v>
      </c>
      <c r="S543" s="22">
        <f t="shared" si="53"/>
        <v>1.62409691955382</v>
      </c>
    </row>
    <row r="544" spans="1:19">
      <c r="A544" s="18" t="s">
        <v>583</v>
      </c>
      <c r="B544" s="18" t="s">
        <v>40</v>
      </c>
      <c r="C544" s="18" t="s">
        <v>29</v>
      </c>
      <c r="D544" s="19">
        <v>44982</v>
      </c>
      <c r="E544" s="20">
        <v>45589</v>
      </c>
      <c r="F544" s="21">
        <v>4963.2</v>
      </c>
      <c r="G544" s="21">
        <v>2713.6</v>
      </c>
      <c r="H544" s="21">
        <v>508.8</v>
      </c>
      <c r="I544" s="18">
        <v>3801.5680000000002</v>
      </c>
      <c r="J544" s="18">
        <v>5607.0720000000001</v>
      </c>
      <c r="K544" s="18" t="s">
        <v>30</v>
      </c>
      <c r="L544" s="18" t="s">
        <v>35</v>
      </c>
      <c r="M544" s="18" t="s">
        <v>32</v>
      </c>
      <c r="N544" s="22">
        <f t="shared" si="48"/>
        <v>0.54674403610573796</v>
      </c>
      <c r="O544" s="22">
        <f t="shared" si="49"/>
        <v>0.1875</v>
      </c>
      <c r="P544" s="23">
        <f t="shared" si="50"/>
        <v>1.4009316037735899</v>
      </c>
      <c r="Q544" s="23">
        <f t="shared" si="51"/>
        <v>7.4716352201257896</v>
      </c>
      <c r="R544" s="22">
        <f t="shared" si="52"/>
        <v>0.47493665771597399</v>
      </c>
      <c r="S544" s="22">
        <f t="shared" si="53"/>
        <v>1.4749366577159699</v>
      </c>
    </row>
    <row r="545" spans="1:19">
      <c r="A545" s="18" t="s">
        <v>584</v>
      </c>
      <c r="B545" s="18" t="s">
        <v>40</v>
      </c>
      <c r="C545" s="18" t="s">
        <v>21</v>
      </c>
      <c r="D545" s="19">
        <v>44841</v>
      </c>
      <c r="E545" s="20">
        <v>45470</v>
      </c>
      <c r="F545" s="21">
        <v>27910.400000000001</v>
      </c>
      <c r="G545" s="21">
        <v>20302.400000000001</v>
      </c>
      <c r="H545" s="21">
        <v>15867.2</v>
      </c>
      <c r="I545" s="18">
        <v>3896.5120000000002</v>
      </c>
      <c r="J545" s="18">
        <v>11062.031999999999</v>
      </c>
      <c r="K545" s="18" t="s">
        <v>38</v>
      </c>
      <c r="L545" s="18" t="s">
        <v>44</v>
      </c>
      <c r="M545" s="18" t="s">
        <v>32</v>
      </c>
      <c r="N545" s="22">
        <f t="shared" si="48"/>
        <v>0.72741343728502605</v>
      </c>
      <c r="O545" s="22">
        <f t="shared" si="49"/>
        <v>0.781543068799748</v>
      </c>
      <c r="P545" s="23">
        <f t="shared" si="50"/>
        <v>0.19192371345259701</v>
      </c>
      <c r="Q545" s="23">
        <f t="shared" si="51"/>
        <v>0.24557023293334701</v>
      </c>
      <c r="R545" s="22">
        <f t="shared" si="52"/>
        <v>1.8389575086641601</v>
      </c>
      <c r="S545" s="22">
        <f t="shared" si="53"/>
        <v>2.8389575086641599</v>
      </c>
    </row>
    <row r="546" spans="1:19">
      <c r="A546" s="18" t="s">
        <v>585</v>
      </c>
      <c r="B546" s="18" t="s">
        <v>34</v>
      </c>
      <c r="C546" s="18" t="s">
        <v>21</v>
      </c>
      <c r="D546" s="19">
        <v>44810</v>
      </c>
      <c r="E546" s="20">
        <v>45412</v>
      </c>
      <c r="F546" s="21">
        <v>11809.6</v>
      </c>
      <c r="G546" s="21">
        <v>4376</v>
      </c>
      <c r="H546" s="21">
        <v>153.6</v>
      </c>
      <c r="I546" s="18">
        <v>7867.6480000000001</v>
      </c>
      <c r="J546" s="18">
        <v>18888.175999999999</v>
      </c>
      <c r="K546" s="18" t="s">
        <v>65</v>
      </c>
      <c r="L546" s="18" t="s">
        <v>23</v>
      </c>
      <c r="M546" s="18" t="s">
        <v>24</v>
      </c>
      <c r="N546" s="22">
        <f t="shared" si="48"/>
        <v>0.37054599647744202</v>
      </c>
      <c r="O546" s="22">
        <f t="shared" si="49"/>
        <v>3.5100548446069503E-2</v>
      </c>
      <c r="P546" s="23">
        <f t="shared" si="50"/>
        <v>1.7979085923217599</v>
      </c>
      <c r="Q546" s="23">
        <f t="shared" si="51"/>
        <v>51.2216666666667</v>
      </c>
      <c r="R546" s="22">
        <f t="shared" si="52"/>
        <v>1.4007398399115001</v>
      </c>
      <c r="S546" s="22">
        <f t="shared" si="53"/>
        <v>2.4007398399115001</v>
      </c>
    </row>
    <row r="547" spans="1:19">
      <c r="A547" s="18" t="s">
        <v>586</v>
      </c>
      <c r="B547" s="18" t="s">
        <v>34</v>
      </c>
      <c r="C547" s="18" t="s">
        <v>48</v>
      </c>
      <c r="D547" s="19">
        <v>44812</v>
      </c>
      <c r="E547" s="20">
        <v>45422</v>
      </c>
      <c r="F547" s="21">
        <v>58115.199999999997</v>
      </c>
      <c r="G547" s="21">
        <v>51961.599999999999</v>
      </c>
      <c r="H547" s="21">
        <v>24939.200000000001</v>
      </c>
      <c r="I547" s="18">
        <v>2203.6640000000002</v>
      </c>
      <c r="J547" s="18">
        <v>3805.76</v>
      </c>
      <c r="K547" s="18" t="s">
        <v>30</v>
      </c>
      <c r="L547" s="18" t="s">
        <v>50</v>
      </c>
      <c r="M547" s="18" t="s">
        <v>24</v>
      </c>
      <c r="N547" s="22">
        <f t="shared" si="48"/>
        <v>0.89411376025549305</v>
      </c>
      <c r="O547" s="22">
        <f t="shared" si="49"/>
        <v>0.47995442788520798</v>
      </c>
      <c r="P547" s="23">
        <f t="shared" si="50"/>
        <v>4.2409471609804197E-2</v>
      </c>
      <c r="Q547" s="23">
        <f t="shared" si="51"/>
        <v>8.8361455058702798E-2</v>
      </c>
      <c r="R547" s="22">
        <f t="shared" si="52"/>
        <v>0.727014644700825</v>
      </c>
      <c r="S547" s="22">
        <f t="shared" si="53"/>
        <v>1.7270146447008301</v>
      </c>
    </row>
    <row r="548" spans="1:19">
      <c r="A548" s="18" t="s">
        <v>587</v>
      </c>
      <c r="B548" s="18" t="s">
        <v>26</v>
      </c>
      <c r="C548" s="18" t="s">
        <v>48</v>
      </c>
      <c r="D548" s="19">
        <v>44910</v>
      </c>
      <c r="E548" s="20">
        <v>45511</v>
      </c>
      <c r="F548" s="21">
        <v>64742.400000000001</v>
      </c>
      <c r="G548" s="21">
        <v>1166.4000000000001</v>
      </c>
      <c r="H548" s="21">
        <v>424</v>
      </c>
      <c r="I548" s="18">
        <v>4639.8559999999998</v>
      </c>
      <c r="J548" s="18">
        <v>14786.575999999999</v>
      </c>
      <c r="K548" s="18" t="s">
        <v>38</v>
      </c>
      <c r="L548" s="18" t="s">
        <v>23</v>
      </c>
      <c r="M548" s="18" t="s">
        <v>24</v>
      </c>
      <c r="N548" s="22">
        <f t="shared" si="48"/>
        <v>1.8016014234875401E-2</v>
      </c>
      <c r="O548" s="22">
        <f t="shared" si="49"/>
        <v>0.36351165980795602</v>
      </c>
      <c r="P548" s="23">
        <f t="shared" si="50"/>
        <v>3.9779286694101499</v>
      </c>
      <c r="Q548" s="23">
        <f t="shared" si="51"/>
        <v>10.9430566037736</v>
      </c>
      <c r="R548" s="22">
        <f t="shared" si="52"/>
        <v>2.1868609715473899</v>
      </c>
      <c r="S548" s="22">
        <f t="shared" si="53"/>
        <v>3.1868609715473899</v>
      </c>
    </row>
    <row r="549" spans="1:19">
      <c r="A549" s="18" t="s">
        <v>588</v>
      </c>
      <c r="B549" s="18" t="s">
        <v>47</v>
      </c>
      <c r="C549" s="18" t="s">
        <v>29</v>
      </c>
      <c r="D549" s="19">
        <v>44798</v>
      </c>
      <c r="E549" s="20">
        <v>45413</v>
      </c>
      <c r="F549" s="21">
        <v>49310.400000000001</v>
      </c>
      <c r="G549" s="21">
        <v>15350.4</v>
      </c>
      <c r="H549" s="21">
        <v>10459.200000000001</v>
      </c>
      <c r="I549" s="18">
        <v>745.40800000000002</v>
      </c>
      <c r="J549" s="18">
        <v>1884.5119999999999</v>
      </c>
      <c r="K549" s="18" t="s">
        <v>65</v>
      </c>
      <c r="L549" s="18" t="s">
        <v>23</v>
      </c>
      <c r="M549" s="18" t="s">
        <v>24</v>
      </c>
      <c r="N549" s="22">
        <f t="shared" si="48"/>
        <v>0.31130146987248097</v>
      </c>
      <c r="O549" s="22">
        <f t="shared" si="49"/>
        <v>0.68136335209505905</v>
      </c>
      <c r="P549" s="23">
        <f t="shared" si="50"/>
        <v>4.8559516364394401E-2</v>
      </c>
      <c r="Q549" s="23">
        <f t="shared" si="51"/>
        <v>7.1268165825302099E-2</v>
      </c>
      <c r="R549" s="22">
        <f t="shared" si="52"/>
        <v>1.5281617583927201</v>
      </c>
      <c r="S549" s="22">
        <f t="shared" si="53"/>
        <v>2.5281617583927201</v>
      </c>
    </row>
    <row r="550" spans="1:19">
      <c r="A550" s="18" t="s">
        <v>589</v>
      </c>
      <c r="B550" s="18" t="s">
        <v>40</v>
      </c>
      <c r="C550" s="18" t="s">
        <v>29</v>
      </c>
      <c r="D550" s="19">
        <v>44842</v>
      </c>
      <c r="E550" s="20">
        <v>45467</v>
      </c>
      <c r="F550" s="21">
        <v>41046.400000000001</v>
      </c>
      <c r="G550" s="21">
        <v>31940.799999999999</v>
      </c>
      <c r="H550" s="21">
        <v>9705.6</v>
      </c>
      <c r="I550" s="18">
        <v>1327.152</v>
      </c>
      <c r="J550" s="18">
        <v>4825.4560000000001</v>
      </c>
      <c r="K550" s="18" t="s">
        <v>65</v>
      </c>
      <c r="L550" s="18" t="s">
        <v>23</v>
      </c>
      <c r="M550" s="18" t="s">
        <v>24</v>
      </c>
      <c r="N550" s="22">
        <f t="shared" si="48"/>
        <v>0.77816324939580594</v>
      </c>
      <c r="O550" s="22">
        <f t="shared" si="49"/>
        <v>0.30386214496819097</v>
      </c>
      <c r="P550" s="23">
        <f t="shared" si="50"/>
        <v>4.1550368181135097E-2</v>
      </c>
      <c r="Q550" s="23">
        <f t="shared" si="51"/>
        <v>0.13674085064292801</v>
      </c>
      <c r="R550" s="22">
        <f t="shared" si="52"/>
        <v>2.6359482561153502</v>
      </c>
      <c r="S550" s="22">
        <f t="shared" si="53"/>
        <v>3.6359482561153502</v>
      </c>
    </row>
    <row r="551" spans="1:19">
      <c r="A551" s="18" t="s">
        <v>590</v>
      </c>
      <c r="B551" s="18" t="s">
        <v>40</v>
      </c>
      <c r="C551" s="18" t="s">
        <v>48</v>
      </c>
      <c r="D551" s="19">
        <v>44896</v>
      </c>
      <c r="E551" s="20">
        <v>45504</v>
      </c>
      <c r="F551" s="21">
        <v>47635.199999999997</v>
      </c>
      <c r="G551" s="21">
        <v>27977.599999999999</v>
      </c>
      <c r="H551" s="21">
        <v>24046.400000000001</v>
      </c>
      <c r="I551" s="18">
        <v>1948.528</v>
      </c>
      <c r="J551" s="18">
        <v>6809.76</v>
      </c>
      <c r="K551" s="18" t="s">
        <v>38</v>
      </c>
      <c r="L551" s="18" t="s">
        <v>31</v>
      </c>
      <c r="M551" s="18" t="s">
        <v>24</v>
      </c>
      <c r="N551" s="22">
        <f t="shared" si="48"/>
        <v>0.58733037753593997</v>
      </c>
      <c r="O551" s="22">
        <f t="shared" si="49"/>
        <v>0.85948759007205799</v>
      </c>
      <c r="P551" s="23">
        <f t="shared" si="50"/>
        <v>6.9646002516298794E-2</v>
      </c>
      <c r="Q551" s="23">
        <f t="shared" si="51"/>
        <v>8.1032004790737897E-2</v>
      </c>
      <c r="R551" s="22">
        <f t="shared" si="52"/>
        <v>2.4948227585130902</v>
      </c>
      <c r="S551" s="22">
        <f t="shared" si="53"/>
        <v>3.4948227585130902</v>
      </c>
    </row>
    <row r="552" spans="1:19">
      <c r="A552" s="18" t="s">
        <v>591</v>
      </c>
      <c r="B552" s="18" t="s">
        <v>47</v>
      </c>
      <c r="C552" s="18" t="s">
        <v>41</v>
      </c>
      <c r="D552" s="19">
        <v>44792</v>
      </c>
      <c r="E552" s="20">
        <v>45393</v>
      </c>
      <c r="F552" s="21">
        <v>59756.800000000003</v>
      </c>
      <c r="G552" s="21">
        <v>15096</v>
      </c>
      <c r="H552" s="21">
        <v>19.2</v>
      </c>
      <c r="I552" s="18">
        <v>4243.616</v>
      </c>
      <c r="J552" s="18">
        <v>10724.72</v>
      </c>
      <c r="K552" s="18" t="s">
        <v>43</v>
      </c>
      <c r="L552" s="18" t="s">
        <v>35</v>
      </c>
      <c r="M552" s="18" t="s">
        <v>24</v>
      </c>
      <c r="N552" s="22">
        <f t="shared" si="48"/>
        <v>0.25262396915497498</v>
      </c>
      <c r="O552" s="22">
        <f t="shared" si="49"/>
        <v>1.27186009538951E-3</v>
      </c>
      <c r="P552" s="23">
        <f t="shared" si="50"/>
        <v>0.28110863804981501</v>
      </c>
      <c r="Q552" s="23">
        <f t="shared" si="51"/>
        <v>221.02166666666699</v>
      </c>
      <c r="R552" s="22">
        <f t="shared" si="52"/>
        <v>1.5272597709123501</v>
      </c>
      <c r="S552" s="22">
        <f t="shared" si="53"/>
        <v>2.5272597709123499</v>
      </c>
    </row>
    <row r="553" spans="1:19">
      <c r="A553" s="18" t="s">
        <v>592</v>
      </c>
      <c r="B553" s="18" t="s">
        <v>20</v>
      </c>
      <c r="C553" s="18" t="s">
        <v>29</v>
      </c>
      <c r="D553" s="19">
        <v>44701</v>
      </c>
      <c r="E553" s="20">
        <v>45303</v>
      </c>
      <c r="F553" s="21">
        <v>66888</v>
      </c>
      <c r="G553" s="21">
        <v>13822.4</v>
      </c>
      <c r="H553" s="21">
        <v>12428.8</v>
      </c>
      <c r="I553" s="18">
        <v>4676.192</v>
      </c>
      <c r="J553" s="18">
        <v>18247.407999999999</v>
      </c>
      <c r="K553" s="18" t="s">
        <v>65</v>
      </c>
      <c r="L553" s="18" t="s">
        <v>35</v>
      </c>
      <c r="M553" s="18" t="s">
        <v>32</v>
      </c>
      <c r="N553" s="22">
        <f t="shared" si="48"/>
        <v>0.206649922258103</v>
      </c>
      <c r="O553" s="22">
        <f t="shared" si="49"/>
        <v>0.89917814561870602</v>
      </c>
      <c r="P553" s="23">
        <f t="shared" si="50"/>
        <v>0.33830535941659901</v>
      </c>
      <c r="Q553" s="23">
        <f t="shared" si="51"/>
        <v>0.37623841400617902</v>
      </c>
      <c r="R553" s="22">
        <f t="shared" si="52"/>
        <v>2.9021939218920001</v>
      </c>
      <c r="S553" s="22">
        <f t="shared" si="53"/>
        <v>3.9021939218920001</v>
      </c>
    </row>
    <row r="554" spans="1:19">
      <c r="A554" s="18" t="s">
        <v>593</v>
      </c>
      <c r="B554" s="18" t="s">
        <v>34</v>
      </c>
      <c r="C554" s="18" t="s">
        <v>21</v>
      </c>
      <c r="D554" s="19">
        <v>44710</v>
      </c>
      <c r="E554" s="20">
        <v>45318</v>
      </c>
      <c r="F554" s="21">
        <v>26326.400000000001</v>
      </c>
      <c r="G554" s="21">
        <v>12465.6</v>
      </c>
      <c r="H554" s="21">
        <v>10670.4</v>
      </c>
      <c r="I554" s="18">
        <v>481.66399999999999</v>
      </c>
      <c r="J554" s="18">
        <v>953.6</v>
      </c>
      <c r="K554" s="18" t="s">
        <v>38</v>
      </c>
      <c r="L554" s="18" t="s">
        <v>50</v>
      </c>
      <c r="M554" s="18" t="s">
        <v>24</v>
      </c>
      <c r="N554" s="22">
        <f t="shared" si="48"/>
        <v>0.47350188404035498</v>
      </c>
      <c r="O554" s="22">
        <f t="shared" si="49"/>
        <v>0.85598767809010401</v>
      </c>
      <c r="P554" s="23">
        <f t="shared" si="50"/>
        <v>3.8639455782312898E-2</v>
      </c>
      <c r="Q554" s="23">
        <f t="shared" si="51"/>
        <v>4.51402009296746E-2</v>
      </c>
      <c r="R554" s="22">
        <f t="shared" si="52"/>
        <v>0.97980334839224004</v>
      </c>
      <c r="S554" s="22">
        <f t="shared" si="53"/>
        <v>1.9798033483922399</v>
      </c>
    </row>
    <row r="555" spans="1:19">
      <c r="A555" s="18" t="s">
        <v>594</v>
      </c>
      <c r="B555" s="18" t="s">
        <v>26</v>
      </c>
      <c r="C555" s="18" t="s">
        <v>29</v>
      </c>
      <c r="D555" s="19">
        <v>44703</v>
      </c>
      <c r="E555" s="20">
        <v>45316</v>
      </c>
      <c r="F555" s="21">
        <v>73331.199999999997</v>
      </c>
      <c r="G555" s="21">
        <v>36377.599999999999</v>
      </c>
      <c r="H555" s="21">
        <v>13307.2</v>
      </c>
      <c r="I555" s="18">
        <v>6032.3519999999999</v>
      </c>
      <c r="J555" s="18">
        <v>20544.975999999999</v>
      </c>
      <c r="K555" s="18" t="s">
        <v>43</v>
      </c>
      <c r="L555" s="18" t="s">
        <v>44</v>
      </c>
      <c r="M555" s="18" t="s">
        <v>32</v>
      </c>
      <c r="N555" s="22">
        <f t="shared" si="48"/>
        <v>0.49607261302146999</v>
      </c>
      <c r="O555" s="22">
        <f t="shared" si="49"/>
        <v>0.36580752990851501</v>
      </c>
      <c r="P555" s="23">
        <f t="shared" si="50"/>
        <v>0.16582600281491899</v>
      </c>
      <c r="Q555" s="23">
        <f t="shared" si="51"/>
        <v>0.45331489719850898</v>
      </c>
      <c r="R555" s="22">
        <f t="shared" si="52"/>
        <v>2.4057986006121701</v>
      </c>
      <c r="S555" s="22">
        <f t="shared" si="53"/>
        <v>3.4057986006121701</v>
      </c>
    </row>
    <row r="556" spans="1:19">
      <c r="A556" s="18" t="s">
        <v>595</v>
      </c>
      <c r="B556" s="18" t="s">
        <v>26</v>
      </c>
      <c r="C556" s="18" t="s">
        <v>21</v>
      </c>
      <c r="D556" s="19">
        <v>44959</v>
      </c>
      <c r="E556" s="20">
        <v>45565</v>
      </c>
      <c r="F556" s="21">
        <v>43262.400000000001</v>
      </c>
      <c r="G556" s="21">
        <v>14931.2</v>
      </c>
      <c r="H556" s="21">
        <v>4356.8</v>
      </c>
      <c r="I556" s="18">
        <v>6792.64</v>
      </c>
      <c r="J556" s="18">
        <v>13633.791999999999</v>
      </c>
      <c r="K556" s="18" t="s">
        <v>43</v>
      </c>
      <c r="L556" s="18" t="s">
        <v>31</v>
      </c>
      <c r="M556" s="18" t="s">
        <v>32</v>
      </c>
      <c r="N556" s="22">
        <f t="shared" si="48"/>
        <v>0.345131106919635</v>
      </c>
      <c r="O556" s="22">
        <f t="shared" si="49"/>
        <v>0.29179168452636101</v>
      </c>
      <c r="P556" s="23">
        <f t="shared" si="50"/>
        <v>0.45492927561080199</v>
      </c>
      <c r="Q556" s="23">
        <f t="shared" si="51"/>
        <v>1.5590892398090299</v>
      </c>
      <c r="R556" s="22">
        <f t="shared" si="52"/>
        <v>1.0071418476468601</v>
      </c>
      <c r="S556" s="22">
        <f t="shared" si="53"/>
        <v>2.0071418476468601</v>
      </c>
    </row>
    <row r="557" spans="1:19">
      <c r="A557" s="18" t="s">
        <v>596</v>
      </c>
      <c r="B557" s="18" t="s">
        <v>34</v>
      </c>
      <c r="C557" s="18" t="s">
        <v>41</v>
      </c>
      <c r="D557" s="19">
        <v>44839</v>
      </c>
      <c r="E557" s="20">
        <v>45460</v>
      </c>
      <c r="F557" s="21">
        <v>35326.400000000001</v>
      </c>
      <c r="G557" s="21">
        <v>15737.6</v>
      </c>
      <c r="H557" s="21">
        <v>10273.6</v>
      </c>
      <c r="I557" s="18">
        <v>4945.1360000000004</v>
      </c>
      <c r="J557" s="18">
        <v>18532.544000000002</v>
      </c>
      <c r="K557" s="18" t="s">
        <v>38</v>
      </c>
      <c r="L557" s="18" t="s">
        <v>31</v>
      </c>
      <c r="M557" s="18" t="s">
        <v>24</v>
      </c>
      <c r="N557" s="22">
        <f t="shared" si="48"/>
        <v>0.445491190724218</v>
      </c>
      <c r="O557" s="22">
        <f t="shared" si="49"/>
        <v>0.652806018706791</v>
      </c>
      <c r="P557" s="23">
        <f t="shared" si="50"/>
        <v>0.314224278161854</v>
      </c>
      <c r="Q557" s="23">
        <f t="shared" si="51"/>
        <v>0.48134402741006099</v>
      </c>
      <c r="R557" s="22">
        <f t="shared" si="52"/>
        <v>2.7476308032782102</v>
      </c>
      <c r="S557" s="22">
        <f t="shared" si="53"/>
        <v>3.7476308032782102</v>
      </c>
    </row>
    <row r="558" spans="1:19">
      <c r="A558" s="18" t="s">
        <v>597</v>
      </c>
      <c r="B558" s="18" t="s">
        <v>47</v>
      </c>
      <c r="C558" s="18" t="s">
        <v>41</v>
      </c>
      <c r="D558" s="19">
        <v>44696</v>
      </c>
      <c r="E558" s="20">
        <v>45324</v>
      </c>
      <c r="F558" s="21">
        <v>57065.599999999999</v>
      </c>
      <c r="G558" s="21">
        <v>35915.199999999997</v>
      </c>
      <c r="H558" s="21">
        <v>14595.2</v>
      </c>
      <c r="I558" s="18">
        <v>4170.7839999999997</v>
      </c>
      <c r="J558" s="18">
        <v>12920.944</v>
      </c>
      <c r="K558" s="18" t="s">
        <v>30</v>
      </c>
      <c r="L558" s="18" t="s">
        <v>31</v>
      </c>
      <c r="M558" s="18" t="s">
        <v>32</v>
      </c>
      <c r="N558" s="22">
        <f t="shared" si="48"/>
        <v>0.62936690405428097</v>
      </c>
      <c r="O558" s="22">
        <f t="shared" si="49"/>
        <v>0.40637947164431798</v>
      </c>
      <c r="P558" s="23">
        <f t="shared" si="50"/>
        <v>0.116128658618078</v>
      </c>
      <c r="Q558" s="23">
        <f t="shared" si="51"/>
        <v>0.28576408682306498</v>
      </c>
      <c r="R558" s="22">
        <f t="shared" si="52"/>
        <v>2.0979652746342201</v>
      </c>
      <c r="S558" s="22">
        <f t="shared" si="53"/>
        <v>3.0979652746342201</v>
      </c>
    </row>
    <row r="559" spans="1:19">
      <c r="A559" s="18" t="s">
        <v>598</v>
      </c>
      <c r="B559" s="18" t="s">
        <v>20</v>
      </c>
      <c r="C559" s="18" t="s">
        <v>21</v>
      </c>
      <c r="D559" s="19">
        <v>44841</v>
      </c>
      <c r="E559" s="20">
        <v>45461</v>
      </c>
      <c r="F559" s="21">
        <v>73995.199999999997</v>
      </c>
      <c r="G559" s="21">
        <v>5816</v>
      </c>
      <c r="H559" s="21">
        <v>233.6</v>
      </c>
      <c r="I559" s="18">
        <v>368.57600000000002</v>
      </c>
      <c r="J559" s="18">
        <v>528.54399999999998</v>
      </c>
      <c r="K559" s="18" t="s">
        <v>38</v>
      </c>
      <c r="L559" s="18" t="s">
        <v>35</v>
      </c>
      <c r="M559" s="18" t="s">
        <v>32</v>
      </c>
      <c r="N559" s="22">
        <f t="shared" si="48"/>
        <v>7.8599692953056396E-2</v>
      </c>
      <c r="O559" s="22">
        <f t="shared" si="49"/>
        <v>4.0165061898211799E-2</v>
      </c>
      <c r="P559" s="23">
        <f t="shared" si="50"/>
        <v>6.3372764786795099E-2</v>
      </c>
      <c r="Q559" s="23">
        <f t="shared" si="51"/>
        <v>1.57780821917808</v>
      </c>
      <c r="R559" s="22">
        <f t="shared" si="52"/>
        <v>0.43401632227817299</v>
      </c>
      <c r="S559" s="22">
        <f t="shared" si="53"/>
        <v>1.4340163222781701</v>
      </c>
    </row>
    <row r="560" spans="1:19">
      <c r="A560" s="18" t="s">
        <v>599</v>
      </c>
      <c r="B560" s="18" t="s">
        <v>26</v>
      </c>
      <c r="C560" s="18" t="s">
        <v>41</v>
      </c>
      <c r="D560" s="19">
        <v>44783</v>
      </c>
      <c r="E560" s="20">
        <v>45403</v>
      </c>
      <c r="F560" s="21">
        <v>2556.8000000000002</v>
      </c>
      <c r="G560" s="21">
        <v>2412.8000000000002</v>
      </c>
      <c r="H560" s="21">
        <v>1184</v>
      </c>
      <c r="I560" s="18">
        <v>5596</v>
      </c>
      <c r="J560" s="18">
        <v>18607.392</v>
      </c>
      <c r="K560" s="18" t="s">
        <v>38</v>
      </c>
      <c r="L560" s="18" t="s">
        <v>35</v>
      </c>
      <c r="M560" s="18" t="s">
        <v>32</v>
      </c>
      <c r="N560" s="22">
        <f t="shared" si="48"/>
        <v>0.94367959949937397</v>
      </c>
      <c r="O560" s="22">
        <f t="shared" si="49"/>
        <v>0.49071618037135301</v>
      </c>
      <c r="P560" s="23">
        <f t="shared" si="50"/>
        <v>2.31929708222812</v>
      </c>
      <c r="Q560" s="23">
        <f t="shared" si="51"/>
        <v>4.72635135135135</v>
      </c>
      <c r="R560" s="22">
        <f t="shared" si="52"/>
        <v>2.32512365975697</v>
      </c>
      <c r="S560" s="22">
        <f t="shared" si="53"/>
        <v>3.32512365975697</v>
      </c>
    </row>
    <row r="561" spans="1:19">
      <c r="A561" s="18" t="s">
        <v>600</v>
      </c>
      <c r="B561" s="18" t="s">
        <v>28</v>
      </c>
      <c r="C561" s="18" t="s">
        <v>21</v>
      </c>
      <c r="D561" s="19">
        <v>44786</v>
      </c>
      <c r="E561" s="20">
        <v>45412</v>
      </c>
      <c r="F561" s="21">
        <v>7056</v>
      </c>
      <c r="G561" s="21">
        <v>1089.5999999999999</v>
      </c>
      <c r="H561" s="21">
        <v>756.8</v>
      </c>
      <c r="I561" s="18">
        <v>2111.4879999999998</v>
      </c>
      <c r="J561" s="18">
        <v>5440.88</v>
      </c>
      <c r="K561" s="18" t="s">
        <v>43</v>
      </c>
      <c r="L561" s="18" t="s">
        <v>35</v>
      </c>
      <c r="M561" s="18" t="s">
        <v>24</v>
      </c>
      <c r="N561" s="22">
        <f t="shared" si="48"/>
        <v>0.154421768707483</v>
      </c>
      <c r="O561" s="22">
        <f t="shared" si="49"/>
        <v>0.69456681350954497</v>
      </c>
      <c r="P561" s="23">
        <f t="shared" si="50"/>
        <v>1.93785609397944</v>
      </c>
      <c r="Q561" s="23">
        <f t="shared" si="51"/>
        <v>2.7900211416490501</v>
      </c>
      <c r="R561" s="22">
        <f t="shared" si="52"/>
        <v>1.57679892095053</v>
      </c>
      <c r="S561" s="22">
        <f t="shared" si="53"/>
        <v>2.5767989209505302</v>
      </c>
    </row>
    <row r="562" spans="1:19">
      <c r="A562" s="18" t="s">
        <v>601</v>
      </c>
      <c r="B562" s="18" t="s">
        <v>40</v>
      </c>
      <c r="C562" s="18" t="s">
        <v>21</v>
      </c>
      <c r="D562" s="19">
        <v>44829</v>
      </c>
      <c r="E562" s="20">
        <v>45454</v>
      </c>
      <c r="F562" s="21">
        <v>73384</v>
      </c>
      <c r="G562" s="21">
        <v>54505.599999999999</v>
      </c>
      <c r="H562" s="21">
        <v>36932.800000000003</v>
      </c>
      <c r="I562" s="18">
        <v>7224.64</v>
      </c>
      <c r="J562" s="18">
        <v>22140.448</v>
      </c>
      <c r="K562" s="18" t="s">
        <v>38</v>
      </c>
      <c r="L562" s="18" t="s">
        <v>35</v>
      </c>
      <c r="M562" s="18" t="s">
        <v>32</v>
      </c>
      <c r="N562" s="22">
        <f t="shared" si="48"/>
        <v>0.74274501253679304</v>
      </c>
      <c r="O562" s="22">
        <f t="shared" si="49"/>
        <v>0.67759643045852203</v>
      </c>
      <c r="P562" s="23">
        <f t="shared" si="50"/>
        <v>0.13254858216403501</v>
      </c>
      <c r="Q562" s="23">
        <f t="shared" si="51"/>
        <v>0.195615821167093</v>
      </c>
      <c r="R562" s="22">
        <f t="shared" si="52"/>
        <v>2.06457456703725</v>
      </c>
      <c r="S562" s="22">
        <f t="shared" si="53"/>
        <v>3.06457456703725</v>
      </c>
    </row>
    <row r="563" spans="1:19">
      <c r="A563" s="18" t="s">
        <v>602</v>
      </c>
      <c r="B563" s="18" t="s">
        <v>28</v>
      </c>
      <c r="C563" s="18" t="s">
        <v>29</v>
      </c>
      <c r="D563" s="19">
        <v>44879</v>
      </c>
      <c r="E563" s="20">
        <v>45509</v>
      </c>
      <c r="F563" s="21">
        <v>36534.400000000001</v>
      </c>
      <c r="G563" s="21">
        <v>11995.2</v>
      </c>
      <c r="H563" s="21">
        <v>716.8</v>
      </c>
      <c r="I563" s="18">
        <v>1455.9839999999999</v>
      </c>
      <c r="J563" s="18">
        <v>3688.6880000000001</v>
      </c>
      <c r="K563" s="18" t="s">
        <v>30</v>
      </c>
      <c r="L563" s="18" t="s">
        <v>50</v>
      </c>
      <c r="M563" s="18" t="s">
        <v>24</v>
      </c>
      <c r="N563" s="22">
        <f t="shared" si="48"/>
        <v>0.32832618025751098</v>
      </c>
      <c r="O563" s="22">
        <f t="shared" si="49"/>
        <v>5.9757236227824501E-2</v>
      </c>
      <c r="P563" s="23">
        <f t="shared" si="50"/>
        <v>0.121380552220888</v>
      </c>
      <c r="Q563" s="23">
        <f t="shared" si="51"/>
        <v>2.0312276785714301</v>
      </c>
      <c r="R563" s="22">
        <f t="shared" si="52"/>
        <v>1.5334674007406699</v>
      </c>
      <c r="S563" s="22">
        <f t="shared" si="53"/>
        <v>2.5334674007406699</v>
      </c>
    </row>
    <row r="564" spans="1:19">
      <c r="A564" s="18" t="s">
        <v>603</v>
      </c>
      <c r="B564" s="18" t="s">
        <v>47</v>
      </c>
      <c r="C564" s="18" t="s">
        <v>29</v>
      </c>
      <c r="D564" s="19">
        <v>44782</v>
      </c>
      <c r="E564" s="20">
        <v>45400</v>
      </c>
      <c r="F564" s="21">
        <v>31396.799999999999</v>
      </c>
      <c r="G564" s="21">
        <v>23070.400000000001</v>
      </c>
      <c r="H564" s="21">
        <v>18212.8</v>
      </c>
      <c r="I564" s="18">
        <v>3138.096</v>
      </c>
      <c r="J564" s="18">
        <v>6320.0320000000002</v>
      </c>
      <c r="K564" s="18" t="s">
        <v>65</v>
      </c>
      <c r="L564" s="18" t="s">
        <v>23</v>
      </c>
      <c r="M564" s="18" t="s">
        <v>24</v>
      </c>
      <c r="N564" s="22">
        <f t="shared" si="48"/>
        <v>0.73480099882790595</v>
      </c>
      <c r="O564" s="22">
        <f t="shared" si="49"/>
        <v>0.78944448297385394</v>
      </c>
      <c r="P564" s="23">
        <f t="shared" si="50"/>
        <v>0.136022609057494</v>
      </c>
      <c r="Q564" s="23">
        <f t="shared" si="51"/>
        <v>0.17230167794078899</v>
      </c>
      <c r="R564" s="22">
        <f t="shared" si="52"/>
        <v>1.01397025457475</v>
      </c>
      <c r="S564" s="22">
        <f t="shared" si="53"/>
        <v>2.0139702545747502</v>
      </c>
    </row>
    <row r="565" spans="1:19">
      <c r="A565" s="18" t="s">
        <v>604</v>
      </c>
      <c r="B565" s="18" t="s">
        <v>26</v>
      </c>
      <c r="C565" s="18" t="s">
        <v>29</v>
      </c>
      <c r="D565" s="19">
        <v>44749</v>
      </c>
      <c r="E565" s="20">
        <v>45377</v>
      </c>
      <c r="F565" s="21">
        <v>64032</v>
      </c>
      <c r="G565" s="21">
        <v>61481.599999999999</v>
      </c>
      <c r="H565" s="21">
        <v>10681.6</v>
      </c>
      <c r="I565" s="18">
        <v>3353.0880000000002</v>
      </c>
      <c r="J565" s="18">
        <v>9711.5519999999997</v>
      </c>
      <c r="K565" s="18" t="s">
        <v>38</v>
      </c>
      <c r="L565" s="18" t="s">
        <v>50</v>
      </c>
      <c r="M565" s="18" t="s">
        <v>24</v>
      </c>
      <c r="N565" s="22">
        <f t="shared" si="48"/>
        <v>0.96016991504247895</v>
      </c>
      <c r="O565" s="22">
        <f t="shared" si="49"/>
        <v>0.17373653255608201</v>
      </c>
      <c r="P565" s="23">
        <f t="shared" si="50"/>
        <v>5.4538073179618E-2</v>
      </c>
      <c r="Q565" s="23">
        <f t="shared" si="51"/>
        <v>0.31391252246854401</v>
      </c>
      <c r="R565" s="22">
        <f t="shared" si="52"/>
        <v>1.8963009619789299</v>
      </c>
      <c r="S565" s="22">
        <f t="shared" si="53"/>
        <v>2.8963009619789299</v>
      </c>
    </row>
    <row r="566" spans="1:19">
      <c r="A566" s="18" t="s">
        <v>605</v>
      </c>
      <c r="B566" s="18" t="s">
        <v>47</v>
      </c>
      <c r="C566" s="18" t="s">
        <v>41</v>
      </c>
      <c r="D566" s="19">
        <v>44924</v>
      </c>
      <c r="E566" s="20">
        <v>45552</v>
      </c>
      <c r="F566" s="21">
        <v>65974.399999999994</v>
      </c>
      <c r="G566" s="21">
        <v>46536</v>
      </c>
      <c r="H566" s="21">
        <v>18310.400000000001</v>
      </c>
      <c r="I566" s="18">
        <v>7021.76</v>
      </c>
      <c r="J566" s="18">
        <v>19047.567999999999</v>
      </c>
      <c r="K566" s="18" t="s">
        <v>30</v>
      </c>
      <c r="L566" s="18" t="s">
        <v>23</v>
      </c>
      <c r="M566" s="18" t="s">
        <v>24</v>
      </c>
      <c r="N566" s="22">
        <f t="shared" si="48"/>
        <v>0.70536450502012904</v>
      </c>
      <c r="O566" s="22">
        <f t="shared" si="49"/>
        <v>0.39346742307031102</v>
      </c>
      <c r="P566" s="23">
        <f t="shared" si="50"/>
        <v>0.15088877428227601</v>
      </c>
      <c r="Q566" s="23">
        <f t="shared" si="51"/>
        <v>0.38348479552603998</v>
      </c>
      <c r="R566" s="22">
        <f t="shared" si="52"/>
        <v>1.71264868067265</v>
      </c>
      <c r="S566" s="22">
        <f t="shared" si="53"/>
        <v>2.71264868067265</v>
      </c>
    </row>
    <row r="567" spans="1:19">
      <c r="A567" s="18" t="s">
        <v>606</v>
      </c>
      <c r="B567" s="18" t="s">
        <v>26</v>
      </c>
      <c r="C567" s="18" t="s">
        <v>41</v>
      </c>
      <c r="D567" s="19">
        <v>44707</v>
      </c>
      <c r="E567" s="20">
        <v>45309</v>
      </c>
      <c r="F567" s="21">
        <v>3724.8</v>
      </c>
      <c r="G567" s="21">
        <v>3177.6</v>
      </c>
      <c r="H567" s="21">
        <v>339.2</v>
      </c>
      <c r="I567" s="18">
        <v>6262.4160000000002</v>
      </c>
      <c r="J567" s="18">
        <v>10397.808000000001</v>
      </c>
      <c r="K567" s="18" t="s">
        <v>65</v>
      </c>
      <c r="L567" s="18" t="s">
        <v>35</v>
      </c>
      <c r="M567" s="18" t="s">
        <v>32</v>
      </c>
      <c r="N567" s="22">
        <f t="shared" si="48"/>
        <v>0.85309278350515505</v>
      </c>
      <c r="O567" s="22">
        <f t="shared" si="49"/>
        <v>0.1067472306143</v>
      </c>
      <c r="P567" s="23">
        <f t="shared" si="50"/>
        <v>1.97080060422961</v>
      </c>
      <c r="Q567" s="23">
        <f t="shared" si="51"/>
        <v>18.462311320754701</v>
      </c>
      <c r="R567" s="22">
        <f t="shared" si="52"/>
        <v>0.66035089332934804</v>
      </c>
      <c r="S567" s="22">
        <f t="shared" si="53"/>
        <v>1.66035089332935</v>
      </c>
    </row>
    <row r="568" spans="1:19">
      <c r="A568" s="18" t="s">
        <v>607</v>
      </c>
      <c r="B568" s="18" t="s">
        <v>34</v>
      </c>
      <c r="C568" s="18" t="s">
        <v>29</v>
      </c>
      <c r="D568" s="19">
        <v>44971</v>
      </c>
      <c r="E568" s="20">
        <v>45594</v>
      </c>
      <c r="F568" s="21">
        <v>44934.400000000001</v>
      </c>
      <c r="G568" s="21">
        <v>3985.6</v>
      </c>
      <c r="H568" s="21">
        <v>3835.2</v>
      </c>
      <c r="I568" s="18">
        <v>7248.5119999999997</v>
      </c>
      <c r="J568" s="18">
        <v>18160.72</v>
      </c>
      <c r="K568" s="18" t="s">
        <v>43</v>
      </c>
      <c r="L568" s="18" t="s">
        <v>50</v>
      </c>
      <c r="M568" s="18" t="s">
        <v>32</v>
      </c>
      <c r="N568" s="22">
        <f t="shared" si="48"/>
        <v>8.8698191140863095E-2</v>
      </c>
      <c r="O568" s="22">
        <f t="shared" si="49"/>
        <v>0.96226415094339601</v>
      </c>
      <c r="P568" s="23">
        <f t="shared" si="50"/>
        <v>1.8186752308309899</v>
      </c>
      <c r="Q568" s="23">
        <f t="shared" si="51"/>
        <v>1.8899958281184801</v>
      </c>
      <c r="R568" s="22">
        <f t="shared" si="52"/>
        <v>1.5054411167423101</v>
      </c>
      <c r="S568" s="22">
        <f t="shared" si="53"/>
        <v>2.5054411167423098</v>
      </c>
    </row>
    <row r="569" spans="1:19">
      <c r="A569" s="18" t="s">
        <v>608</v>
      </c>
      <c r="B569" s="18" t="s">
        <v>40</v>
      </c>
      <c r="C569" s="18" t="s">
        <v>29</v>
      </c>
      <c r="D569" s="19">
        <v>44904</v>
      </c>
      <c r="E569" s="20">
        <v>45514</v>
      </c>
      <c r="F569" s="21">
        <v>67120</v>
      </c>
      <c r="G569" s="21">
        <v>9622.4</v>
      </c>
      <c r="H569" s="21">
        <v>8608</v>
      </c>
      <c r="I569" s="18">
        <v>949.6</v>
      </c>
      <c r="J569" s="18">
        <v>2681.3919999999998</v>
      </c>
      <c r="K569" s="18" t="s">
        <v>38</v>
      </c>
      <c r="L569" s="18" t="s">
        <v>23</v>
      </c>
      <c r="M569" s="18" t="s">
        <v>24</v>
      </c>
      <c r="N569" s="22">
        <f t="shared" si="48"/>
        <v>0.14336114421930901</v>
      </c>
      <c r="O569" s="22">
        <f t="shared" si="49"/>
        <v>0.89457931493182596</v>
      </c>
      <c r="P569" s="23">
        <f t="shared" si="50"/>
        <v>9.8686398403724604E-2</v>
      </c>
      <c r="Q569" s="23">
        <f t="shared" si="51"/>
        <v>0.110315985130112</v>
      </c>
      <c r="R569" s="22">
        <f t="shared" si="52"/>
        <v>1.82370682392586</v>
      </c>
      <c r="S569" s="22">
        <f t="shared" si="53"/>
        <v>2.82370682392586</v>
      </c>
    </row>
    <row r="570" spans="1:19">
      <c r="A570" s="18" t="s">
        <v>609</v>
      </c>
      <c r="B570" s="18" t="s">
        <v>28</v>
      </c>
      <c r="C570" s="18" t="s">
        <v>29</v>
      </c>
      <c r="D570" s="19">
        <v>44925</v>
      </c>
      <c r="E570" s="20">
        <v>45548</v>
      </c>
      <c r="F570" s="21">
        <v>33728</v>
      </c>
      <c r="G570" s="21">
        <v>12801.6</v>
      </c>
      <c r="H570" s="21">
        <v>10374.4</v>
      </c>
      <c r="I570" s="18">
        <v>4801.6319999999996</v>
      </c>
      <c r="J570" s="18">
        <v>9254.6080000000002</v>
      </c>
      <c r="K570" s="18" t="s">
        <v>65</v>
      </c>
      <c r="L570" s="18" t="s">
        <v>23</v>
      </c>
      <c r="M570" s="18" t="s">
        <v>24</v>
      </c>
      <c r="N570" s="22">
        <f t="shared" si="48"/>
        <v>0.37955407969639499</v>
      </c>
      <c r="O570" s="22">
        <f t="shared" si="49"/>
        <v>0.81039870016247995</v>
      </c>
      <c r="P570" s="23">
        <f t="shared" si="50"/>
        <v>0.37508061492313499</v>
      </c>
      <c r="Q570" s="23">
        <f t="shared" si="51"/>
        <v>0.46283466995681699</v>
      </c>
      <c r="R570" s="22">
        <f t="shared" si="52"/>
        <v>0.92738802140605503</v>
      </c>
      <c r="S570" s="22">
        <f t="shared" si="53"/>
        <v>1.9273880214060599</v>
      </c>
    </row>
    <row r="571" spans="1:19">
      <c r="A571" s="18" t="s">
        <v>610</v>
      </c>
      <c r="B571" s="18" t="s">
        <v>28</v>
      </c>
      <c r="C571" s="18" t="s">
        <v>21</v>
      </c>
      <c r="D571" s="19">
        <v>44752</v>
      </c>
      <c r="E571" s="20">
        <v>45379</v>
      </c>
      <c r="F571" s="21">
        <v>27374.400000000001</v>
      </c>
      <c r="G571" s="21">
        <v>3684.8</v>
      </c>
      <c r="H571" s="21">
        <v>3460.8</v>
      </c>
      <c r="I571" s="18">
        <v>2111.3119999999999</v>
      </c>
      <c r="J571" s="18">
        <v>8166.4</v>
      </c>
      <c r="K571" s="18" t="s">
        <v>43</v>
      </c>
      <c r="L571" s="18" t="s">
        <v>23</v>
      </c>
      <c r="M571" s="18" t="s">
        <v>24</v>
      </c>
      <c r="N571" s="22">
        <f t="shared" si="48"/>
        <v>0.13460751651177699</v>
      </c>
      <c r="O571" s="22">
        <f t="shared" si="49"/>
        <v>0.93920972644376899</v>
      </c>
      <c r="P571" s="23">
        <f t="shared" si="50"/>
        <v>0.57297872340425504</v>
      </c>
      <c r="Q571" s="23">
        <f t="shared" si="51"/>
        <v>0.61006472491909403</v>
      </c>
      <c r="R571" s="22">
        <f t="shared" si="52"/>
        <v>2.8679266730828998</v>
      </c>
      <c r="S571" s="22">
        <f t="shared" si="53"/>
        <v>3.8679266730828998</v>
      </c>
    </row>
    <row r="572" spans="1:19">
      <c r="A572" s="18" t="s">
        <v>611</v>
      </c>
      <c r="B572" s="18" t="s">
        <v>28</v>
      </c>
      <c r="C572" s="18" t="s">
        <v>41</v>
      </c>
      <c r="D572" s="19">
        <v>44712</v>
      </c>
      <c r="E572" s="20">
        <v>45316</v>
      </c>
      <c r="F572" s="21">
        <v>79508.800000000003</v>
      </c>
      <c r="G572" s="21">
        <v>10715.2</v>
      </c>
      <c r="H572" s="21">
        <v>2904</v>
      </c>
      <c r="I572" s="18">
        <v>6308.56</v>
      </c>
      <c r="J572" s="18">
        <v>13918.56</v>
      </c>
      <c r="K572" s="18" t="s">
        <v>38</v>
      </c>
      <c r="L572" s="18" t="s">
        <v>31</v>
      </c>
      <c r="M572" s="18" t="s">
        <v>24</v>
      </c>
      <c r="N572" s="22">
        <f t="shared" si="48"/>
        <v>0.13476747227979799</v>
      </c>
      <c r="O572" s="22">
        <f t="shared" si="49"/>
        <v>0.271016873226818</v>
      </c>
      <c r="P572" s="23">
        <f t="shared" si="50"/>
        <v>0.58874869344482605</v>
      </c>
      <c r="Q572" s="23">
        <f t="shared" si="51"/>
        <v>2.1723691460055101</v>
      </c>
      <c r="R572" s="22">
        <f t="shared" si="52"/>
        <v>1.20629747517659</v>
      </c>
      <c r="S572" s="22">
        <f t="shared" si="53"/>
        <v>2.2062974751765898</v>
      </c>
    </row>
    <row r="573" spans="1:19">
      <c r="A573" s="18" t="s">
        <v>612</v>
      </c>
      <c r="B573" s="18" t="s">
        <v>26</v>
      </c>
      <c r="C573" s="18" t="s">
        <v>48</v>
      </c>
      <c r="D573" s="19">
        <v>44828</v>
      </c>
      <c r="E573" s="20">
        <v>45455</v>
      </c>
      <c r="F573" s="21">
        <v>48606.400000000001</v>
      </c>
      <c r="G573" s="21">
        <v>2841.6</v>
      </c>
      <c r="H573" s="21">
        <v>2428.8000000000002</v>
      </c>
      <c r="I573" s="18">
        <v>2840.3359999999998</v>
      </c>
      <c r="J573" s="18">
        <v>11186.912</v>
      </c>
      <c r="K573" s="18" t="s">
        <v>22</v>
      </c>
      <c r="L573" s="18" t="s">
        <v>35</v>
      </c>
      <c r="M573" s="18" t="s">
        <v>32</v>
      </c>
      <c r="N573" s="22">
        <f t="shared" si="48"/>
        <v>5.8461437176997297E-2</v>
      </c>
      <c r="O573" s="22">
        <f t="shared" si="49"/>
        <v>0.85472972972973005</v>
      </c>
      <c r="P573" s="23">
        <f t="shared" si="50"/>
        <v>0.99955518018017997</v>
      </c>
      <c r="Q573" s="23">
        <f t="shared" si="51"/>
        <v>1.1694400527009201</v>
      </c>
      <c r="R573" s="22">
        <f t="shared" si="52"/>
        <v>2.9385875473887602</v>
      </c>
      <c r="S573" s="22">
        <f t="shared" si="53"/>
        <v>3.9385875473887602</v>
      </c>
    </row>
    <row r="574" spans="1:19">
      <c r="A574" s="18" t="s">
        <v>613</v>
      </c>
      <c r="B574" s="18" t="s">
        <v>47</v>
      </c>
      <c r="C574" s="18" t="s">
        <v>21</v>
      </c>
      <c r="D574" s="19">
        <v>44811</v>
      </c>
      <c r="E574" s="20">
        <v>45425</v>
      </c>
      <c r="F574" s="21">
        <v>24014.400000000001</v>
      </c>
      <c r="G574" s="21">
        <v>9772.7999999999993</v>
      </c>
      <c r="H574" s="21">
        <v>8556.7999999999993</v>
      </c>
      <c r="I574" s="18">
        <v>3723.8240000000001</v>
      </c>
      <c r="J574" s="18">
        <v>11447.936</v>
      </c>
      <c r="K574" s="18" t="s">
        <v>38</v>
      </c>
      <c r="L574" s="18" t="s">
        <v>31</v>
      </c>
      <c r="M574" s="18" t="s">
        <v>24</v>
      </c>
      <c r="N574" s="22">
        <f t="shared" si="48"/>
        <v>0.40695582650409801</v>
      </c>
      <c r="O574" s="22">
        <f t="shared" si="49"/>
        <v>0.87557301899148698</v>
      </c>
      <c r="P574" s="23">
        <f t="shared" si="50"/>
        <v>0.38103962017026899</v>
      </c>
      <c r="Q574" s="23">
        <f t="shared" si="51"/>
        <v>0.43518885564697102</v>
      </c>
      <c r="R574" s="22">
        <f t="shared" si="52"/>
        <v>2.0742419620261301</v>
      </c>
      <c r="S574" s="22">
        <f t="shared" si="53"/>
        <v>3.0742419620261301</v>
      </c>
    </row>
    <row r="575" spans="1:19">
      <c r="A575" s="18" t="s">
        <v>614</v>
      </c>
      <c r="B575" s="18" t="s">
        <v>28</v>
      </c>
      <c r="C575" s="18" t="s">
        <v>29</v>
      </c>
      <c r="D575" s="19">
        <v>44854</v>
      </c>
      <c r="E575" s="20">
        <v>45467</v>
      </c>
      <c r="F575" s="21">
        <v>47043.199999999997</v>
      </c>
      <c r="G575" s="21">
        <v>34278.400000000001</v>
      </c>
      <c r="H575" s="21">
        <v>1302.4000000000001</v>
      </c>
      <c r="I575" s="18">
        <v>4958.6559999999999</v>
      </c>
      <c r="J575" s="18">
        <v>11409.343999999999</v>
      </c>
      <c r="K575" s="18" t="s">
        <v>38</v>
      </c>
      <c r="L575" s="18" t="s">
        <v>23</v>
      </c>
      <c r="M575" s="18" t="s">
        <v>24</v>
      </c>
      <c r="N575" s="22">
        <f t="shared" si="48"/>
        <v>0.72865791442758998</v>
      </c>
      <c r="O575" s="22">
        <f t="shared" si="49"/>
        <v>3.7994772218073201E-2</v>
      </c>
      <c r="P575" s="23">
        <f t="shared" si="50"/>
        <v>0.14465832710978299</v>
      </c>
      <c r="Q575" s="23">
        <f t="shared" si="51"/>
        <v>3.8073218673218698</v>
      </c>
      <c r="R575" s="22">
        <f t="shared" si="52"/>
        <v>1.3008944359116701</v>
      </c>
      <c r="S575" s="22">
        <f t="shared" si="53"/>
        <v>2.3008944359116699</v>
      </c>
    </row>
    <row r="576" spans="1:19">
      <c r="A576" s="18" t="s">
        <v>615</v>
      </c>
      <c r="B576" s="18" t="s">
        <v>28</v>
      </c>
      <c r="C576" s="18" t="s">
        <v>29</v>
      </c>
      <c r="D576" s="19">
        <v>44784</v>
      </c>
      <c r="E576" s="20">
        <v>45400</v>
      </c>
      <c r="F576" s="21">
        <v>56667.199999999997</v>
      </c>
      <c r="G576" s="21">
        <v>47814.400000000001</v>
      </c>
      <c r="H576" s="21">
        <v>40953.599999999999</v>
      </c>
      <c r="I576" s="18">
        <v>3686.5439999999999</v>
      </c>
      <c r="J576" s="18">
        <v>8736.1919999999991</v>
      </c>
      <c r="K576" s="18" t="s">
        <v>30</v>
      </c>
      <c r="L576" s="18" t="s">
        <v>31</v>
      </c>
      <c r="M576" s="18" t="s">
        <v>24</v>
      </c>
      <c r="N576" s="22">
        <f t="shared" si="48"/>
        <v>0.84377558799446595</v>
      </c>
      <c r="O576" s="22">
        <f t="shared" si="49"/>
        <v>0.85651184580377404</v>
      </c>
      <c r="P576" s="23">
        <f t="shared" si="50"/>
        <v>7.7101124347476901E-2</v>
      </c>
      <c r="Q576" s="23">
        <f t="shared" si="51"/>
        <v>9.0017580872011296E-2</v>
      </c>
      <c r="R576" s="22">
        <f t="shared" si="52"/>
        <v>1.3697511815944701</v>
      </c>
      <c r="S576" s="22">
        <f t="shared" si="53"/>
        <v>2.3697511815944701</v>
      </c>
    </row>
    <row r="577" spans="1:19">
      <c r="A577" s="18" t="s">
        <v>616</v>
      </c>
      <c r="B577" s="18" t="s">
        <v>40</v>
      </c>
      <c r="C577" s="18" t="s">
        <v>48</v>
      </c>
      <c r="D577" s="19">
        <v>44705</v>
      </c>
      <c r="E577" s="20">
        <v>45314</v>
      </c>
      <c r="F577" s="21">
        <v>78457.600000000006</v>
      </c>
      <c r="G577" s="21">
        <v>16664</v>
      </c>
      <c r="H577" s="21">
        <v>4918.3999999999996</v>
      </c>
      <c r="I577" s="18">
        <v>1271.5840000000001</v>
      </c>
      <c r="J577" s="18">
        <v>4714.0640000000003</v>
      </c>
      <c r="K577" s="18" t="s">
        <v>43</v>
      </c>
      <c r="L577" s="18" t="s">
        <v>31</v>
      </c>
      <c r="M577" s="18" t="s">
        <v>24</v>
      </c>
      <c r="N577" s="22">
        <f t="shared" si="48"/>
        <v>0.21239497512031999</v>
      </c>
      <c r="O577" s="22">
        <f t="shared" si="49"/>
        <v>0.29515122419587098</v>
      </c>
      <c r="P577" s="23">
        <f t="shared" si="50"/>
        <v>7.6307249159865601E-2</v>
      </c>
      <c r="Q577" s="23">
        <f t="shared" si="51"/>
        <v>0.25853610930383902</v>
      </c>
      <c r="R577" s="22">
        <f t="shared" si="52"/>
        <v>2.70723758713542</v>
      </c>
      <c r="S577" s="22">
        <f t="shared" si="53"/>
        <v>3.70723758713542</v>
      </c>
    </row>
    <row r="578" spans="1:19">
      <c r="A578" s="18" t="s">
        <v>617</v>
      </c>
      <c r="B578" s="18" t="s">
        <v>20</v>
      </c>
      <c r="C578" s="18" t="s">
        <v>21</v>
      </c>
      <c r="D578" s="19">
        <v>44845</v>
      </c>
      <c r="E578" s="20">
        <v>45458</v>
      </c>
      <c r="F578" s="21">
        <v>28580.799999999999</v>
      </c>
      <c r="G578" s="21">
        <v>22265.599999999999</v>
      </c>
      <c r="H578" s="21">
        <v>8907.2000000000007</v>
      </c>
      <c r="I578" s="18">
        <v>2866.1439999999998</v>
      </c>
      <c r="J578" s="18">
        <v>4591.3280000000004</v>
      </c>
      <c r="K578" s="18" t="s">
        <v>43</v>
      </c>
      <c r="L578" s="18" t="s">
        <v>44</v>
      </c>
      <c r="M578" s="18" t="s">
        <v>24</v>
      </c>
      <c r="N578" s="22">
        <f t="shared" ref="N578:N641" si="54">G578/F578</f>
        <v>0.77904047472429006</v>
      </c>
      <c r="O578" s="22">
        <f t="shared" ref="O578:O641" si="55">H578/G578</f>
        <v>0.40004311583788399</v>
      </c>
      <c r="P578" s="23">
        <f t="shared" ref="P578:P641" si="56">I578/G578</f>
        <v>0.128725208393216</v>
      </c>
      <c r="Q578" s="23">
        <f t="shared" ref="Q578:Q641" si="57">I578/H578</f>
        <v>0.32177833662654898</v>
      </c>
      <c r="R578" s="22">
        <f t="shared" ref="R578:R641" si="58">(J578-I578)/I578</f>
        <v>0.60191811716368804</v>
      </c>
      <c r="S578" s="22">
        <f t="shared" ref="S578:S641" si="59">J578/I578</f>
        <v>1.60191811716369</v>
      </c>
    </row>
    <row r="579" spans="1:19">
      <c r="A579" s="18" t="s">
        <v>618</v>
      </c>
      <c r="B579" s="18" t="s">
        <v>28</v>
      </c>
      <c r="C579" s="18" t="s">
        <v>29</v>
      </c>
      <c r="D579" s="19">
        <v>44986</v>
      </c>
      <c r="E579" s="20">
        <v>45605</v>
      </c>
      <c r="F579" s="21">
        <v>7756.8</v>
      </c>
      <c r="G579" s="21">
        <v>238.4</v>
      </c>
      <c r="H579" s="21">
        <v>137.6</v>
      </c>
      <c r="I579" s="18">
        <v>4703.7439999999997</v>
      </c>
      <c r="J579" s="18">
        <v>6696</v>
      </c>
      <c r="K579" s="18" t="s">
        <v>30</v>
      </c>
      <c r="L579" s="18" t="s">
        <v>44</v>
      </c>
      <c r="M579" s="18" t="s">
        <v>24</v>
      </c>
      <c r="N579" s="22">
        <f t="shared" si="54"/>
        <v>3.07343234323432E-2</v>
      </c>
      <c r="O579" s="22">
        <f t="shared" si="55"/>
        <v>0.577181208053691</v>
      </c>
      <c r="P579" s="23">
        <f t="shared" si="56"/>
        <v>19.730469798657701</v>
      </c>
      <c r="Q579" s="23">
        <f t="shared" si="57"/>
        <v>34.184186046511599</v>
      </c>
      <c r="R579" s="22">
        <f t="shared" si="58"/>
        <v>0.42354685969304501</v>
      </c>
      <c r="S579" s="22">
        <f t="shared" si="59"/>
        <v>1.4235468596930401</v>
      </c>
    </row>
    <row r="580" spans="1:19">
      <c r="A580" s="18" t="s">
        <v>619</v>
      </c>
      <c r="B580" s="18" t="s">
        <v>28</v>
      </c>
      <c r="C580" s="18" t="s">
        <v>48</v>
      </c>
      <c r="D580" s="19">
        <v>44711</v>
      </c>
      <c r="E580" s="20">
        <v>45340</v>
      </c>
      <c r="F580" s="21">
        <v>29574.400000000001</v>
      </c>
      <c r="G580" s="21">
        <v>6908.8</v>
      </c>
      <c r="H580" s="21">
        <v>2796.8</v>
      </c>
      <c r="I580" s="18">
        <v>2945.9679999999998</v>
      </c>
      <c r="J580" s="18">
        <v>11156.64</v>
      </c>
      <c r="K580" s="18" t="s">
        <v>65</v>
      </c>
      <c r="L580" s="18" t="s">
        <v>23</v>
      </c>
      <c r="M580" s="18" t="s">
        <v>32</v>
      </c>
      <c r="N580" s="22">
        <f t="shared" si="54"/>
        <v>0.233607444276131</v>
      </c>
      <c r="O580" s="22">
        <f t="shared" si="55"/>
        <v>0.40481704492820803</v>
      </c>
      <c r="P580" s="23">
        <f t="shared" si="56"/>
        <v>0.426408059286707</v>
      </c>
      <c r="Q580" s="23">
        <f t="shared" si="57"/>
        <v>1.0533352402745999</v>
      </c>
      <c r="R580" s="22">
        <f t="shared" si="58"/>
        <v>2.7870879792312699</v>
      </c>
      <c r="S580" s="22">
        <f t="shared" si="59"/>
        <v>3.7870879792312699</v>
      </c>
    </row>
    <row r="581" spans="1:19">
      <c r="A581" s="18" t="s">
        <v>620</v>
      </c>
      <c r="B581" s="18" t="s">
        <v>20</v>
      </c>
      <c r="C581" s="18" t="s">
        <v>29</v>
      </c>
      <c r="D581" s="19">
        <v>44918</v>
      </c>
      <c r="E581" s="20">
        <v>45523</v>
      </c>
      <c r="F581" s="21">
        <v>10435.200000000001</v>
      </c>
      <c r="G581" s="21">
        <v>7844.8</v>
      </c>
      <c r="H581" s="21">
        <v>4716.8</v>
      </c>
      <c r="I581" s="18">
        <v>7442.16</v>
      </c>
      <c r="J581" s="18">
        <v>11672.448</v>
      </c>
      <c r="K581" s="18" t="s">
        <v>65</v>
      </c>
      <c r="L581" s="18" t="s">
        <v>50</v>
      </c>
      <c r="M581" s="18" t="s">
        <v>24</v>
      </c>
      <c r="N581" s="22">
        <f t="shared" si="54"/>
        <v>0.75176326280282102</v>
      </c>
      <c r="O581" s="22">
        <f t="shared" si="55"/>
        <v>0.60126453191923301</v>
      </c>
      <c r="P581" s="23">
        <f t="shared" si="56"/>
        <v>0.94867428105241702</v>
      </c>
      <c r="Q581" s="23">
        <f t="shared" si="57"/>
        <v>1.5777985074626899</v>
      </c>
      <c r="R581" s="22">
        <f t="shared" si="58"/>
        <v>0.56842207101164199</v>
      </c>
      <c r="S581" s="22">
        <f t="shared" si="59"/>
        <v>1.5684220710116401</v>
      </c>
    </row>
    <row r="582" spans="1:19">
      <c r="A582" s="18" t="s">
        <v>621</v>
      </c>
      <c r="B582" s="18" t="s">
        <v>26</v>
      </c>
      <c r="C582" s="18" t="s">
        <v>21</v>
      </c>
      <c r="D582" s="19">
        <v>44877</v>
      </c>
      <c r="E582" s="20">
        <v>45484</v>
      </c>
      <c r="F582" s="21">
        <v>20115.2</v>
      </c>
      <c r="G582" s="21">
        <v>7475.2</v>
      </c>
      <c r="H582" s="21">
        <v>6568</v>
      </c>
      <c r="I582" s="18">
        <v>6405.5519999999997</v>
      </c>
      <c r="J582" s="18">
        <v>18610.223999999998</v>
      </c>
      <c r="K582" s="18" t="s">
        <v>65</v>
      </c>
      <c r="L582" s="18" t="s">
        <v>31</v>
      </c>
      <c r="M582" s="18" t="s">
        <v>24</v>
      </c>
      <c r="N582" s="22">
        <f t="shared" si="54"/>
        <v>0.37161947184218902</v>
      </c>
      <c r="O582" s="22">
        <f t="shared" si="55"/>
        <v>0.87863869863013699</v>
      </c>
      <c r="P582" s="23">
        <f t="shared" si="56"/>
        <v>0.85690710616438404</v>
      </c>
      <c r="Q582" s="23">
        <f t="shared" si="57"/>
        <v>0.97526674786845302</v>
      </c>
      <c r="R582" s="22">
        <f t="shared" si="58"/>
        <v>1.90532712871584</v>
      </c>
      <c r="S582" s="22">
        <f t="shared" si="59"/>
        <v>2.90532712871584</v>
      </c>
    </row>
    <row r="583" spans="1:19">
      <c r="A583" s="18" t="s">
        <v>622</v>
      </c>
      <c r="B583" s="18" t="s">
        <v>40</v>
      </c>
      <c r="C583" s="18" t="s">
        <v>29</v>
      </c>
      <c r="D583" s="19">
        <v>44866</v>
      </c>
      <c r="E583" s="20">
        <v>45471</v>
      </c>
      <c r="F583" s="21">
        <v>52579.199999999997</v>
      </c>
      <c r="G583" s="21">
        <v>8243.2000000000007</v>
      </c>
      <c r="H583" s="21">
        <v>7880</v>
      </c>
      <c r="I583" s="18">
        <v>504.99200000000002</v>
      </c>
      <c r="J583" s="18">
        <v>1866.64</v>
      </c>
      <c r="K583" s="18" t="s">
        <v>65</v>
      </c>
      <c r="L583" s="18" t="s">
        <v>31</v>
      </c>
      <c r="M583" s="18" t="s">
        <v>24</v>
      </c>
      <c r="N583" s="22">
        <f t="shared" si="54"/>
        <v>0.15677682429553899</v>
      </c>
      <c r="O583" s="22">
        <f t="shared" si="55"/>
        <v>0.95593944099378902</v>
      </c>
      <c r="P583" s="23">
        <f t="shared" si="56"/>
        <v>6.1261645962732897E-2</v>
      </c>
      <c r="Q583" s="23">
        <f t="shared" si="57"/>
        <v>6.4085279187817298E-2</v>
      </c>
      <c r="R583" s="22">
        <f t="shared" si="58"/>
        <v>2.6963753881249599</v>
      </c>
      <c r="S583" s="22">
        <f t="shared" si="59"/>
        <v>3.6963753881249599</v>
      </c>
    </row>
    <row r="584" spans="1:19">
      <c r="A584" s="18" t="s">
        <v>623</v>
      </c>
      <c r="B584" s="18" t="s">
        <v>47</v>
      </c>
      <c r="C584" s="18" t="s">
        <v>21</v>
      </c>
      <c r="D584" s="19">
        <v>44898</v>
      </c>
      <c r="E584" s="20">
        <v>45500</v>
      </c>
      <c r="F584" s="21">
        <v>78604.800000000003</v>
      </c>
      <c r="G584" s="21">
        <v>59464</v>
      </c>
      <c r="H584" s="21">
        <v>41614.400000000001</v>
      </c>
      <c r="I584" s="18">
        <v>338.43200000000002</v>
      </c>
      <c r="J584" s="18">
        <v>1218.7360000000001</v>
      </c>
      <c r="K584" s="18" t="s">
        <v>43</v>
      </c>
      <c r="L584" s="18" t="s">
        <v>44</v>
      </c>
      <c r="M584" s="18" t="s">
        <v>32</v>
      </c>
      <c r="N584" s="22">
        <f t="shared" si="54"/>
        <v>0.75649324214297298</v>
      </c>
      <c r="O584" s="22">
        <f t="shared" si="55"/>
        <v>0.69982510426476496</v>
      </c>
      <c r="P584" s="23">
        <f t="shared" si="56"/>
        <v>5.6913762949011197E-3</v>
      </c>
      <c r="Q584" s="23">
        <f t="shared" si="57"/>
        <v>8.1325694951747494E-3</v>
      </c>
      <c r="R584" s="22">
        <f t="shared" si="58"/>
        <v>2.6011251891074099</v>
      </c>
      <c r="S584" s="22">
        <f t="shared" si="59"/>
        <v>3.6011251891074099</v>
      </c>
    </row>
    <row r="585" spans="1:19">
      <c r="A585" s="18" t="s">
        <v>624</v>
      </c>
      <c r="B585" s="18" t="s">
        <v>40</v>
      </c>
      <c r="C585" s="18" t="s">
        <v>21</v>
      </c>
      <c r="D585" s="19">
        <v>44733</v>
      </c>
      <c r="E585" s="20">
        <v>45359</v>
      </c>
      <c r="F585" s="21">
        <v>5579.2</v>
      </c>
      <c r="G585" s="21">
        <v>2048</v>
      </c>
      <c r="H585" s="21">
        <v>969.6</v>
      </c>
      <c r="I585" s="18">
        <v>2533.0079999999998</v>
      </c>
      <c r="J585" s="18">
        <v>4315.3599999999997</v>
      </c>
      <c r="K585" s="18" t="s">
        <v>65</v>
      </c>
      <c r="L585" s="18" t="s">
        <v>50</v>
      </c>
      <c r="M585" s="18" t="s">
        <v>32</v>
      </c>
      <c r="N585" s="22">
        <f t="shared" si="54"/>
        <v>0.36707771723544602</v>
      </c>
      <c r="O585" s="22">
        <f t="shared" si="55"/>
        <v>0.47343750000000001</v>
      </c>
      <c r="P585" s="23">
        <f t="shared" si="56"/>
        <v>1.2368203124999999</v>
      </c>
      <c r="Q585" s="23">
        <f t="shared" si="57"/>
        <v>2.6124257425742599</v>
      </c>
      <c r="R585" s="22">
        <f t="shared" si="58"/>
        <v>0.70365036352036803</v>
      </c>
      <c r="S585" s="22">
        <f t="shared" si="59"/>
        <v>1.7036503635203699</v>
      </c>
    </row>
    <row r="586" spans="1:19">
      <c r="A586" s="18" t="s">
        <v>625</v>
      </c>
      <c r="B586" s="18" t="s">
        <v>28</v>
      </c>
      <c r="C586" s="18" t="s">
        <v>48</v>
      </c>
      <c r="D586" s="19">
        <v>44835</v>
      </c>
      <c r="E586" s="20">
        <v>45458</v>
      </c>
      <c r="F586" s="21">
        <v>35622.400000000001</v>
      </c>
      <c r="G586" s="21">
        <v>19496</v>
      </c>
      <c r="H586" s="21">
        <v>4585.6000000000004</v>
      </c>
      <c r="I586" s="18">
        <v>1336.192</v>
      </c>
      <c r="J586" s="18">
        <v>5298.6239999999998</v>
      </c>
      <c r="K586" s="18" t="s">
        <v>38</v>
      </c>
      <c r="L586" s="18" t="s">
        <v>44</v>
      </c>
      <c r="M586" s="18" t="s">
        <v>24</v>
      </c>
      <c r="N586" s="22">
        <f t="shared" si="54"/>
        <v>0.54729608336327695</v>
      </c>
      <c r="O586" s="22">
        <f t="shared" si="55"/>
        <v>0.23520722199425501</v>
      </c>
      <c r="P586" s="23">
        <f t="shared" si="56"/>
        <v>6.8536725482150201E-2</v>
      </c>
      <c r="Q586" s="23">
        <f t="shared" si="57"/>
        <v>0.29138869504535903</v>
      </c>
      <c r="R586" s="22">
        <f t="shared" si="58"/>
        <v>2.9654660408085101</v>
      </c>
      <c r="S586" s="22">
        <f t="shared" si="59"/>
        <v>3.9654660408085101</v>
      </c>
    </row>
    <row r="587" spans="1:19">
      <c r="A587" s="18" t="s">
        <v>626</v>
      </c>
      <c r="B587" s="18" t="s">
        <v>40</v>
      </c>
      <c r="C587" s="18" t="s">
        <v>29</v>
      </c>
      <c r="D587" s="19">
        <v>44951</v>
      </c>
      <c r="E587" s="20">
        <v>45577</v>
      </c>
      <c r="F587" s="21">
        <v>52876.800000000003</v>
      </c>
      <c r="G587" s="21">
        <v>6836.8</v>
      </c>
      <c r="H587" s="21">
        <v>1654.4</v>
      </c>
      <c r="I587" s="18">
        <v>551.45600000000002</v>
      </c>
      <c r="J587" s="18">
        <v>2103.808</v>
      </c>
      <c r="K587" s="18" t="s">
        <v>22</v>
      </c>
      <c r="L587" s="18" t="s">
        <v>23</v>
      </c>
      <c r="M587" s="18" t="s">
        <v>24</v>
      </c>
      <c r="N587" s="22">
        <f t="shared" si="54"/>
        <v>0.129296780440571</v>
      </c>
      <c r="O587" s="22">
        <f t="shared" si="55"/>
        <v>0.24198455417739301</v>
      </c>
      <c r="P587" s="23">
        <f t="shared" si="56"/>
        <v>8.0659957875029206E-2</v>
      </c>
      <c r="Q587" s="23">
        <f t="shared" si="57"/>
        <v>0.33332688588007697</v>
      </c>
      <c r="R587" s="22">
        <f t="shared" si="58"/>
        <v>2.81500609296118</v>
      </c>
      <c r="S587" s="22">
        <f t="shared" si="59"/>
        <v>3.81500609296118</v>
      </c>
    </row>
    <row r="588" spans="1:19">
      <c r="A588" s="18" t="s">
        <v>627</v>
      </c>
      <c r="B588" s="18" t="s">
        <v>40</v>
      </c>
      <c r="C588" s="18" t="s">
        <v>41</v>
      </c>
      <c r="D588" s="19">
        <v>44963</v>
      </c>
      <c r="E588" s="20">
        <v>45579</v>
      </c>
      <c r="F588" s="21">
        <v>66576</v>
      </c>
      <c r="G588" s="21">
        <v>7257.6</v>
      </c>
      <c r="H588" s="21">
        <v>1838.4</v>
      </c>
      <c r="I588" s="18">
        <v>3043.5360000000001</v>
      </c>
      <c r="J588" s="18">
        <v>3849.6480000000001</v>
      </c>
      <c r="K588" s="18" t="s">
        <v>43</v>
      </c>
      <c r="L588" s="18" t="s">
        <v>44</v>
      </c>
      <c r="M588" s="18" t="s">
        <v>24</v>
      </c>
      <c r="N588" s="22">
        <f t="shared" si="54"/>
        <v>0.10901225666907</v>
      </c>
      <c r="O588" s="22">
        <f t="shared" si="55"/>
        <v>0.25330687830687798</v>
      </c>
      <c r="P588" s="23">
        <f t="shared" si="56"/>
        <v>0.41935846560846601</v>
      </c>
      <c r="Q588" s="23">
        <f t="shared" si="57"/>
        <v>1.65553524804178</v>
      </c>
      <c r="R588" s="22">
        <f t="shared" si="58"/>
        <v>0.26486034664942398</v>
      </c>
      <c r="S588" s="22">
        <f t="shared" si="59"/>
        <v>1.2648603466494199</v>
      </c>
    </row>
    <row r="589" spans="1:19">
      <c r="A589" s="18" t="s">
        <v>628</v>
      </c>
      <c r="B589" s="18" t="s">
        <v>20</v>
      </c>
      <c r="C589" s="18" t="s">
        <v>48</v>
      </c>
      <c r="D589" s="19">
        <v>44733</v>
      </c>
      <c r="E589" s="20">
        <v>45334</v>
      </c>
      <c r="F589" s="21">
        <v>48296</v>
      </c>
      <c r="G589" s="21">
        <v>21472</v>
      </c>
      <c r="H589" s="21">
        <v>7190.4</v>
      </c>
      <c r="I589" s="18">
        <v>1934.816</v>
      </c>
      <c r="J589" s="18">
        <v>5266.4960000000001</v>
      </c>
      <c r="K589" s="18" t="s">
        <v>38</v>
      </c>
      <c r="L589" s="18" t="s">
        <v>50</v>
      </c>
      <c r="M589" s="18" t="s">
        <v>24</v>
      </c>
      <c r="N589" s="22">
        <f t="shared" si="54"/>
        <v>0.44459168461156201</v>
      </c>
      <c r="O589" s="22">
        <f t="shared" si="55"/>
        <v>0.33487332339791398</v>
      </c>
      <c r="P589" s="23">
        <f t="shared" si="56"/>
        <v>9.0108792846497796E-2</v>
      </c>
      <c r="Q589" s="23">
        <f t="shared" si="57"/>
        <v>0.26908322207387603</v>
      </c>
      <c r="R589" s="22">
        <f t="shared" si="58"/>
        <v>1.7219621917536301</v>
      </c>
      <c r="S589" s="22">
        <f t="shared" si="59"/>
        <v>2.7219621917536299</v>
      </c>
    </row>
    <row r="590" spans="1:19">
      <c r="A590" s="18" t="s">
        <v>629</v>
      </c>
      <c r="B590" s="18" t="s">
        <v>26</v>
      </c>
      <c r="C590" s="18" t="s">
        <v>41</v>
      </c>
      <c r="D590" s="19">
        <v>44959</v>
      </c>
      <c r="E590" s="20">
        <v>45573</v>
      </c>
      <c r="F590" s="21">
        <v>27350.400000000001</v>
      </c>
      <c r="G590" s="21">
        <v>1340.8</v>
      </c>
      <c r="H590" s="21">
        <v>190.4</v>
      </c>
      <c r="I590" s="18">
        <v>6970.4160000000002</v>
      </c>
      <c r="J590" s="18">
        <v>20544.16</v>
      </c>
      <c r="K590" s="18" t="s">
        <v>22</v>
      </c>
      <c r="L590" s="18" t="s">
        <v>31</v>
      </c>
      <c r="M590" s="18" t="s">
        <v>32</v>
      </c>
      <c r="N590" s="22">
        <f t="shared" si="54"/>
        <v>4.9023049023048999E-2</v>
      </c>
      <c r="O590" s="22">
        <f t="shared" si="55"/>
        <v>0.14200477326968999</v>
      </c>
      <c r="P590" s="23">
        <f t="shared" si="56"/>
        <v>5.1986992840095496</v>
      </c>
      <c r="Q590" s="23">
        <f t="shared" si="57"/>
        <v>36.609327731092399</v>
      </c>
      <c r="R590" s="22">
        <f t="shared" si="58"/>
        <v>1.94733628523749</v>
      </c>
      <c r="S590" s="22">
        <f t="shared" si="59"/>
        <v>2.94733628523749</v>
      </c>
    </row>
    <row r="591" spans="1:19">
      <c r="A591" s="18" t="s">
        <v>630</v>
      </c>
      <c r="B591" s="18" t="s">
        <v>28</v>
      </c>
      <c r="C591" s="18" t="s">
        <v>41</v>
      </c>
      <c r="D591" s="19">
        <v>44827</v>
      </c>
      <c r="E591" s="20">
        <v>45451</v>
      </c>
      <c r="F591" s="21">
        <v>50572.800000000003</v>
      </c>
      <c r="G591" s="21">
        <v>37582.400000000001</v>
      </c>
      <c r="H591" s="21">
        <v>20268.8</v>
      </c>
      <c r="I591" s="18">
        <v>5281.92</v>
      </c>
      <c r="J591" s="18">
        <v>8696.3680000000004</v>
      </c>
      <c r="K591" s="18" t="s">
        <v>38</v>
      </c>
      <c r="L591" s="18" t="s">
        <v>50</v>
      </c>
      <c r="M591" s="18" t="s">
        <v>32</v>
      </c>
      <c r="N591" s="22">
        <f t="shared" si="54"/>
        <v>0.74313464945583396</v>
      </c>
      <c r="O591" s="22">
        <f t="shared" si="55"/>
        <v>0.53931627570352103</v>
      </c>
      <c r="P591" s="23">
        <f t="shared" si="56"/>
        <v>0.140542381540295</v>
      </c>
      <c r="Q591" s="23">
        <f t="shared" si="57"/>
        <v>0.260593621724029</v>
      </c>
      <c r="R591" s="22">
        <f t="shared" si="58"/>
        <v>0.64644068823458101</v>
      </c>
      <c r="S591" s="22">
        <f t="shared" si="59"/>
        <v>1.6464406882345799</v>
      </c>
    </row>
    <row r="592" spans="1:19">
      <c r="A592" s="18" t="s">
        <v>631</v>
      </c>
      <c r="B592" s="18" t="s">
        <v>20</v>
      </c>
      <c r="C592" s="18" t="s">
        <v>48</v>
      </c>
      <c r="D592" s="19">
        <v>44950</v>
      </c>
      <c r="E592" s="20">
        <v>45553</v>
      </c>
      <c r="F592" s="21">
        <v>76459.199999999997</v>
      </c>
      <c r="G592" s="21">
        <v>47272</v>
      </c>
      <c r="H592" s="21">
        <v>10160</v>
      </c>
      <c r="I592" s="18">
        <v>4450.8159999999998</v>
      </c>
      <c r="J592" s="18">
        <v>8475.92</v>
      </c>
      <c r="K592" s="18" t="s">
        <v>30</v>
      </c>
      <c r="L592" s="18" t="s">
        <v>35</v>
      </c>
      <c r="M592" s="18" t="s">
        <v>32</v>
      </c>
      <c r="N592" s="22">
        <f t="shared" si="54"/>
        <v>0.61826438152635699</v>
      </c>
      <c r="O592" s="22">
        <f t="shared" si="55"/>
        <v>0.214926383482823</v>
      </c>
      <c r="P592" s="23">
        <f t="shared" si="56"/>
        <v>9.4153325435775898E-2</v>
      </c>
      <c r="Q592" s="23">
        <f t="shared" si="57"/>
        <v>0.43807244094488201</v>
      </c>
      <c r="R592" s="22">
        <f t="shared" si="58"/>
        <v>0.90435192108593099</v>
      </c>
      <c r="S592" s="22">
        <f t="shared" si="59"/>
        <v>1.9043519210859301</v>
      </c>
    </row>
    <row r="593" spans="1:19">
      <c r="A593" s="18" t="s">
        <v>632</v>
      </c>
      <c r="B593" s="18" t="s">
        <v>34</v>
      </c>
      <c r="C593" s="18" t="s">
        <v>48</v>
      </c>
      <c r="D593" s="19">
        <v>44896</v>
      </c>
      <c r="E593" s="20">
        <v>45521</v>
      </c>
      <c r="F593" s="21">
        <v>24260.799999999999</v>
      </c>
      <c r="G593" s="21">
        <v>12897.6</v>
      </c>
      <c r="H593" s="21">
        <v>6841.6</v>
      </c>
      <c r="I593" s="18">
        <v>4297.5519999999997</v>
      </c>
      <c r="J593" s="18">
        <v>8296.2720000000008</v>
      </c>
      <c r="K593" s="18" t="s">
        <v>30</v>
      </c>
      <c r="L593" s="18" t="s">
        <v>44</v>
      </c>
      <c r="M593" s="18" t="s">
        <v>32</v>
      </c>
      <c r="N593" s="22">
        <f t="shared" si="54"/>
        <v>0.53162302974345499</v>
      </c>
      <c r="O593" s="22">
        <f t="shared" si="55"/>
        <v>0.53045527850142704</v>
      </c>
      <c r="P593" s="23">
        <f t="shared" si="56"/>
        <v>0.33320555762312398</v>
      </c>
      <c r="Q593" s="23">
        <f t="shared" si="57"/>
        <v>0.62815014031805405</v>
      </c>
      <c r="R593" s="22">
        <f t="shared" si="58"/>
        <v>0.93046459938122905</v>
      </c>
      <c r="S593" s="22">
        <f t="shared" si="59"/>
        <v>1.9304645993812299</v>
      </c>
    </row>
    <row r="594" spans="1:19">
      <c r="A594" s="18" t="s">
        <v>633</v>
      </c>
      <c r="B594" s="18" t="s">
        <v>26</v>
      </c>
      <c r="C594" s="18" t="s">
        <v>41</v>
      </c>
      <c r="D594" s="19">
        <v>44901</v>
      </c>
      <c r="E594" s="20">
        <v>45504</v>
      </c>
      <c r="F594" s="21">
        <v>78774.399999999994</v>
      </c>
      <c r="G594" s="21">
        <v>18761.599999999999</v>
      </c>
      <c r="H594" s="21">
        <v>9460.7999999999993</v>
      </c>
      <c r="I594" s="18">
        <v>6215.3280000000004</v>
      </c>
      <c r="J594" s="18">
        <v>13591.567999999999</v>
      </c>
      <c r="K594" s="18" t="s">
        <v>43</v>
      </c>
      <c r="L594" s="18" t="s">
        <v>23</v>
      </c>
      <c r="M594" s="18" t="s">
        <v>24</v>
      </c>
      <c r="N594" s="22">
        <f t="shared" si="54"/>
        <v>0.23816874517609801</v>
      </c>
      <c r="O594" s="22">
        <f t="shared" si="55"/>
        <v>0.504264028654273</v>
      </c>
      <c r="P594" s="23">
        <f t="shared" si="56"/>
        <v>0.33127920859628202</v>
      </c>
      <c r="Q594" s="23">
        <f t="shared" si="57"/>
        <v>0.65695585996955896</v>
      </c>
      <c r="R594" s="22">
        <f t="shared" si="58"/>
        <v>1.1867820974210901</v>
      </c>
      <c r="S594" s="22">
        <f t="shared" si="59"/>
        <v>2.1867820974210801</v>
      </c>
    </row>
    <row r="595" spans="1:19">
      <c r="A595" s="18" t="s">
        <v>634</v>
      </c>
      <c r="B595" s="18" t="s">
        <v>47</v>
      </c>
      <c r="C595" s="18" t="s">
        <v>48</v>
      </c>
      <c r="D595" s="19">
        <v>44908</v>
      </c>
      <c r="E595" s="20">
        <v>45535</v>
      </c>
      <c r="F595" s="21">
        <v>49697.599999999999</v>
      </c>
      <c r="G595" s="21">
        <v>20097.599999999999</v>
      </c>
      <c r="H595" s="21">
        <v>6891.2</v>
      </c>
      <c r="I595" s="18">
        <v>1814.7840000000001</v>
      </c>
      <c r="J595" s="18">
        <v>3931.12</v>
      </c>
      <c r="K595" s="18" t="s">
        <v>38</v>
      </c>
      <c r="L595" s="18" t="s">
        <v>31</v>
      </c>
      <c r="M595" s="18" t="s">
        <v>32</v>
      </c>
      <c r="N595" s="22">
        <f t="shared" si="54"/>
        <v>0.40439779788158797</v>
      </c>
      <c r="O595" s="22">
        <f t="shared" si="55"/>
        <v>0.34288671284133398</v>
      </c>
      <c r="P595" s="23">
        <f t="shared" si="56"/>
        <v>9.0298543109624999E-2</v>
      </c>
      <c r="Q595" s="23">
        <f t="shared" si="57"/>
        <v>0.26334803807754797</v>
      </c>
      <c r="R595" s="22">
        <f t="shared" si="58"/>
        <v>1.16616412752151</v>
      </c>
      <c r="S595" s="22">
        <f t="shared" si="59"/>
        <v>2.16616412752151</v>
      </c>
    </row>
    <row r="596" spans="1:19">
      <c r="A596" s="18" t="s">
        <v>635</v>
      </c>
      <c r="B596" s="18" t="s">
        <v>26</v>
      </c>
      <c r="C596" s="18" t="s">
        <v>21</v>
      </c>
      <c r="D596" s="19">
        <v>44729</v>
      </c>
      <c r="E596" s="20">
        <v>45339</v>
      </c>
      <c r="F596" s="21">
        <v>44283.199999999997</v>
      </c>
      <c r="G596" s="21">
        <v>20433.599999999999</v>
      </c>
      <c r="H596" s="21">
        <v>16508.8</v>
      </c>
      <c r="I596" s="18">
        <v>1879.4880000000001</v>
      </c>
      <c r="J596" s="18">
        <v>4515.6480000000001</v>
      </c>
      <c r="K596" s="18" t="s">
        <v>30</v>
      </c>
      <c r="L596" s="18" t="s">
        <v>23</v>
      </c>
      <c r="M596" s="18" t="s">
        <v>24</v>
      </c>
      <c r="N596" s="22">
        <f t="shared" si="54"/>
        <v>0.46143006828774802</v>
      </c>
      <c r="O596" s="22">
        <f t="shared" si="55"/>
        <v>0.80792420327304004</v>
      </c>
      <c r="P596" s="23">
        <f t="shared" si="56"/>
        <v>9.1980267794221304E-2</v>
      </c>
      <c r="Q596" s="23">
        <f t="shared" si="57"/>
        <v>0.113847644892421</v>
      </c>
      <c r="R596" s="22">
        <f t="shared" si="58"/>
        <v>1.40259474920829</v>
      </c>
      <c r="S596" s="22">
        <f t="shared" si="59"/>
        <v>2.4025947492082902</v>
      </c>
    </row>
    <row r="597" spans="1:19">
      <c r="A597" s="18" t="s">
        <v>636</v>
      </c>
      <c r="B597" s="18" t="s">
        <v>26</v>
      </c>
      <c r="C597" s="18" t="s">
        <v>21</v>
      </c>
      <c r="D597" s="19">
        <v>44934</v>
      </c>
      <c r="E597" s="20">
        <v>45549</v>
      </c>
      <c r="F597" s="21">
        <v>50025.599999999999</v>
      </c>
      <c r="G597" s="21">
        <v>47075.199999999997</v>
      </c>
      <c r="H597" s="21">
        <v>14382.4</v>
      </c>
      <c r="I597" s="18">
        <v>5438.4</v>
      </c>
      <c r="J597" s="18">
        <v>16682.784</v>
      </c>
      <c r="K597" s="18" t="s">
        <v>22</v>
      </c>
      <c r="L597" s="18" t="s">
        <v>44</v>
      </c>
      <c r="M597" s="18" t="s">
        <v>32</v>
      </c>
      <c r="N597" s="22">
        <f t="shared" si="54"/>
        <v>0.94102219663532305</v>
      </c>
      <c r="O597" s="22">
        <f t="shared" si="55"/>
        <v>0.30551967915165501</v>
      </c>
      <c r="P597" s="23">
        <f t="shared" si="56"/>
        <v>0.115525797022636</v>
      </c>
      <c r="Q597" s="23">
        <f t="shared" si="57"/>
        <v>0.37812882411836701</v>
      </c>
      <c r="R597" s="22">
        <f t="shared" si="58"/>
        <v>2.06759046778464</v>
      </c>
      <c r="S597" s="22">
        <f t="shared" si="59"/>
        <v>3.06759046778464</v>
      </c>
    </row>
    <row r="598" spans="1:19">
      <c r="A598" s="18" t="s">
        <v>637</v>
      </c>
      <c r="B598" s="18" t="s">
        <v>28</v>
      </c>
      <c r="C598" s="18" t="s">
        <v>41</v>
      </c>
      <c r="D598" s="19">
        <v>44867</v>
      </c>
      <c r="E598" s="20">
        <v>45475</v>
      </c>
      <c r="F598" s="21">
        <v>62193.599999999999</v>
      </c>
      <c r="G598" s="21">
        <v>52016</v>
      </c>
      <c r="H598" s="21">
        <v>21488</v>
      </c>
      <c r="I598" s="18">
        <v>1460.992</v>
      </c>
      <c r="J598" s="18">
        <v>1969.152</v>
      </c>
      <c r="K598" s="18" t="s">
        <v>43</v>
      </c>
      <c r="L598" s="18" t="s">
        <v>50</v>
      </c>
      <c r="M598" s="18" t="s">
        <v>24</v>
      </c>
      <c r="N598" s="22">
        <f t="shared" si="54"/>
        <v>0.83635615240153305</v>
      </c>
      <c r="O598" s="22">
        <f t="shared" si="55"/>
        <v>0.413103660412181</v>
      </c>
      <c r="P598" s="23">
        <f t="shared" si="56"/>
        <v>2.80873577360812E-2</v>
      </c>
      <c r="Q598" s="23">
        <f t="shared" si="57"/>
        <v>6.7991064780342503E-2</v>
      </c>
      <c r="R598" s="22">
        <f t="shared" si="58"/>
        <v>0.34781846854739801</v>
      </c>
      <c r="S598" s="22">
        <f t="shared" si="59"/>
        <v>1.3478184685474</v>
      </c>
    </row>
    <row r="599" spans="1:19">
      <c r="A599" s="18" t="s">
        <v>638</v>
      </c>
      <c r="B599" s="18" t="s">
        <v>34</v>
      </c>
      <c r="C599" s="18" t="s">
        <v>29</v>
      </c>
      <c r="D599" s="19">
        <v>44818</v>
      </c>
      <c r="E599" s="20">
        <v>45421</v>
      </c>
      <c r="F599" s="21">
        <v>67654.399999999994</v>
      </c>
      <c r="G599" s="21">
        <v>60953.599999999999</v>
      </c>
      <c r="H599" s="21">
        <v>54105.599999999999</v>
      </c>
      <c r="I599" s="18">
        <v>6103.232</v>
      </c>
      <c r="J599" s="18">
        <v>13748.464</v>
      </c>
      <c r="K599" s="18" t="s">
        <v>30</v>
      </c>
      <c r="L599" s="18" t="s">
        <v>50</v>
      </c>
      <c r="M599" s="18" t="s">
        <v>24</v>
      </c>
      <c r="N599" s="22">
        <f t="shared" si="54"/>
        <v>0.90095544413962703</v>
      </c>
      <c r="O599" s="22">
        <f t="shared" si="55"/>
        <v>0.88765224695506095</v>
      </c>
      <c r="P599" s="23">
        <f t="shared" si="56"/>
        <v>0.10012914741705201</v>
      </c>
      <c r="Q599" s="23">
        <f t="shared" si="57"/>
        <v>0.112802223799385</v>
      </c>
      <c r="R599" s="22">
        <f t="shared" si="58"/>
        <v>1.25265302056353</v>
      </c>
      <c r="S599" s="22">
        <f t="shared" si="59"/>
        <v>2.25265302056353</v>
      </c>
    </row>
    <row r="600" spans="1:19">
      <c r="A600" s="18" t="s">
        <v>639</v>
      </c>
      <c r="B600" s="18" t="s">
        <v>34</v>
      </c>
      <c r="C600" s="18" t="s">
        <v>48</v>
      </c>
      <c r="D600" s="19">
        <v>44899</v>
      </c>
      <c r="E600" s="20">
        <v>45529</v>
      </c>
      <c r="F600" s="21">
        <v>9417.6</v>
      </c>
      <c r="G600" s="21">
        <v>8187.2</v>
      </c>
      <c r="H600" s="21">
        <v>4507.2</v>
      </c>
      <c r="I600" s="18">
        <v>1973.6959999999999</v>
      </c>
      <c r="J600" s="18">
        <v>4285.04</v>
      </c>
      <c r="K600" s="18" t="s">
        <v>30</v>
      </c>
      <c r="L600" s="18" t="s">
        <v>35</v>
      </c>
      <c r="M600" s="18" t="s">
        <v>32</v>
      </c>
      <c r="N600" s="22">
        <f t="shared" si="54"/>
        <v>0.86935100237852503</v>
      </c>
      <c r="O600" s="22">
        <f t="shared" si="55"/>
        <v>0.55051788157123305</v>
      </c>
      <c r="P600" s="23">
        <f t="shared" si="56"/>
        <v>0.241070940003909</v>
      </c>
      <c r="Q600" s="23">
        <f t="shared" si="57"/>
        <v>0.43789847355342598</v>
      </c>
      <c r="R600" s="22">
        <f t="shared" si="58"/>
        <v>1.17107396478485</v>
      </c>
      <c r="S600" s="22">
        <f t="shared" si="59"/>
        <v>2.17107396478485</v>
      </c>
    </row>
    <row r="601" spans="1:19">
      <c r="A601" s="18" t="s">
        <v>640</v>
      </c>
      <c r="B601" s="18" t="s">
        <v>40</v>
      </c>
      <c r="C601" s="18" t="s">
        <v>21</v>
      </c>
      <c r="D601" s="19">
        <v>44931</v>
      </c>
      <c r="E601" s="20">
        <v>45542</v>
      </c>
      <c r="F601" s="21">
        <v>30297.599999999999</v>
      </c>
      <c r="G601" s="21">
        <v>13033.6</v>
      </c>
      <c r="H601" s="21">
        <v>2142.4</v>
      </c>
      <c r="I601" s="18">
        <v>193.55199999999999</v>
      </c>
      <c r="J601" s="18">
        <v>699.71199999999999</v>
      </c>
      <c r="K601" s="18" t="s">
        <v>22</v>
      </c>
      <c r="L601" s="18" t="s">
        <v>44</v>
      </c>
      <c r="M601" s="18" t="s">
        <v>24</v>
      </c>
      <c r="N601" s="22">
        <f t="shared" si="54"/>
        <v>0.43018588931136498</v>
      </c>
      <c r="O601" s="22">
        <f t="shared" si="55"/>
        <v>0.16437515344954601</v>
      </c>
      <c r="P601" s="23">
        <f t="shared" si="56"/>
        <v>1.4850233243309601E-2</v>
      </c>
      <c r="Q601" s="23">
        <f t="shared" si="57"/>
        <v>9.0343539955190399E-2</v>
      </c>
      <c r="R601" s="22">
        <f t="shared" si="58"/>
        <v>2.6151111845912198</v>
      </c>
      <c r="S601" s="22">
        <f t="shared" si="59"/>
        <v>3.6151111845912198</v>
      </c>
    </row>
    <row r="602" spans="1:19">
      <c r="A602" s="18" t="s">
        <v>641</v>
      </c>
      <c r="B602" s="18" t="s">
        <v>40</v>
      </c>
      <c r="C602" s="18" t="s">
        <v>21</v>
      </c>
      <c r="D602" s="19">
        <v>44885</v>
      </c>
      <c r="E602" s="20">
        <v>45507</v>
      </c>
      <c r="F602" s="21">
        <v>48833.599999999999</v>
      </c>
      <c r="G602" s="21">
        <v>46441.599999999999</v>
      </c>
      <c r="H602" s="21">
        <v>34593.599999999999</v>
      </c>
      <c r="I602" s="18">
        <v>432.75200000000001</v>
      </c>
      <c r="J602" s="18">
        <v>732.16</v>
      </c>
      <c r="K602" s="18" t="s">
        <v>38</v>
      </c>
      <c r="L602" s="18" t="s">
        <v>31</v>
      </c>
      <c r="M602" s="18" t="s">
        <v>24</v>
      </c>
      <c r="N602" s="22">
        <f t="shared" si="54"/>
        <v>0.951017332328561</v>
      </c>
      <c r="O602" s="22">
        <f t="shared" si="55"/>
        <v>0.74488389719561798</v>
      </c>
      <c r="P602" s="23">
        <f t="shared" si="56"/>
        <v>9.3181974781230605E-3</v>
      </c>
      <c r="Q602" s="23">
        <f t="shared" si="57"/>
        <v>1.25095971509181E-2</v>
      </c>
      <c r="R602" s="22">
        <f t="shared" si="58"/>
        <v>0.69186970828557703</v>
      </c>
      <c r="S602" s="22">
        <f t="shared" si="59"/>
        <v>1.69186970828558</v>
      </c>
    </row>
    <row r="603" spans="1:19">
      <c r="A603" s="18" t="s">
        <v>642</v>
      </c>
      <c r="B603" s="18" t="s">
        <v>26</v>
      </c>
      <c r="C603" s="18" t="s">
        <v>21</v>
      </c>
      <c r="D603" s="19">
        <v>44918</v>
      </c>
      <c r="E603" s="20">
        <v>45547</v>
      </c>
      <c r="F603" s="21">
        <v>19232</v>
      </c>
      <c r="G603" s="21">
        <v>6916.8</v>
      </c>
      <c r="H603" s="21">
        <v>4961.6000000000004</v>
      </c>
      <c r="I603" s="18">
        <v>2413.5839999999998</v>
      </c>
      <c r="J603" s="18">
        <v>5527.6</v>
      </c>
      <c r="K603" s="18" t="s">
        <v>22</v>
      </c>
      <c r="L603" s="18" t="s">
        <v>31</v>
      </c>
      <c r="M603" s="18" t="s">
        <v>32</v>
      </c>
      <c r="N603" s="22">
        <f t="shared" si="54"/>
        <v>0.35965058236272901</v>
      </c>
      <c r="O603" s="22">
        <f t="shared" si="55"/>
        <v>0.71732593106638898</v>
      </c>
      <c r="P603" s="23">
        <f t="shared" si="56"/>
        <v>0.34894517696044403</v>
      </c>
      <c r="Q603" s="23">
        <f t="shared" si="57"/>
        <v>0.486452757175105</v>
      </c>
      <c r="R603" s="22">
        <f t="shared" si="58"/>
        <v>1.29020411139616</v>
      </c>
      <c r="S603" s="22">
        <f t="shared" si="59"/>
        <v>2.29020411139616</v>
      </c>
    </row>
    <row r="604" spans="1:19">
      <c r="A604" s="18" t="s">
        <v>643</v>
      </c>
      <c r="B604" s="18" t="s">
        <v>28</v>
      </c>
      <c r="C604" s="18" t="s">
        <v>48</v>
      </c>
      <c r="D604" s="19">
        <v>44808</v>
      </c>
      <c r="E604" s="20">
        <v>45423</v>
      </c>
      <c r="F604" s="21">
        <v>74945.600000000006</v>
      </c>
      <c r="G604" s="21">
        <v>22758.400000000001</v>
      </c>
      <c r="H604" s="21">
        <v>388.8</v>
      </c>
      <c r="I604" s="18">
        <v>5590.32</v>
      </c>
      <c r="J604" s="18">
        <v>6868.576</v>
      </c>
      <c r="K604" s="18" t="s">
        <v>22</v>
      </c>
      <c r="L604" s="18" t="s">
        <v>44</v>
      </c>
      <c r="M604" s="18" t="s">
        <v>32</v>
      </c>
      <c r="N604" s="22">
        <f t="shared" si="54"/>
        <v>0.30366559210947702</v>
      </c>
      <c r="O604" s="22">
        <f t="shared" si="55"/>
        <v>1.7083802024746901E-2</v>
      </c>
      <c r="P604" s="23">
        <f t="shared" si="56"/>
        <v>0.24563765466816601</v>
      </c>
      <c r="Q604" s="23">
        <f t="shared" si="57"/>
        <v>14.3783950617284</v>
      </c>
      <c r="R604" s="22">
        <f t="shared" si="58"/>
        <v>0.22865524692683101</v>
      </c>
      <c r="S604" s="22">
        <f t="shared" si="59"/>
        <v>1.2286552469268299</v>
      </c>
    </row>
    <row r="605" spans="1:19">
      <c r="A605" s="18" t="s">
        <v>644</v>
      </c>
      <c r="B605" s="18" t="s">
        <v>40</v>
      </c>
      <c r="C605" s="18" t="s">
        <v>21</v>
      </c>
      <c r="D605" s="19">
        <v>44860</v>
      </c>
      <c r="E605" s="20">
        <v>45466</v>
      </c>
      <c r="F605" s="21">
        <v>7739.2</v>
      </c>
      <c r="G605" s="21">
        <v>5251.2</v>
      </c>
      <c r="H605" s="21">
        <v>4955.2</v>
      </c>
      <c r="I605" s="18">
        <v>6917.4880000000003</v>
      </c>
      <c r="J605" s="18">
        <v>17227.552</v>
      </c>
      <c r="K605" s="18" t="s">
        <v>65</v>
      </c>
      <c r="L605" s="18" t="s">
        <v>44</v>
      </c>
      <c r="M605" s="18" t="s">
        <v>24</v>
      </c>
      <c r="N605" s="22">
        <f t="shared" si="54"/>
        <v>0.67851974364275403</v>
      </c>
      <c r="O605" s="22">
        <f t="shared" si="55"/>
        <v>0.94363193174893401</v>
      </c>
      <c r="P605" s="23">
        <f t="shared" si="56"/>
        <v>1.3173156611822101</v>
      </c>
      <c r="Q605" s="23">
        <f t="shared" si="57"/>
        <v>1.3960058120762</v>
      </c>
      <c r="R605" s="22">
        <f t="shared" si="58"/>
        <v>1.49043467802185</v>
      </c>
      <c r="S605" s="22">
        <f t="shared" si="59"/>
        <v>2.4904346780218498</v>
      </c>
    </row>
    <row r="606" spans="1:19">
      <c r="A606" s="18" t="s">
        <v>645</v>
      </c>
      <c r="B606" s="18" t="s">
        <v>34</v>
      </c>
      <c r="C606" s="18" t="s">
        <v>41</v>
      </c>
      <c r="D606" s="19">
        <v>44980</v>
      </c>
      <c r="E606" s="20">
        <v>45585</v>
      </c>
      <c r="F606" s="21">
        <v>47798.400000000001</v>
      </c>
      <c r="G606" s="21">
        <v>22360</v>
      </c>
      <c r="H606" s="21">
        <v>18488</v>
      </c>
      <c r="I606" s="18">
        <v>228.816</v>
      </c>
      <c r="J606" s="18">
        <v>690.30399999999997</v>
      </c>
      <c r="K606" s="18" t="s">
        <v>30</v>
      </c>
      <c r="L606" s="18" t="s">
        <v>44</v>
      </c>
      <c r="M606" s="18" t="s">
        <v>24</v>
      </c>
      <c r="N606" s="22">
        <f t="shared" si="54"/>
        <v>0.46779808529155797</v>
      </c>
      <c r="O606" s="22">
        <f t="shared" si="55"/>
        <v>0.82683363148479405</v>
      </c>
      <c r="P606" s="23">
        <f t="shared" si="56"/>
        <v>1.02332737030411E-2</v>
      </c>
      <c r="Q606" s="23">
        <f t="shared" si="57"/>
        <v>1.2376460406750301E-2</v>
      </c>
      <c r="R606" s="22">
        <f t="shared" si="58"/>
        <v>2.0168519683938202</v>
      </c>
      <c r="S606" s="22">
        <f t="shared" si="59"/>
        <v>3.0168519683938202</v>
      </c>
    </row>
    <row r="607" spans="1:19">
      <c r="A607" s="18" t="s">
        <v>646</v>
      </c>
      <c r="B607" s="18" t="s">
        <v>26</v>
      </c>
      <c r="C607" s="18" t="s">
        <v>48</v>
      </c>
      <c r="D607" s="19">
        <v>44722</v>
      </c>
      <c r="E607" s="20">
        <v>45331</v>
      </c>
      <c r="F607" s="21">
        <v>51528</v>
      </c>
      <c r="G607" s="21">
        <v>3718.4</v>
      </c>
      <c r="H607" s="21">
        <v>1126.4000000000001</v>
      </c>
      <c r="I607" s="18">
        <v>1793.5360000000001</v>
      </c>
      <c r="J607" s="18">
        <v>4850.7839999999997</v>
      </c>
      <c r="K607" s="18" t="s">
        <v>22</v>
      </c>
      <c r="L607" s="18" t="s">
        <v>31</v>
      </c>
      <c r="M607" s="18" t="s">
        <v>24</v>
      </c>
      <c r="N607" s="22">
        <f t="shared" si="54"/>
        <v>7.2162707654090996E-2</v>
      </c>
      <c r="O607" s="22">
        <f t="shared" si="55"/>
        <v>0.30292598967297801</v>
      </c>
      <c r="P607" s="23">
        <f t="shared" si="56"/>
        <v>0.48234079173838201</v>
      </c>
      <c r="Q607" s="23">
        <f t="shared" si="57"/>
        <v>1.5922727272727299</v>
      </c>
      <c r="R607" s="22">
        <f t="shared" si="58"/>
        <v>1.7045924921495901</v>
      </c>
      <c r="S607" s="22">
        <f t="shared" si="59"/>
        <v>2.7045924921495899</v>
      </c>
    </row>
    <row r="608" spans="1:19">
      <c r="A608" s="18" t="s">
        <v>647</v>
      </c>
      <c r="B608" s="18" t="s">
        <v>20</v>
      </c>
      <c r="C608" s="18" t="s">
        <v>41</v>
      </c>
      <c r="D608" s="19">
        <v>44776</v>
      </c>
      <c r="E608" s="20">
        <v>45396</v>
      </c>
      <c r="F608" s="21">
        <v>66640</v>
      </c>
      <c r="G608" s="21">
        <v>63190.400000000001</v>
      </c>
      <c r="H608" s="21">
        <v>46798.400000000001</v>
      </c>
      <c r="I608" s="18">
        <v>6808.848</v>
      </c>
      <c r="J608" s="18">
        <v>15655.056</v>
      </c>
      <c r="K608" s="18" t="s">
        <v>22</v>
      </c>
      <c r="L608" s="18" t="s">
        <v>50</v>
      </c>
      <c r="M608" s="18" t="s">
        <v>24</v>
      </c>
      <c r="N608" s="22">
        <f t="shared" si="54"/>
        <v>0.94823529411764695</v>
      </c>
      <c r="O608" s="22">
        <f t="shared" si="55"/>
        <v>0.74059350787461398</v>
      </c>
      <c r="P608" s="23">
        <f t="shared" si="56"/>
        <v>0.107751303995544</v>
      </c>
      <c r="Q608" s="23">
        <f t="shared" si="57"/>
        <v>0.14549317925399199</v>
      </c>
      <c r="R608" s="22">
        <f t="shared" si="58"/>
        <v>1.29922242352891</v>
      </c>
      <c r="S608" s="22">
        <f t="shared" si="59"/>
        <v>2.29922242352891</v>
      </c>
    </row>
    <row r="609" spans="1:19">
      <c r="A609" s="18" t="s">
        <v>648</v>
      </c>
      <c r="B609" s="18" t="s">
        <v>26</v>
      </c>
      <c r="C609" s="18" t="s">
        <v>41</v>
      </c>
      <c r="D609" s="19">
        <v>44963</v>
      </c>
      <c r="E609" s="20">
        <v>45574</v>
      </c>
      <c r="F609" s="21">
        <v>9892.7999999999993</v>
      </c>
      <c r="G609" s="21">
        <v>3185.6</v>
      </c>
      <c r="H609" s="21">
        <v>3172.8</v>
      </c>
      <c r="I609" s="18">
        <v>492.11200000000002</v>
      </c>
      <c r="J609" s="18">
        <v>1847.808</v>
      </c>
      <c r="K609" s="18" t="s">
        <v>65</v>
      </c>
      <c r="L609" s="18" t="s">
        <v>31</v>
      </c>
      <c r="M609" s="18" t="s">
        <v>32</v>
      </c>
      <c r="N609" s="22">
        <f t="shared" si="54"/>
        <v>0.32201196830017798</v>
      </c>
      <c r="O609" s="22">
        <f t="shared" si="55"/>
        <v>0.99598191863385199</v>
      </c>
      <c r="P609" s="23">
        <f t="shared" si="56"/>
        <v>0.15448016072325499</v>
      </c>
      <c r="Q609" s="23">
        <f t="shared" si="57"/>
        <v>0.15510337871911201</v>
      </c>
      <c r="R609" s="22">
        <f t="shared" si="58"/>
        <v>2.7548525538901698</v>
      </c>
      <c r="S609" s="22">
        <f t="shared" si="59"/>
        <v>3.7548525538901698</v>
      </c>
    </row>
    <row r="610" spans="1:19">
      <c r="A610" s="18" t="s">
        <v>649</v>
      </c>
      <c r="B610" s="18" t="s">
        <v>40</v>
      </c>
      <c r="C610" s="18" t="s">
        <v>21</v>
      </c>
      <c r="D610" s="19">
        <v>44983</v>
      </c>
      <c r="E610" s="20">
        <v>45597</v>
      </c>
      <c r="F610" s="21">
        <v>75227.199999999997</v>
      </c>
      <c r="G610" s="21">
        <v>60104</v>
      </c>
      <c r="H610" s="21">
        <v>56713.599999999999</v>
      </c>
      <c r="I610" s="18">
        <v>6119.9359999999997</v>
      </c>
      <c r="J610" s="18">
        <v>8622.0480000000007</v>
      </c>
      <c r="K610" s="18" t="s">
        <v>38</v>
      </c>
      <c r="L610" s="18" t="s">
        <v>23</v>
      </c>
      <c r="M610" s="18" t="s">
        <v>32</v>
      </c>
      <c r="N610" s="22">
        <f t="shared" si="54"/>
        <v>0.79896633132696704</v>
      </c>
      <c r="O610" s="22">
        <f t="shared" si="55"/>
        <v>0.94359110874484198</v>
      </c>
      <c r="P610" s="23">
        <f t="shared" si="56"/>
        <v>0.10182244110209</v>
      </c>
      <c r="Q610" s="23">
        <f t="shared" si="57"/>
        <v>0.107909496134966</v>
      </c>
      <c r="R610" s="22">
        <f t="shared" si="58"/>
        <v>0.40884610558018902</v>
      </c>
      <c r="S610" s="22">
        <f t="shared" si="59"/>
        <v>1.40884610558019</v>
      </c>
    </row>
    <row r="611" spans="1:19">
      <c r="A611" s="18" t="s">
        <v>650</v>
      </c>
      <c r="B611" s="18" t="s">
        <v>40</v>
      </c>
      <c r="C611" s="18" t="s">
        <v>41</v>
      </c>
      <c r="D611" s="19">
        <v>44768</v>
      </c>
      <c r="E611" s="20">
        <v>45395</v>
      </c>
      <c r="F611" s="21">
        <v>6395.2</v>
      </c>
      <c r="G611" s="21">
        <v>841.6</v>
      </c>
      <c r="H611" s="21">
        <v>723.2</v>
      </c>
      <c r="I611" s="18">
        <v>6591.9359999999997</v>
      </c>
      <c r="J611" s="18">
        <v>12072.608</v>
      </c>
      <c r="K611" s="18" t="s">
        <v>38</v>
      </c>
      <c r="L611" s="18" t="s">
        <v>50</v>
      </c>
      <c r="M611" s="18" t="s">
        <v>24</v>
      </c>
      <c r="N611" s="22">
        <f t="shared" si="54"/>
        <v>0.13159869902426799</v>
      </c>
      <c r="O611" s="22">
        <f t="shared" si="55"/>
        <v>0.85931558935361196</v>
      </c>
      <c r="P611" s="23">
        <f t="shared" si="56"/>
        <v>7.8326235741444901</v>
      </c>
      <c r="Q611" s="23">
        <f t="shared" si="57"/>
        <v>9.1149557522123903</v>
      </c>
      <c r="R611" s="22">
        <f t="shared" si="58"/>
        <v>0.83142069340478997</v>
      </c>
      <c r="S611" s="22">
        <f t="shared" si="59"/>
        <v>1.8314206934047901</v>
      </c>
    </row>
    <row r="612" spans="1:19">
      <c r="A612" s="18" t="s">
        <v>651</v>
      </c>
      <c r="B612" s="18" t="s">
        <v>26</v>
      </c>
      <c r="C612" s="18" t="s">
        <v>21</v>
      </c>
      <c r="D612" s="19">
        <v>44955</v>
      </c>
      <c r="E612" s="20">
        <v>45573</v>
      </c>
      <c r="F612" s="21">
        <v>5278.4</v>
      </c>
      <c r="G612" s="21">
        <v>3059.2</v>
      </c>
      <c r="H612" s="21">
        <v>596.79999999999995</v>
      </c>
      <c r="I612" s="18">
        <v>7612.9440000000004</v>
      </c>
      <c r="J612" s="18">
        <v>24034.175999999999</v>
      </c>
      <c r="K612" s="18" t="s">
        <v>43</v>
      </c>
      <c r="L612" s="18" t="s">
        <v>35</v>
      </c>
      <c r="M612" s="18" t="s">
        <v>24</v>
      </c>
      <c r="N612" s="22">
        <f t="shared" si="54"/>
        <v>0.579569566535314</v>
      </c>
      <c r="O612" s="22">
        <f t="shared" si="55"/>
        <v>0.19508368200836801</v>
      </c>
      <c r="P612" s="23">
        <f t="shared" si="56"/>
        <v>2.4885407949790799</v>
      </c>
      <c r="Q612" s="23">
        <f t="shared" si="57"/>
        <v>12.756273458444999</v>
      </c>
      <c r="R612" s="22">
        <f t="shared" si="58"/>
        <v>2.1570146844637201</v>
      </c>
      <c r="S612" s="22">
        <f t="shared" si="59"/>
        <v>3.1570146844637201</v>
      </c>
    </row>
    <row r="613" spans="1:19">
      <c r="A613" s="18" t="s">
        <v>652</v>
      </c>
      <c r="B613" s="18" t="s">
        <v>20</v>
      </c>
      <c r="C613" s="18" t="s">
        <v>21</v>
      </c>
      <c r="D613" s="19">
        <v>44940</v>
      </c>
      <c r="E613" s="20">
        <v>45557</v>
      </c>
      <c r="F613" s="21">
        <v>70284.800000000003</v>
      </c>
      <c r="G613" s="21">
        <v>43523.199999999997</v>
      </c>
      <c r="H613" s="21">
        <v>11120</v>
      </c>
      <c r="I613" s="18">
        <v>1035.3599999999999</v>
      </c>
      <c r="J613" s="18">
        <v>3716.64</v>
      </c>
      <c r="K613" s="18" t="s">
        <v>43</v>
      </c>
      <c r="L613" s="18" t="s">
        <v>23</v>
      </c>
      <c r="M613" s="18" t="s">
        <v>24</v>
      </c>
      <c r="N613" s="22">
        <f t="shared" si="54"/>
        <v>0.61924057548716105</v>
      </c>
      <c r="O613" s="22">
        <f t="shared" si="55"/>
        <v>0.25549591941769001</v>
      </c>
      <c r="P613" s="23">
        <f t="shared" si="56"/>
        <v>2.37886920079406E-2</v>
      </c>
      <c r="Q613" s="23">
        <f t="shared" si="57"/>
        <v>9.3107913669064707E-2</v>
      </c>
      <c r="R613" s="22">
        <f t="shared" si="58"/>
        <v>2.5897079276773298</v>
      </c>
      <c r="S613" s="22">
        <f t="shared" si="59"/>
        <v>3.5897079276773298</v>
      </c>
    </row>
    <row r="614" spans="1:19">
      <c r="A614" s="18" t="s">
        <v>653</v>
      </c>
      <c r="B614" s="18" t="s">
        <v>26</v>
      </c>
      <c r="C614" s="18" t="s">
        <v>21</v>
      </c>
      <c r="D614" s="19">
        <v>44780</v>
      </c>
      <c r="E614" s="20">
        <v>45404</v>
      </c>
      <c r="F614" s="21">
        <v>73761.600000000006</v>
      </c>
      <c r="G614" s="21">
        <v>25792</v>
      </c>
      <c r="H614" s="21">
        <v>24803.200000000001</v>
      </c>
      <c r="I614" s="18">
        <v>4648.4799999999996</v>
      </c>
      <c r="J614" s="18">
        <v>10043.951999999999</v>
      </c>
      <c r="K614" s="18" t="s">
        <v>65</v>
      </c>
      <c r="L614" s="18" t="s">
        <v>23</v>
      </c>
      <c r="M614" s="18" t="s">
        <v>24</v>
      </c>
      <c r="N614" s="22">
        <f t="shared" si="54"/>
        <v>0.34966703542222499</v>
      </c>
      <c r="O614" s="22">
        <f t="shared" si="55"/>
        <v>0.96166253101736998</v>
      </c>
      <c r="P614" s="23">
        <f t="shared" si="56"/>
        <v>0.18022952853598001</v>
      </c>
      <c r="Q614" s="23">
        <f t="shared" si="57"/>
        <v>0.187414527157786</v>
      </c>
      <c r="R614" s="22">
        <f t="shared" si="58"/>
        <v>1.1606959694351699</v>
      </c>
      <c r="S614" s="22">
        <f t="shared" si="59"/>
        <v>2.1606959694351699</v>
      </c>
    </row>
    <row r="615" spans="1:19">
      <c r="A615" s="18" t="s">
        <v>654</v>
      </c>
      <c r="B615" s="18" t="s">
        <v>28</v>
      </c>
      <c r="C615" s="18" t="s">
        <v>21</v>
      </c>
      <c r="D615" s="19">
        <v>44712</v>
      </c>
      <c r="E615" s="20">
        <v>45324</v>
      </c>
      <c r="F615" s="21">
        <v>16566.400000000001</v>
      </c>
      <c r="G615" s="21">
        <v>5376</v>
      </c>
      <c r="H615" s="21">
        <v>1188.8</v>
      </c>
      <c r="I615" s="18">
        <v>7623.68</v>
      </c>
      <c r="J615" s="18">
        <v>19969.84</v>
      </c>
      <c r="K615" s="18" t="s">
        <v>65</v>
      </c>
      <c r="L615" s="18" t="s">
        <v>35</v>
      </c>
      <c r="M615" s="18" t="s">
        <v>24</v>
      </c>
      <c r="N615" s="22">
        <f t="shared" si="54"/>
        <v>0.32451226579099901</v>
      </c>
      <c r="O615" s="22">
        <f t="shared" si="55"/>
        <v>0.22113095238095201</v>
      </c>
      <c r="P615" s="23">
        <f t="shared" si="56"/>
        <v>1.4180952380952401</v>
      </c>
      <c r="Q615" s="23">
        <f t="shared" si="57"/>
        <v>6.4129205921938102</v>
      </c>
      <c r="R615" s="22">
        <f t="shared" si="58"/>
        <v>1.61944887508395</v>
      </c>
      <c r="S615" s="22">
        <f t="shared" si="59"/>
        <v>2.61944887508395</v>
      </c>
    </row>
    <row r="616" spans="1:19">
      <c r="A616" s="18" t="s">
        <v>655</v>
      </c>
      <c r="B616" s="18" t="s">
        <v>28</v>
      </c>
      <c r="C616" s="18" t="s">
        <v>21</v>
      </c>
      <c r="D616" s="19">
        <v>44733</v>
      </c>
      <c r="E616" s="20">
        <v>45336</v>
      </c>
      <c r="F616" s="21">
        <v>11435.2</v>
      </c>
      <c r="G616" s="21">
        <v>752</v>
      </c>
      <c r="H616" s="21">
        <v>144</v>
      </c>
      <c r="I616" s="18">
        <v>4725.3280000000004</v>
      </c>
      <c r="J616" s="18">
        <v>13056.16</v>
      </c>
      <c r="K616" s="18" t="s">
        <v>22</v>
      </c>
      <c r="L616" s="18" t="s">
        <v>31</v>
      </c>
      <c r="M616" s="18" t="s">
        <v>24</v>
      </c>
      <c r="N616" s="22">
        <f t="shared" si="54"/>
        <v>6.5761858122289102E-2</v>
      </c>
      <c r="O616" s="22">
        <f t="shared" si="55"/>
        <v>0.19148936170212799</v>
      </c>
      <c r="P616" s="23">
        <f t="shared" si="56"/>
        <v>6.2836808510638296</v>
      </c>
      <c r="Q616" s="23">
        <f t="shared" si="57"/>
        <v>32.814777777777799</v>
      </c>
      <c r="R616" s="22">
        <f t="shared" si="58"/>
        <v>1.7630166625470201</v>
      </c>
      <c r="S616" s="22">
        <f t="shared" si="59"/>
        <v>2.7630166625470198</v>
      </c>
    </row>
    <row r="617" spans="1:19">
      <c r="A617" s="18" t="s">
        <v>656</v>
      </c>
      <c r="B617" s="18" t="s">
        <v>34</v>
      </c>
      <c r="C617" s="18" t="s">
        <v>29</v>
      </c>
      <c r="D617" s="19">
        <v>44928</v>
      </c>
      <c r="E617" s="20">
        <v>45553</v>
      </c>
      <c r="F617" s="21">
        <v>14152</v>
      </c>
      <c r="G617" s="21">
        <v>7579.2</v>
      </c>
      <c r="H617" s="21">
        <v>7424</v>
      </c>
      <c r="I617" s="18">
        <v>6848.768</v>
      </c>
      <c r="J617" s="18">
        <v>20385.599999999999</v>
      </c>
      <c r="K617" s="18" t="s">
        <v>22</v>
      </c>
      <c r="L617" s="18" t="s">
        <v>44</v>
      </c>
      <c r="M617" s="18" t="s">
        <v>24</v>
      </c>
      <c r="N617" s="22">
        <f t="shared" si="54"/>
        <v>0.53555681175805503</v>
      </c>
      <c r="O617" s="22">
        <f t="shared" si="55"/>
        <v>0.97952290479206205</v>
      </c>
      <c r="P617" s="23">
        <f t="shared" si="56"/>
        <v>0.903626767996622</v>
      </c>
      <c r="Q617" s="23">
        <f t="shared" si="57"/>
        <v>0.92251724137931002</v>
      </c>
      <c r="R617" s="22">
        <f t="shared" si="58"/>
        <v>1.97653534183082</v>
      </c>
      <c r="S617" s="22">
        <f t="shared" si="59"/>
        <v>2.9765353418308198</v>
      </c>
    </row>
    <row r="618" spans="1:19">
      <c r="A618" s="18" t="s">
        <v>657</v>
      </c>
      <c r="B618" s="18" t="s">
        <v>20</v>
      </c>
      <c r="C618" s="18" t="s">
        <v>48</v>
      </c>
      <c r="D618" s="19">
        <v>44706</v>
      </c>
      <c r="E618" s="20">
        <v>45328</v>
      </c>
      <c r="F618" s="21">
        <v>50417.599999999999</v>
      </c>
      <c r="G618" s="21">
        <v>48544</v>
      </c>
      <c r="H618" s="21">
        <v>38827.199999999997</v>
      </c>
      <c r="I618" s="18">
        <v>6603.3760000000002</v>
      </c>
      <c r="J618" s="18">
        <v>18019.664000000001</v>
      </c>
      <c r="K618" s="18" t="s">
        <v>22</v>
      </c>
      <c r="L618" s="18" t="s">
        <v>31</v>
      </c>
      <c r="M618" s="18" t="s">
        <v>32</v>
      </c>
      <c r="N618" s="22">
        <f t="shared" si="54"/>
        <v>0.96283837390117699</v>
      </c>
      <c r="O618" s="22">
        <f t="shared" si="55"/>
        <v>0.79983520105471295</v>
      </c>
      <c r="P618" s="23">
        <f t="shared" si="56"/>
        <v>0.13602867501648</v>
      </c>
      <c r="Q618" s="23">
        <f t="shared" si="57"/>
        <v>0.170070878147278</v>
      </c>
      <c r="R618" s="22">
        <f t="shared" si="58"/>
        <v>1.7288562698837699</v>
      </c>
      <c r="S618" s="22">
        <f t="shared" si="59"/>
        <v>2.7288562698837699</v>
      </c>
    </row>
    <row r="619" spans="1:19">
      <c r="A619" s="18" t="s">
        <v>658</v>
      </c>
      <c r="B619" s="18" t="s">
        <v>26</v>
      </c>
      <c r="C619" s="18" t="s">
        <v>48</v>
      </c>
      <c r="D619" s="19">
        <v>44880</v>
      </c>
      <c r="E619" s="20">
        <v>45494</v>
      </c>
      <c r="F619" s="21">
        <v>29324.799999999999</v>
      </c>
      <c r="G619" s="21">
        <v>11240</v>
      </c>
      <c r="H619" s="21">
        <v>3873.6</v>
      </c>
      <c r="I619" s="18">
        <v>2217.1840000000002</v>
      </c>
      <c r="J619" s="18">
        <v>6623.0240000000003</v>
      </c>
      <c r="K619" s="18" t="s">
        <v>38</v>
      </c>
      <c r="L619" s="18" t="s">
        <v>31</v>
      </c>
      <c r="M619" s="18" t="s">
        <v>24</v>
      </c>
      <c r="N619" s="22">
        <f t="shared" si="54"/>
        <v>0.38329332169358399</v>
      </c>
      <c r="O619" s="22">
        <f t="shared" si="55"/>
        <v>0.34462633451957297</v>
      </c>
      <c r="P619" s="23">
        <f t="shared" si="56"/>
        <v>0.197258362989324</v>
      </c>
      <c r="Q619" s="23">
        <f t="shared" si="57"/>
        <v>0.57238331268071097</v>
      </c>
      <c r="R619" s="22">
        <f t="shared" si="58"/>
        <v>1.9871332284555501</v>
      </c>
      <c r="S619" s="22">
        <f t="shared" si="59"/>
        <v>2.9871332284555501</v>
      </c>
    </row>
    <row r="620" spans="1:19">
      <c r="A620" s="18" t="s">
        <v>659</v>
      </c>
      <c r="B620" s="18" t="s">
        <v>26</v>
      </c>
      <c r="C620" s="18" t="s">
        <v>41</v>
      </c>
      <c r="D620" s="19">
        <v>44870</v>
      </c>
      <c r="E620" s="20">
        <v>45474</v>
      </c>
      <c r="F620" s="21">
        <v>53280</v>
      </c>
      <c r="G620" s="21">
        <v>14371.2</v>
      </c>
      <c r="H620" s="21">
        <v>9627.2000000000007</v>
      </c>
      <c r="I620" s="18">
        <v>7992.7039999999997</v>
      </c>
      <c r="J620" s="18">
        <v>22944.096000000001</v>
      </c>
      <c r="K620" s="18" t="s">
        <v>43</v>
      </c>
      <c r="L620" s="18" t="s">
        <v>44</v>
      </c>
      <c r="M620" s="18" t="s">
        <v>32</v>
      </c>
      <c r="N620" s="22">
        <f t="shared" si="54"/>
        <v>0.26972972972972997</v>
      </c>
      <c r="O620" s="22">
        <f t="shared" si="55"/>
        <v>0.66989534624805203</v>
      </c>
      <c r="P620" s="23">
        <f t="shared" si="56"/>
        <v>0.55616121131151197</v>
      </c>
      <c r="Q620" s="23">
        <f t="shared" si="57"/>
        <v>0.83022104038557398</v>
      </c>
      <c r="R620" s="22">
        <f t="shared" si="58"/>
        <v>1.8706300145732899</v>
      </c>
      <c r="S620" s="22">
        <f t="shared" si="59"/>
        <v>2.8706300145732899</v>
      </c>
    </row>
    <row r="621" spans="1:19">
      <c r="A621" s="18" t="s">
        <v>660</v>
      </c>
      <c r="B621" s="18" t="s">
        <v>47</v>
      </c>
      <c r="C621" s="18" t="s">
        <v>21</v>
      </c>
      <c r="D621" s="19">
        <v>44921</v>
      </c>
      <c r="E621" s="20">
        <v>45522</v>
      </c>
      <c r="F621" s="21">
        <v>43267.199999999997</v>
      </c>
      <c r="G621" s="21">
        <v>23708.799999999999</v>
      </c>
      <c r="H621" s="21">
        <v>6939.2</v>
      </c>
      <c r="I621" s="18">
        <v>2028.6880000000001</v>
      </c>
      <c r="J621" s="18">
        <v>3229.8719999999998</v>
      </c>
      <c r="K621" s="18" t="s">
        <v>30</v>
      </c>
      <c r="L621" s="18" t="s">
        <v>44</v>
      </c>
      <c r="M621" s="18" t="s">
        <v>24</v>
      </c>
      <c r="N621" s="22">
        <f t="shared" si="54"/>
        <v>0.54796242881443702</v>
      </c>
      <c r="O621" s="22">
        <f t="shared" si="55"/>
        <v>0.29268457281684401</v>
      </c>
      <c r="P621" s="23">
        <f t="shared" si="56"/>
        <v>8.5566878121203893E-2</v>
      </c>
      <c r="Q621" s="23">
        <f t="shared" si="57"/>
        <v>0.29235185612174303</v>
      </c>
      <c r="R621" s="22">
        <f t="shared" si="58"/>
        <v>0.59209893290639104</v>
      </c>
      <c r="S621" s="22">
        <f t="shared" si="59"/>
        <v>1.5920989329063899</v>
      </c>
    </row>
    <row r="622" spans="1:19">
      <c r="A622" s="18" t="s">
        <v>661</v>
      </c>
      <c r="B622" s="18" t="s">
        <v>26</v>
      </c>
      <c r="C622" s="18" t="s">
        <v>21</v>
      </c>
      <c r="D622" s="19">
        <v>44972</v>
      </c>
      <c r="E622" s="20">
        <v>45589</v>
      </c>
      <c r="F622" s="21">
        <v>61040</v>
      </c>
      <c r="G622" s="21">
        <v>21395.200000000001</v>
      </c>
      <c r="H622" s="21">
        <v>21392</v>
      </c>
      <c r="I622" s="18">
        <v>2866.5279999999998</v>
      </c>
      <c r="J622" s="18">
        <v>7534.4</v>
      </c>
      <c r="K622" s="18" t="s">
        <v>43</v>
      </c>
      <c r="L622" s="18" t="s">
        <v>35</v>
      </c>
      <c r="M622" s="18" t="s">
        <v>24</v>
      </c>
      <c r="N622" s="22">
        <f t="shared" si="54"/>
        <v>0.35051114023591101</v>
      </c>
      <c r="O622" s="22">
        <f t="shared" si="55"/>
        <v>0.99985043374214799</v>
      </c>
      <c r="P622" s="23">
        <f t="shared" si="56"/>
        <v>0.133979958121448</v>
      </c>
      <c r="Q622" s="23">
        <f t="shared" si="57"/>
        <v>0.13400000000000001</v>
      </c>
      <c r="R622" s="22">
        <f t="shared" si="58"/>
        <v>1.6284062112772</v>
      </c>
      <c r="S622" s="22">
        <f t="shared" si="59"/>
        <v>2.6284062112772002</v>
      </c>
    </row>
    <row r="623" spans="1:19">
      <c r="A623" s="18" t="s">
        <v>662</v>
      </c>
      <c r="B623" s="18" t="s">
        <v>40</v>
      </c>
      <c r="C623" s="18" t="s">
        <v>29</v>
      </c>
      <c r="D623" s="19">
        <v>44960</v>
      </c>
      <c r="E623" s="20">
        <v>45565</v>
      </c>
      <c r="F623" s="21">
        <v>27355.200000000001</v>
      </c>
      <c r="G623" s="21">
        <v>24390.400000000001</v>
      </c>
      <c r="H623" s="21">
        <v>6043.2</v>
      </c>
      <c r="I623" s="18">
        <v>2654.6880000000001</v>
      </c>
      <c r="J623" s="18">
        <v>4073.92</v>
      </c>
      <c r="K623" s="18" t="s">
        <v>65</v>
      </c>
      <c r="L623" s="18" t="s">
        <v>35</v>
      </c>
      <c r="M623" s="18" t="s">
        <v>24</v>
      </c>
      <c r="N623" s="22">
        <f t="shared" si="54"/>
        <v>0.89161841258700403</v>
      </c>
      <c r="O623" s="22">
        <f t="shared" si="55"/>
        <v>0.247769614274469</v>
      </c>
      <c r="P623" s="23">
        <f t="shared" si="56"/>
        <v>0.10884151141432701</v>
      </c>
      <c r="Q623" s="23">
        <f t="shared" si="57"/>
        <v>0.43928514694201698</v>
      </c>
      <c r="R623" s="22">
        <f t="shared" si="58"/>
        <v>0.53461348376909101</v>
      </c>
      <c r="S623" s="22">
        <f t="shared" si="59"/>
        <v>1.5346134837690899</v>
      </c>
    </row>
    <row r="624" spans="1:19">
      <c r="A624" s="18" t="s">
        <v>663</v>
      </c>
      <c r="B624" s="18" t="s">
        <v>40</v>
      </c>
      <c r="C624" s="18" t="s">
        <v>41</v>
      </c>
      <c r="D624" s="19">
        <v>44872</v>
      </c>
      <c r="E624" s="20">
        <v>45497</v>
      </c>
      <c r="F624" s="21">
        <v>61400</v>
      </c>
      <c r="G624" s="21">
        <v>14126.4</v>
      </c>
      <c r="H624" s="21">
        <v>1406.4</v>
      </c>
      <c r="I624" s="18">
        <v>4056.288</v>
      </c>
      <c r="J624" s="18">
        <v>14281.152</v>
      </c>
      <c r="K624" s="18" t="s">
        <v>65</v>
      </c>
      <c r="L624" s="18" t="s">
        <v>23</v>
      </c>
      <c r="M624" s="18" t="s">
        <v>32</v>
      </c>
      <c r="N624" s="22">
        <f t="shared" si="54"/>
        <v>0.230071661237785</v>
      </c>
      <c r="O624" s="22">
        <f t="shared" si="55"/>
        <v>9.9558273870200498E-2</v>
      </c>
      <c r="P624" s="23">
        <f t="shared" si="56"/>
        <v>0.287142371729528</v>
      </c>
      <c r="Q624" s="23">
        <f t="shared" si="57"/>
        <v>2.8841638225256001</v>
      </c>
      <c r="R624" s="22">
        <f t="shared" si="58"/>
        <v>2.5207440891771</v>
      </c>
      <c r="S624" s="22">
        <f t="shared" si="59"/>
        <v>3.5207440891771</v>
      </c>
    </row>
    <row r="625" spans="1:19">
      <c r="A625" s="18" t="s">
        <v>664</v>
      </c>
      <c r="B625" s="18" t="s">
        <v>40</v>
      </c>
      <c r="C625" s="18" t="s">
        <v>29</v>
      </c>
      <c r="D625" s="19">
        <v>44762</v>
      </c>
      <c r="E625" s="20">
        <v>45385</v>
      </c>
      <c r="F625" s="21">
        <v>66080</v>
      </c>
      <c r="G625" s="21">
        <v>45185.599999999999</v>
      </c>
      <c r="H625" s="21">
        <v>17622.400000000001</v>
      </c>
      <c r="I625" s="18">
        <v>5524.5919999999996</v>
      </c>
      <c r="J625" s="18">
        <v>12748.928</v>
      </c>
      <c r="K625" s="18" t="s">
        <v>38</v>
      </c>
      <c r="L625" s="18" t="s">
        <v>35</v>
      </c>
      <c r="M625" s="18" t="s">
        <v>32</v>
      </c>
      <c r="N625" s="22">
        <f t="shared" si="54"/>
        <v>0.68380145278450399</v>
      </c>
      <c r="O625" s="22">
        <f t="shared" si="55"/>
        <v>0.39000035409511002</v>
      </c>
      <c r="P625" s="23">
        <f t="shared" si="56"/>
        <v>0.12226443822810799</v>
      </c>
      <c r="Q625" s="23">
        <f t="shared" si="57"/>
        <v>0.313498274922825</v>
      </c>
      <c r="R625" s="22">
        <f t="shared" si="58"/>
        <v>1.3076686930003201</v>
      </c>
      <c r="S625" s="22">
        <f t="shared" si="59"/>
        <v>2.3076686930003198</v>
      </c>
    </row>
    <row r="626" spans="1:19">
      <c r="A626" s="18" t="s">
        <v>665</v>
      </c>
      <c r="B626" s="18" t="s">
        <v>47</v>
      </c>
      <c r="C626" s="18" t="s">
        <v>29</v>
      </c>
      <c r="D626" s="19">
        <v>44723</v>
      </c>
      <c r="E626" s="20">
        <v>45341</v>
      </c>
      <c r="F626" s="21">
        <v>25992</v>
      </c>
      <c r="G626" s="21">
        <v>13489.6</v>
      </c>
      <c r="H626" s="21">
        <v>7430.4</v>
      </c>
      <c r="I626" s="18">
        <v>1725.2639999999999</v>
      </c>
      <c r="J626" s="18">
        <v>3232.48</v>
      </c>
      <c r="K626" s="18" t="s">
        <v>43</v>
      </c>
      <c r="L626" s="18" t="s">
        <v>44</v>
      </c>
      <c r="M626" s="18" t="s">
        <v>32</v>
      </c>
      <c r="N626" s="22">
        <f t="shared" si="54"/>
        <v>0.51899045860264703</v>
      </c>
      <c r="O626" s="22">
        <f t="shared" si="55"/>
        <v>0.55082433874985204</v>
      </c>
      <c r="P626" s="23">
        <f t="shared" si="56"/>
        <v>0.12789586051476701</v>
      </c>
      <c r="Q626" s="23">
        <f t="shared" si="57"/>
        <v>0.23218992248062001</v>
      </c>
      <c r="R626" s="22">
        <f t="shared" si="58"/>
        <v>0.87361470476402503</v>
      </c>
      <c r="S626" s="22">
        <f t="shared" si="59"/>
        <v>1.8736147047640199</v>
      </c>
    </row>
    <row r="627" spans="1:19">
      <c r="A627" s="18" t="s">
        <v>666</v>
      </c>
      <c r="B627" s="18" t="s">
        <v>47</v>
      </c>
      <c r="C627" s="18" t="s">
        <v>21</v>
      </c>
      <c r="D627" s="19">
        <v>44907</v>
      </c>
      <c r="E627" s="20">
        <v>45516</v>
      </c>
      <c r="F627" s="21">
        <v>77516.800000000003</v>
      </c>
      <c r="G627" s="21">
        <v>32158.400000000001</v>
      </c>
      <c r="H627" s="21">
        <v>4406.3999999999996</v>
      </c>
      <c r="I627" s="18">
        <v>3541.4879999999998</v>
      </c>
      <c r="J627" s="18">
        <v>12685.616</v>
      </c>
      <c r="K627" s="18" t="s">
        <v>38</v>
      </c>
      <c r="L627" s="18" t="s">
        <v>50</v>
      </c>
      <c r="M627" s="18" t="s">
        <v>24</v>
      </c>
      <c r="N627" s="22">
        <f t="shared" si="54"/>
        <v>0.414857166446499</v>
      </c>
      <c r="O627" s="22">
        <f t="shared" si="55"/>
        <v>0.13702174237524301</v>
      </c>
      <c r="P627" s="23">
        <f t="shared" si="56"/>
        <v>0.11012637444649</v>
      </c>
      <c r="Q627" s="23">
        <f t="shared" si="57"/>
        <v>0.803714596949891</v>
      </c>
      <c r="R627" s="22">
        <f t="shared" si="58"/>
        <v>2.58200168968524</v>
      </c>
      <c r="S627" s="22">
        <f t="shared" si="59"/>
        <v>3.58200168968524</v>
      </c>
    </row>
    <row r="628" spans="1:19">
      <c r="A628" s="18" t="s">
        <v>667</v>
      </c>
      <c r="B628" s="18" t="s">
        <v>47</v>
      </c>
      <c r="C628" s="18" t="s">
        <v>21</v>
      </c>
      <c r="D628" s="19">
        <v>44700</v>
      </c>
      <c r="E628" s="20">
        <v>45320</v>
      </c>
      <c r="F628" s="21">
        <v>65166.400000000001</v>
      </c>
      <c r="G628" s="21">
        <v>19340.8</v>
      </c>
      <c r="H628" s="21">
        <v>4035.2</v>
      </c>
      <c r="I628" s="18">
        <v>2040</v>
      </c>
      <c r="J628" s="18">
        <v>6681.7920000000004</v>
      </c>
      <c r="K628" s="18" t="s">
        <v>30</v>
      </c>
      <c r="L628" s="18" t="s">
        <v>31</v>
      </c>
      <c r="M628" s="18" t="s">
        <v>24</v>
      </c>
      <c r="N628" s="22">
        <f t="shared" si="54"/>
        <v>0.29679098431093298</v>
      </c>
      <c r="O628" s="22">
        <f t="shared" si="55"/>
        <v>0.20863666446062201</v>
      </c>
      <c r="P628" s="23">
        <f t="shared" si="56"/>
        <v>0.105476505625414</v>
      </c>
      <c r="Q628" s="23">
        <f t="shared" si="57"/>
        <v>0.50555114988104699</v>
      </c>
      <c r="R628" s="22">
        <f t="shared" si="58"/>
        <v>2.2753882352941202</v>
      </c>
      <c r="S628" s="22">
        <f t="shared" si="59"/>
        <v>3.2753882352941202</v>
      </c>
    </row>
    <row r="629" spans="1:19">
      <c r="A629" s="18" t="s">
        <v>668</v>
      </c>
      <c r="B629" s="18" t="s">
        <v>20</v>
      </c>
      <c r="C629" s="18" t="s">
        <v>29</v>
      </c>
      <c r="D629" s="19">
        <v>44807</v>
      </c>
      <c r="E629" s="20">
        <v>45410</v>
      </c>
      <c r="F629" s="21">
        <v>71761.600000000006</v>
      </c>
      <c r="G629" s="21">
        <v>39147.199999999997</v>
      </c>
      <c r="H629" s="21">
        <v>25500.799999999999</v>
      </c>
      <c r="I629" s="18">
        <v>2274</v>
      </c>
      <c r="J629" s="18">
        <v>3706.5920000000001</v>
      </c>
      <c r="K629" s="18" t="s">
        <v>22</v>
      </c>
      <c r="L629" s="18" t="s">
        <v>44</v>
      </c>
      <c r="M629" s="18" t="s">
        <v>24</v>
      </c>
      <c r="N629" s="22">
        <f t="shared" si="54"/>
        <v>0.54551737976856696</v>
      </c>
      <c r="O629" s="22">
        <f t="shared" si="55"/>
        <v>0.65140801896431899</v>
      </c>
      <c r="P629" s="23">
        <f t="shared" si="56"/>
        <v>5.8088445661503299E-2</v>
      </c>
      <c r="Q629" s="23">
        <f t="shared" si="57"/>
        <v>8.91736729828084E-2</v>
      </c>
      <c r="R629" s="22">
        <f t="shared" si="58"/>
        <v>0.62998768689533902</v>
      </c>
      <c r="S629" s="22">
        <f t="shared" si="59"/>
        <v>1.62998768689534</v>
      </c>
    </row>
    <row r="630" spans="1:19">
      <c r="A630" s="18" t="s">
        <v>669</v>
      </c>
      <c r="B630" s="18" t="s">
        <v>26</v>
      </c>
      <c r="C630" s="18" t="s">
        <v>41</v>
      </c>
      <c r="D630" s="19">
        <v>44850</v>
      </c>
      <c r="E630" s="20">
        <v>45473</v>
      </c>
      <c r="F630" s="21">
        <v>54220.800000000003</v>
      </c>
      <c r="G630" s="21">
        <v>44814.400000000001</v>
      </c>
      <c r="H630" s="21">
        <v>43588.800000000003</v>
      </c>
      <c r="I630" s="18">
        <v>7394.4960000000001</v>
      </c>
      <c r="J630" s="18">
        <v>21912.592000000001</v>
      </c>
      <c r="K630" s="18" t="s">
        <v>65</v>
      </c>
      <c r="L630" s="18" t="s">
        <v>23</v>
      </c>
      <c r="M630" s="18" t="s">
        <v>32</v>
      </c>
      <c r="N630" s="22">
        <f t="shared" si="54"/>
        <v>0.82651676109537298</v>
      </c>
      <c r="O630" s="22">
        <f t="shared" si="55"/>
        <v>0.97265164768467305</v>
      </c>
      <c r="P630" s="23">
        <f t="shared" si="56"/>
        <v>0.16500267771073601</v>
      </c>
      <c r="Q630" s="23">
        <f t="shared" si="57"/>
        <v>0.169642109899791</v>
      </c>
      <c r="R630" s="22">
        <f t="shared" si="58"/>
        <v>1.9633651840504101</v>
      </c>
      <c r="S630" s="22">
        <f t="shared" si="59"/>
        <v>2.9633651840504101</v>
      </c>
    </row>
    <row r="631" spans="1:19">
      <c r="A631" s="18" t="s">
        <v>670</v>
      </c>
      <c r="B631" s="18" t="s">
        <v>34</v>
      </c>
      <c r="C631" s="18" t="s">
        <v>48</v>
      </c>
      <c r="D631" s="19">
        <v>44835</v>
      </c>
      <c r="E631" s="20">
        <v>45453</v>
      </c>
      <c r="F631" s="21">
        <v>51761.599999999999</v>
      </c>
      <c r="G631" s="21">
        <v>32537.599999999999</v>
      </c>
      <c r="H631" s="21">
        <v>6310.4</v>
      </c>
      <c r="I631" s="18">
        <v>7819.5839999999998</v>
      </c>
      <c r="J631" s="18">
        <v>20090.864000000001</v>
      </c>
      <c r="K631" s="18" t="s">
        <v>22</v>
      </c>
      <c r="L631" s="18" t="s">
        <v>23</v>
      </c>
      <c r="M631" s="18" t="s">
        <v>24</v>
      </c>
      <c r="N631" s="22">
        <f t="shared" si="54"/>
        <v>0.62860498902661399</v>
      </c>
      <c r="O631" s="22">
        <f t="shared" si="55"/>
        <v>0.193941778127459</v>
      </c>
      <c r="P631" s="23">
        <f t="shared" si="56"/>
        <v>0.24032454760031499</v>
      </c>
      <c r="Q631" s="23">
        <f t="shared" si="57"/>
        <v>1.2391582150101399</v>
      </c>
      <c r="R631" s="22">
        <f t="shared" si="58"/>
        <v>1.5693008732945399</v>
      </c>
      <c r="S631" s="22">
        <f t="shared" si="59"/>
        <v>2.5693008732945399</v>
      </c>
    </row>
    <row r="632" spans="1:19">
      <c r="A632" s="18" t="s">
        <v>671</v>
      </c>
      <c r="B632" s="18" t="s">
        <v>34</v>
      </c>
      <c r="C632" s="18" t="s">
        <v>41</v>
      </c>
      <c r="D632" s="19">
        <v>44851</v>
      </c>
      <c r="E632" s="20">
        <v>45470</v>
      </c>
      <c r="F632" s="21">
        <v>17262.400000000001</v>
      </c>
      <c r="G632" s="21">
        <v>5505.6</v>
      </c>
      <c r="H632" s="21">
        <v>2284.8000000000002</v>
      </c>
      <c r="I632" s="18">
        <v>3444.0160000000001</v>
      </c>
      <c r="J632" s="18">
        <v>9100.2880000000005</v>
      </c>
      <c r="K632" s="18" t="s">
        <v>30</v>
      </c>
      <c r="L632" s="18" t="s">
        <v>44</v>
      </c>
      <c r="M632" s="18" t="s">
        <v>24</v>
      </c>
      <c r="N632" s="22">
        <f t="shared" si="54"/>
        <v>0.31893595328575403</v>
      </c>
      <c r="O632" s="22">
        <f t="shared" si="55"/>
        <v>0.414995640802092</v>
      </c>
      <c r="P632" s="23">
        <f t="shared" si="56"/>
        <v>0.62554780587038605</v>
      </c>
      <c r="Q632" s="23">
        <f t="shared" si="57"/>
        <v>1.50735994397759</v>
      </c>
      <c r="R632" s="22">
        <f t="shared" si="58"/>
        <v>1.64234777074206</v>
      </c>
      <c r="S632" s="22">
        <f t="shared" si="59"/>
        <v>2.64234777074206</v>
      </c>
    </row>
    <row r="633" spans="1:19">
      <c r="A633" s="18" t="s">
        <v>672</v>
      </c>
      <c r="B633" s="18" t="s">
        <v>20</v>
      </c>
      <c r="C633" s="18" t="s">
        <v>21</v>
      </c>
      <c r="D633" s="19">
        <v>44927</v>
      </c>
      <c r="E633" s="20">
        <v>45530</v>
      </c>
      <c r="F633" s="21">
        <v>14865.6</v>
      </c>
      <c r="G633" s="21">
        <v>12812.8</v>
      </c>
      <c r="H633" s="21">
        <v>9662.4</v>
      </c>
      <c r="I633" s="18">
        <v>4096.0320000000002</v>
      </c>
      <c r="J633" s="18">
        <v>15717.824000000001</v>
      </c>
      <c r="K633" s="18" t="s">
        <v>22</v>
      </c>
      <c r="L633" s="18" t="s">
        <v>35</v>
      </c>
      <c r="M633" s="18" t="s">
        <v>32</v>
      </c>
      <c r="N633" s="22">
        <f t="shared" si="54"/>
        <v>0.86190937466365303</v>
      </c>
      <c r="O633" s="22">
        <f t="shared" si="55"/>
        <v>0.754120879120879</v>
      </c>
      <c r="P633" s="23">
        <f t="shared" si="56"/>
        <v>0.31968281718281699</v>
      </c>
      <c r="Q633" s="23">
        <f t="shared" si="57"/>
        <v>0.42391455538996498</v>
      </c>
      <c r="R633" s="22">
        <f t="shared" si="58"/>
        <v>2.8373293958640899</v>
      </c>
      <c r="S633" s="22">
        <f t="shared" si="59"/>
        <v>3.8373293958640899</v>
      </c>
    </row>
    <row r="634" spans="1:19">
      <c r="A634" s="18" t="s">
        <v>673</v>
      </c>
      <c r="B634" s="18" t="s">
        <v>20</v>
      </c>
      <c r="C634" s="18" t="s">
        <v>21</v>
      </c>
      <c r="D634" s="19">
        <v>44985</v>
      </c>
      <c r="E634" s="20">
        <v>45594</v>
      </c>
      <c r="F634" s="21">
        <v>38851.199999999997</v>
      </c>
      <c r="G634" s="21">
        <v>15032</v>
      </c>
      <c r="H634" s="21">
        <v>7126.4</v>
      </c>
      <c r="I634" s="18">
        <v>5416.4960000000001</v>
      </c>
      <c r="J634" s="18">
        <v>15555.92</v>
      </c>
      <c r="K634" s="18" t="s">
        <v>43</v>
      </c>
      <c r="L634" s="18" t="s">
        <v>35</v>
      </c>
      <c r="M634" s="18" t="s">
        <v>24</v>
      </c>
      <c r="N634" s="22">
        <f t="shared" si="54"/>
        <v>0.38691211597067798</v>
      </c>
      <c r="O634" s="22">
        <f t="shared" si="55"/>
        <v>0.474081958488558</v>
      </c>
      <c r="P634" s="23">
        <f t="shared" si="56"/>
        <v>0.36033102714209703</v>
      </c>
      <c r="Q634" s="23">
        <f t="shared" si="57"/>
        <v>0.76006061966771399</v>
      </c>
      <c r="R634" s="22">
        <f t="shared" si="58"/>
        <v>1.87195264244633</v>
      </c>
      <c r="S634" s="22">
        <f t="shared" si="59"/>
        <v>2.8719526424463302</v>
      </c>
    </row>
    <row r="635" spans="1:19">
      <c r="A635" s="18" t="s">
        <v>674</v>
      </c>
      <c r="B635" s="18" t="s">
        <v>40</v>
      </c>
      <c r="C635" s="18" t="s">
        <v>29</v>
      </c>
      <c r="D635" s="19">
        <v>44968</v>
      </c>
      <c r="E635" s="20">
        <v>45591</v>
      </c>
      <c r="F635" s="21">
        <v>34542.400000000001</v>
      </c>
      <c r="G635" s="21">
        <v>33427.199999999997</v>
      </c>
      <c r="H635" s="21">
        <v>5947.2</v>
      </c>
      <c r="I635" s="18">
        <v>6491.1679999999997</v>
      </c>
      <c r="J635" s="18">
        <v>9072.3359999999993</v>
      </c>
      <c r="K635" s="18" t="s">
        <v>38</v>
      </c>
      <c r="L635" s="18" t="s">
        <v>23</v>
      </c>
      <c r="M635" s="18" t="s">
        <v>32</v>
      </c>
      <c r="N635" s="22">
        <f t="shared" si="54"/>
        <v>0.96771504006670095</v>
      </c>
      <c r="O635" s="22">
        <f t="shared" si="55"/>
        <v>0.17791499138426201</v>
      </c>
      <c r="P635" s="23">
        <f t="shared" si="56"/>
        <v>0.19418820601187101</v>
      </c>
      <c r="Q635" s="23">
        <f t="shared" si="57"/>
        <v>1.091466236212</v>
      </c>
      <c r="R635" s="22">
        <f t="shared" si="58"/>
        <v>0.397643074405099</v>
      </c>
      <c r="S635" s="22">
        <f t="shared" si="59"/>
        <v>1.3976430744051</v>
      </c>
    </row>
    <row r="636" spans="1:19">
      <c r="A636" s="18" t="s">
        <v>675</v>
      </c>
      <c r="B636" s="18" t="s">
        <v>20</v>
      </c>
      <c r="C636" s="18" t="s">
        <v>21</v>
      </c>
      <c r="D636" s="19">
        <v>44796</v>
      </c>
      <c r="E636" s="20">
        <v>45426</v>
      </c>
      <c r="F636" s="21">
        <v>30164.799999999999</v>
      </c>
      <c r="G636" s="21">
        <v>25083.200000000001</v>
      </c>
      <c r="H636" s="21">
        <v>19644.8</v>
      </c>
      <c r="I636" s="18">
        <v>3813.152</v>
      </c>
      <c r="J636" s="18">
        <v>12250.224</v>
      </c>
      <c r="K636" s="18" t="s">
        <v>38</v>
      </c>
      <c r="L636" s="18" t="s">
        <v>44</v>
      </c>
      <c r="M636" s="18" t="s">
        <v>32</v>
      </c>
      <c r="N636" s="22">
        <f t="shared" si="54"/>
        <v>0.83153874714899501</v>
      </c>
      <c r="O636" s="22">
        <f t="shared" si="55"/>
        <v>0.78318555846144</v>
      </c>
      <c r="P636" s="23">
        <f t="shared" si="56"/>
        <v>0.15202015691777801</v>
      </c>
      <c r="Q636" s="23">
        <f t="shared" si="57"/>
        <v>0.194104903078677</v>
      </c>
      <c r="R636" s="22">
        <f t="shared" si="58"/>
        <v>2.2126240968101998</v>
      </c>
      <c r="S636" s="22">
        <f t="shared" si="59"/>
        <v>3.2126240968101998</v>
      </c>
    </row>
    <row r="637" spans="1:19">
      <c r="A637" s="18" t="s">
        <v>676</v>
      </c>
      <c r="B637" s="18" t="s">
        <v>47</v>
      </c>
      <c r="C637" s="18" t="s">
        <v>41</v>
      </c>
      <c r="D637" s="19">
        <v>44969</v>
      </c>
      <c r="E637" s="20">
        <v>45584</v>
      </c>
      <c r="F637" s="21">
        <v>34304</v>
      </c>
      <c r="G637" s="21">
        <v>30297.599999999999</v>
      </c>
      <c r="H637" s="21">
        <v>1403.2</v>
      </c>
      <c r="I637" s="18">
        <v>3539.328</v>
      </c>
      <c r="J637" s="18">
        <v>5777.0079999999998</v>
      </c>
      <c r="K637" s="18" t="s">
        <v>30</v>
      </c>
      <c r="L637" s="18" t="s">
        <v>31</v>
      </c>
      <c r="M637" s="18" t="s">
        <v>32</v>
      </c>
      <c r="N637" s="22">
        <f t="shared" si="54"/>
        <v>0.88320895522388099</v>
      </c>
      <c r="O637" s="22">
        <f t="shared" si="55"/>
        <v>4.6313899450781598E-2</v>
      </c>
      <c r="P637" s="23">
        <f t="shared" si="56"/>
        <v>0.11681875792142001</v>
      </c>
      <c r="Q637" s="23">
        <f t="shared" si="57"/>
        <v>2.5223261117445799</v>
      </c>
      <c r="R637" s="22">
        <f t="shared" si="58"/>
        <v>0.63223301146432298</v>
      </c>
      <c r="S637" s="22">
        <f t="shared" si="59"/>
        <v>1.63223301146432</v>
      </c>
    </row>
    <row r="638" spans="1:19">
      <c r="A638" s="18" t="s">
        <v>677</v>
      </c>
      <c r="B638" s="18" t="s">
        <v>47</v>
      </c>
      <c r="C638" s="18" t="s">
        <v>29</v>
      </c>
      <c r="D638" s="19">
        <v>44774</v>
      </c>
      <c r="E638" s="20">
        <v>45382</v>
      </c>
      <c r="F638" s="21">
        <v>48425.599999999999</v>
      </c>
      <c r="G638" s="21">
        <v>8689.6</v>
      </c>
      <c r="H638" s="21">
        <v>5187.2</v>
      </c>
      <c r="I638" s="18">
        <v>2440.8000000000002</v>
      </c>
      <c r="J638" s="18">
        <v>8182.1440000000002</v>
      </c>
      <c r="K638" s="18" t="s">
        <v>65</v>
      </c>
      <c r="L638" s="18" t="s">
        <v>50</v>
      </c>
      <c r="M638" s="18" t="s">
        <v>24</v>
      </c>
      <c r="N638" s="22">
        <f t="shared" si="54"/>
        <v>0.17944227846428301</v>
      </c>
      <c r="O638" s="22">
        <f t="shared" si="55"/>
        <v>0.59694347265696901</v>
      </c>
      <c r="P638" s="23">
        <f t="shared" si="56"/>
        <v>0.28088749769839799</v>
      </c>
      <c r="Q638" s="23">
        <f t="shared" si="57"/>
        <v>0.47054287476866102</v>
      </c>
      <c r="R638" s="22">
        <f t="shared" si="58"/>
        <v>2.3522386102917099</v>
      </c>
      <c r="S638" s="22">
        <f t="shared" si="59"/>
        <v>3.3522386102917099</v>
      </c>
    </row>
    <row r="639" spans="1:19">
      <c r="A639" s="18" t="s">
        <v>678</v>
      </c>
      <c r="B639" s="18" t="s">
        <v>28</v>
      </c>
      <c r="C639" s="18" t="s">
        <v>29</v>
      </c>
      <c r="D639" s="19">
        <v>44692</v>
      </c>
      <c r="E639" s="20">
        <v>45315</v>
      </c>
      <c r="F639" s="21">
        <v>69713.600000000006</v>
      </c>
      <c r="G639" s="21">
        <v>64166.400000000001</v>
      </c>
      <c r="H639" s="21">
        <v>56886.400000000001</v>
      </c>
      <c r="I639" s="18">
        <v>6011.0559999999996</v>
      </c>
      <c r="J639" s="18">
        <v>11669.263999999999</v>
      </c>
      <c r="K639" s="18" t="s">
        <v>43</v>
      </c>
      <c r="L639" s="18" t="s">
        <v>44</v>
      </c>
      <c r="M639" s="18" t="s">
        <v>32</v>
      </c>
      <c r="N639" s="22">
        <f t="shared" si="54"/>
        <v>0.92042872552844801</v>
      </c>
      <c r="O639" s="22">
        <f t="shared" si="55"/>
        <v>0.88654498304408502</v>
      </c>
      <c r="P639" s="23">
        <f t="shared" si="56"/>
        <v>9.3679184121284606E-2</v>
      </c>
      <c r="Q639" s="23">
        <f t="shared" si="57"/>
        <v>0.105667716712606</v>
      </c>
      <c r="R639" s="22">
        <f t="shared" si="58"/>
        <v>0.94130016423071095</v>
      </c>
      <c r="S639" s="22">
        <f t="shared" si="59"/>
        <v>1.9413001642307099</v>
      </c>
    </row>
    <row r="640" spans="1:19">
      <c r="A640" s="18" t="s">
        <v>679</v>
      </c>
      <c r="B640" s="18" t="s">
        <v>47</v>
      </c>
      <c r="C640" s="18" t="s">
        <v>48</v>
      </c>
      <c r="D640" s="19">
        <v>44871</v>
      </c>
      <c r="E640" s="20">
        <v>45489</v>
      </c>
      <c r="F640" s="21">
        <v>73529.600000000006</v>
      </c>
      <c r="G640" s="21">
        <v>46811.199999999997</v>
      </c>
      <c r="H640" s="21">
        <v>44409.599999999999</v>
      </c>
      <c r="I640" s="18">
        <v>221.15199999999999</v>
      </c>
      <c r="J640" s="18">
        <v>792.48</v>
      </c>
      <c r="K640" s="18" t="s">
        <v>30</v>
      </c>
      <c r="L640" s="18" t="s">
        <v>35</v>
      </c>
      <c r="M640" s="18" t="s">
        <v>24</v>
      </c>
      <c r="N640" s="22">
        <f t="shared" si="54"/>
        <v>0.63663069022543295</v>
      </c>
      <c r="O640" s="22">
        <f t="shared" si="55"/>
        <v>0.94869603855487605</v>
      </c>
      <c r="P640" s="23">
        <f t="shared" si="56"/>
        <v>4.7243394743138401E-3</v>
      </c>
      <c r="Q640" s="23">
        <f t="shared" si="57"/>
        <v>4.9798241821588096E-3</v>
      </c>
      <c r="R640" s="22">
        <f t="shared" si="58"/>
        <v>2.58341773983505</v>
      </c>
      <c r="S640" s="22">
        <f t="shared" si="59"/>
        <v>3.58341773983505</v>
      </c>
    </row>
    <row r="641" spans="1:19">
      <c r="A641" s="18" t="s">
        <v>680</v>
      </c>
      <c r="B641" s="18" t="s">
        <v>34</v>
      </c>
      <c r="C641" s="18" t="s">
        <v>29</v>
      </c>
      <c r="D641" s="19">
        <v>44898</v>
      </c>
      <c r="E641" s="20">
        <v>45517</v>
      </c>
      <c r="F641" s="21">
        <v>2396.8000000000002</v>
      </c>
      <c r="G641" s="21">
        <v>2118.4</v>
      </c>
      <c r="H641" s="21">
        <v>24</v>
      </c>
      <c r="I641" s="18">
        <v>6734.4160000000002</v>
      </c>
      <c r="J641" s="18">
        <v>24683.776000000002</v>
      </c>
      <c r="K641" s="18" t="s">
        <v>43</v>
      </c>
      <c r="L641" s="18" t="s">
        <v>50</v>
      </c>
      <c r="M641" s="18" t="s">
        <v>24</v>
      </c>
      <c r="N641" s="22">
        <f t="shared" si="54"/>
        <v>0.88384512683578098</v>
      </c>
      <c r="O641" s="22">
        <f t="shared" si="55"/>
        <v>1.1329305135951699E-2</v>
      </c>
      <c r="P641" s="23">
        <f t="shared" si="56"/>
        <v>3.1790105740181298</v>
      </c>
      <c r="Q641" s="23">
        <f t="shared" si="57"/>
        <v>280.600666666667</v>
      </c>
      <c r="R641" s="22">
        <f t="shared" si="58"/>
        <v>2.6653179726349001</v>
      </c>
      <c r="S641" s="22">
        <f t="shared" si="59"/>
        <v>3.6653179726349001</v>
      </c>
    </row>
    <row r="642" spans="1:19">
      <c r="A642" s="18" t="s">
        <v>681</v>
      </c>
      <c r="B642" s="18" t="s">
        <v>20</v>
      </c>
      <c r="C642" s="18" t="s">
        <v>29</v>
      </c>
      <c r="D642" s="19">
        <v>44877</v>
      </c>
      <c r="E642" s="20">
        <v>45481</v>
      </c>
      <c r="F642" s="21">
        <v>63214.400000000001</v>
      </c>
      <c r="G642" s="21">
        <v>47624</v>
      </c>
      <c r="H642" s="21">
        <v>37088</v>
      </c>
      <c r="I642" s="18">
        <v>6672.6080000000002</v>
      </c>
      <c r="J642" s="18">
        <v>14139.744000000001</v>
      </c>
      <c r="K642" s="18" t="s">
        <v>43</v>
      </c>
      <c r="L642" s="18" t="s">
        <v>23</v>
      </c>
      <c r="M642" s="18" t="s">
        <v>32</v>
      </c>
      <c r="N642" s="22">
        <f t="shared" ref="N642:N705" si="60">G642/F642</f>
        <v>0.75337264926978698</v>
      </c>
      <c r="O642" s="22">
        <f t="shared" ref="O642:O705" si="61">H642/G642</f>
        <v>0.77876700823114398</v>
      </c>
      <c r="P642" s="23">
        <f t="shared" ref="P642:P705" si="62">I642/G642</f>
        <v>0.14011019653956</v>
      </c>
      <c r="Q642" s="23">
        <f t="shared" ref="Q642:Q705" si="63">I642/H642</f>
        <v>0.17991285591026701</v>
      </c>
      <c r="R642" s="22">
        <f t="shared" ref="R642:R705" si="64">(J642-I642)/I642</f>
        <v>1.11907308206926</v>
      </c>
      <c r="S642" s="22">
        <f t="shared" ref="S642:S705" si="65">J642/I642</f>
        <v>2.11907308206926</v>
      </c>
    </row>
    <row r="643" spans="1:19">
      <c r="A643" s="18" t="s">
        <v>682</v>
      </c>
      <c r="B643" s="18" t="s">
        <v>26</v>
      </c>
      <c r="C643" s="18" t="s">
        <v>48</v>
      </c>
      <c r="D643" s="19">
        <v>44752</v>
      </c>
      <c r="E643" s="20">
        <v>45369</v>
      </c>
      <c r="F643" s="21">
        <v>5524.8</v>
      </c>
      <c r="G643" s="21">
        <v>3953.6</v>
      </c>
      <c r="H643" s="21">
        <v>286.39999999999998</v>
      </c>
      <c r="I643" s="18">
        <v>3338.5279999999998</v>
      </c>
      <c r="J643" s="18">
        <v>7653.152</v>
      </c>
      <c r="K643" s="18" t="s">
        <v>43</v>
      </c>
      <c r="L643" s="18" t="s">
        <v>35</v>
      </c>
      <c r="M643" s="18" t="s">
        <v>32</v>
      </c>
      <c r="N643" s="22">
        <f t="shared" si="60"/>
        <v>0.71560961482768604</v>
      </c>
      <c r="O643" s="22">
        <f t="shared" si="61"/>
        <v>7.24403075677863E-2</v>
      </c>
      <c r="P643" s="23">
        <f t="shared" si="62"/>
        <v>0.84442735734520402</v>
      </c>
      <c r="Q643" s="23">
        <f t="shared" si="63"/>
        <v>11.656871508379901</v>
      </c>
      <c r="R643" s="22">
        <f t="shared" si="64"/>
        <v>1.2923731656586399</v>
      </c>
      <c r="S643" s="22">
        <f t="shared" si="65"/>
        <v>2.2923731656586401</v>
      </c>
    </row>
    <row r="644" spans="1:19">
      <c r="A644" s="18" t="s">
        <v>683</v>
      </c>
      <c r="B644" s="18" t="s">
        <v>47</v>
      </c>
      <c r="C644" s="18" t="s">
        <v>29</v>
      </c>
      <c r="D644" s="19">
        <v>44754</v>
      </c>
      <c r="E644" s="20">
        <v>45356</v>
      </c>
      <c r="F644" s="21">
        <v>44187.199999999997</v>
      </c>
      <c r="G644" s="21">
        <v>6260.8</v>
      </c>
      <c r="H644" s="21">
        <v>3886.4</v>
      </c>
      <c r="I644" s="18">
        <v>3945.7280000000001</v>
      </c>
      <c r="J644" s="18">
        <v>6989.0720000000001</v>
      </c>
      <c r="K644" s="18" t="s">
        <v>43</v>
      </c>
      <c r="L644" s="18" t="s">
        <v>23</v>
      </c>
      <c r="M644" s="18" t="s">
        <v>24</v>
      </c>
      <c r="N644" s="22">
        <f t="shared" si="60"/>
        <v>0.14168809066879101</v>
      </c>
      <c r="O644" s="22">
        <f t="shared" si="61"/>
        <v>0.62075134168157398</v>
      </c>
      <c r="P644" s="23">
        <f t="shared" si="62"/>
        <v>0.63022744697163302</v>
      </c>
      <c r="Q644" s="23">
        <f t="shared" si="63"/>
        <v>1.01526554137505</v>
      </c>
      <c r="R644" s="22">
        <f t="shared" si="64"/>
        <v>0.77130101213261504</v>
      </c>
      <c r="S644" s="22">
        <f t="shared" si="65"/>
        <v>1.77130101213262</v>
      </c>
    </row>
    <row r="645" spans="1:19">
      <c r="A645" s="18" t="s">
        <v>684</v>
      </c>
      <c r="B645" s="18" t="s">
        <v>34</v>
      </c>
      <c r="C645" s="18" t="s">
        <v>21</v>
      </c>
      <c r="D645" s="19">
        <v>44957</v>
      </c>
      <c r="E645" s="20">
        <v>45572</v>
      </c>
      <c r="F645" s="21">
        <v>67097.600000000006</v>
      </c>
      <c r="G645" s="21">
        <v>65304</v>
      </c>
      <c r="H645" s="21">
        <v>1310.4000000000001</v>
      </c>
      <c r="I645" s="18">
        <v>5953.1360000000004</v>
      </c>
      <c r="J645" s="18">
        <v>10726.24</v>
      </c>
      <c r="K645" s="18" t="s">
        <v>22</v>
      </c>
      <c r="L645" s="18" t="s">
        <v>50</v>
      </c>
      <c r="M645" s="18" t="s">
        <v>24</v>
      </c>
      <c r="N645" s="22">
        <f t="shared" si="60"/>
        <v>0.973268790537963</v>
      </c>
      <c r="O645" s="22">
        <f t="shared" si="61"/>
        <v>2.0066152149944901E-2</v>
      </c>
      <c r="P645" s="23">
        <f t="shared" si="62"/>
        <v>9.1160357711625603E-2</v>
      </c>
      <c r="Q645" s="23">
        <f t="shared" si="63"/>
        <v>4.5429914529914504</v>
      </c>
      <c r="R645" s="22">
        <f t="shared" si="64"/>
        <v>0.80177976784000904</v>
      </c>
      <c r="S645" s="22">
        <f t="shared" si="65"/>
        <v>1.80177976784001</v>
      </c>
    </row>
    <row r="646" spans="1:19">
      <c r="A646" s="18" t="s">
        <v>685</v>
      </c>
      <c r="B646" s="18" t="s">
        <v>26</v>
      </c>
      <c r="C646" s="18" t="s">
        <v>21</v>
      </c>
      <c r="D646" s="19">
        <v>44922</v>
      </c>
      <c r="E646" s="20">
        <v>45543</v>
      </c>
      <c r="F646" s="21">
        <v>42292.800000000003</v>
      </c>
      <c r="G646" s="21">
        <v>3985.6</v>
      </c>
      <c r="H646" s="21">
        <v>2275.1999999999998</v>
      </c>
      <c r="I646" s="18">
        <v>5942.2079999999996</v>
      </c>
      <c r="J646" s="18">
        <v>9443.5040000000008</v>
      </c>
      <c r="K646" s="18" t="s">
        <v>38</v>
      </c>
      <c r="L646" s="18" t="s">
        <v>23</v>
      </c>
      <c r="M646" s="18" t="s">
        <v>24</v>
      </c>
      <c r="N646" s="22">
        <f t="shared" si="60"/>
        <v>9.4238262777588594E-2</v>
      </c>
      <c r="O646" s="22">
        <f t="shared" si="61"/>
        <v>0.57085507828181403</v>
      </c>
      <c r="P646" s="23">
        <f t="shared" si="62"/>
        <v>1.4909193095142499</v>
      </c>
      <c r="Q646" s="23">
        <f t="shared" si="63"/>
        <v>2.6117299578059101</v>
      </c>
      <c r="R646" s="22">
        <f t="shared" si="64"/>
        <v>0.58922474608764996</v>
      </c>
      <c r="S646" s="22">
        <f t="shared" si="65"/>
        <v>1.5892247460876501</v>
      </c>
    </row>
    <row r="647" spans="1:19">
      <c r="A647" s="18" t="s">
        <v>686</v>
      </c>
      <c r="B647" s="18" t="s">
        <v>40</v>
      </c>
      <c r="C647" s="18" t="s">
        <v>41</v>
      </c>
      <c r="D647" s="19">
        <v>44805</v>
      </c>
      <c r="E647" s="20">
        <v>45430</v>
      </c>
      <c r="F647" s="21">
        <v>55433.599999999999</v>
      </c>
      <c r="G647" s="21">
        <v>41224</v>
      </c>
      <c r="H647" s="21">
        <v>29323.200000000001</v>
      </c>
      <c r="I647" s="18">
        <v>6865.9359999999997</v>
      </c>
      <c r="J647" s="18">
        <v>21598.944</v>
      </c>
      <c r="K647" s="18" t="s">
        <v>30</v>
      </c>
      <c r="L647" s="18" t="s">
        <v>50</v>
      </c>
      <c r="M647" s="18" t="s">
        <v>24</v>
      </c>
      <c r="N647" s="22">
        <f t="shared" si="60"/>
        <v>0.74366449229348297</v>
      </c>
      <c r="O647" s="22">
        <f t="shared" si="61"/>
        <v>0.71131379778769699</v>
      </c>
      <c r="P647" s="23">
        <f t="shared" si="62"/>
        <v>0.16655191150786</v>
      </c>
      <c r="Q647" s="23">
        <f t="shared" si="63"/>
        <v>0.23414688710645501</v>
      </c>
      <c r="R647" s="22">
        <f t="shared" si="64"/>
        <v>2.1458120203858599</v>
      </c>
      <c r="S647" s="22">
        <f t="shared" si="65"/>
        <v>3.1458120203858599</v>
      </c>
    </row>
    <row r="648" spans="1:19">
      <c r="A648" s="18" t="s">
        <v>687</v>
      </c>
      <c r="B648" s="18" t="s">
        <v>47</v>
      </c>
      <c r="C648" s="18" t="s">
        <v>41</v>
      </c>
      <c r="D648" s="19">
        <v>44830</v>
      </c>
      <c r="E648" s="20">
        <v>45447</v>
      </c>
      <c r="F648" s="21">
        <v>62881.599999999999</v>
      </c>
      <c r="G648" s="21">
        <v>18958.400000000001</v>
      </c>
      <c r="H648" s="21">
        <v>8939.2000000000007</v>
      </c>
      <c r="I648" s="18">
        <v>7683.92</v>
      </c>
      <c r="J648" s="18">
        <v>13395.871999999999</v>
      </c>
      <c r="K648" s="18" t="s">
        <v>43</v>
      </c>
      <c r="L648" s="18" t="s">
        <v>44</v>
      </c>
      <c r="M648" s="18" t="s">
        <v>24</v>
      </c>
      <c r="N648" s="22">
        <f t="shared" si="60"/>
        <v>0.30149360067173903</v>
      </c>
      <c r="O648" s="22">
        <f t="shared" si="61"/>
        <v>0.47151658367794802</v>
      </c>
      <c r="P648" s="23">
        <f t="shared" si="62"/>
        <v>0.405304245083973</v>
      </c>
      <c r="Q648" s="23">
        <f t="shared" si="63"/>
        <v>0.85957580096652897</v>
      </c>
      <c r="R648" s="22">
        <f t="shared" si="64"/>
        <v>0.74336432445939005</v>
      </c>
      <c r="S648" s="22">
        <f t="shared" si="65"/>
        <v>1.7433643244593899</v>
      </c>
    </row>
    <row r="649" spans="1:19">
      <c r="A649" s="18" t="s">
        <v>688</v>
      </c>
      <c r="B649" s="18" t="s">
        <v>47</v>
      </c>
      <c r="C649" s="18" t="s">
        <v>29</v>
      </c>
      <c r="D649" s="19">
        <v>44734</v>
      </c>
      <c r="E649" s="20">
        <v>45349</v>
      </c>
      <c r="F649" s="21">
        <v>10696</v>
      </c>
      <c r="G649" s="21">
        <v>1635.2</v>
      </c>
      <c r="H649" s="21">
        <v>425.6</v>
      </c>
      <c r="I649" s="18">
        <v>2209.36</v>
      </c>
      <c r="J649" s="18">
        <v>4492.1279999999997</v>
      </c>
      <c r="K649" s="18" t="s">
        <v>30</v>
      </c>
      <c r="L649" s="18" t="s">
        <v>35</v>
      </c>
      <c r="M649" s="18" t="s">
        <v>32</v>
      </c>
      <c r="N649" s="22">
        <f t="shared" si="60"/>
        <v>0.15287958115183201</v>
      </c>
      <c r="O649" s="22">
        <f t="shared" si="61"/>
        <v>0.26027397260273999</v>
      </c>
      <c r="P649" s="23">
        <f t="shared" si="62"/>
        <v>1.3511252446183999</v>
      </c>
      <c r="Q649" s="23">
        <f t="shared" si="63"/>
        <v>5.1911654135338301</v>
      </c>
      <c r="R649" s="22">
        <f t="shared" si="64"/>
        <v>1.0332259115761999</v>
      </c>
      <c r="S649" s="22">
        <f t="shared" si="65"/>
        <v>2.0332259115762001</v>
      </c>
    </row>
    <row r="650" spans="1:19">
      <c r="A650" s="18" t="s">
        <v>689</v>
      </c>
      <c r="B650" s="18" t="s">
        <v>34</v>
      </c>
      <c r="C650" s="18" t="s">
        <v>41</v>
      </c>
      <c r="D650" s="19">
        <v>44964</v>
      </c>
      <c r="E650" s="20">
        <v>45581</v>
      </c>
      <c r="F650" s="21">
        <v>16958.400000000001</v>
      </c>
      <c r="G650" s="21">
        <v>5902.4</v>
      </c>
      <c r="H650" s="21">
        <v>1425.6</v>
      </c>
      <c r="I650" s="18">
        <v>1836.192</v>
      </c>
      <c r="J650" s="18">
        <v>2356.0160000000001</v>
      </c>
      <c r="K650" s="18" t="s">
        <v>65</v>
      </c>
      <c r="L650" s="18" t="s">
        <v>50</v>
      </c>
      <c r="M650" s="18" t="s">
        <v>32</v>
      </c>
      <c r="N650" s="22">
        <f t="shared" si="60"/>
        <v>0.34805170299084798</v>
      </c>
      <c r="O650" s="22">
        <f t="shared" si="61"/>
        <v>0.241528869612361</v>
      </c>
      <c r="P650" s="23">
        <f t="shared" si="62"/>
        <v>0.31109243697479</v>
      </c>
      <c r="Q650" s="23">
        <f t="shared" si="63"/>
        <v>1.2880134680134701</v>
      </c>
      <c r="R650" s="22">
        <f t="shared" si="64"/>
        <v>0.28309893518760598</v>
      </c>
      <c r="S650" s="22">
        <f t="shared" si="65"/>
        <v>1.2830989351876101</v>
      </c>
    </row>
    <row r="651" spans="1:19">
      <c r="A651" s="18" t="s">
        <v>690</v>
      </c>
      <c r="B651" s="18" t="s">
        <v>20</v>
      </c>
      <c r="C651" s="18" t="s">
        <v>29</v>
      </c>
      <c r="D651" s="19">
        <v>44708</v>
      </c>
      <c r="E651" s="20">
        <v>45314</v>
      </c>
      <c r="F651" s="21">
        <v>5804.8</v>
      </c>
      <c r="G651" s="21">
        <v>3148.8</v>
      </c>
      <c r="H651" s="21">
        <v>2580.8000000000002</v>
      </c>
      <c r="I651" s="18">
        <v>3167.9520000000002</v>
      </c>
      <c r="J651" s="18">
        <v>11698.48</v>
      </c>
      <c r="K651" s="18" t="s">
        <v>38</v>
      </c>
      <c r="L651" s="18" t="s">
        <v>35</v>
      </c>
      <c r="M651" s="18" t="s">
        <v>24</v>
      </c>
      <c r="N651" s="22">
        <f t="shared" si="60"/>
        <v>0.54244762954796</v>
      </c>
      <c r="O651" s="22">
        <f t="shared" si="61"/>
        <v>0.81961382113821102</v>
      </c>
      <c r="P651" s="23">
        <f t="shared" si="62"/>
        <v>1.0060823170731701</v>
      </c>
      <c r="Q651" s="23">
        <f t="shared" si="63"/>
        <v>1.2275077495350299</v>
      </c>
      <c r="R651" s="22">
        <f t="shared" si="64"/>
        <v>2.6927579710803702</v>
      </c>
      <c r="S651" s="22">
        <f t="shared" si="65"/>
        <v>3.6927579710803702</v>
      </c>
    </row>
    <row r="652" spans="1:19">
      <c r="A652" s="18" t="s">
        <v>691</v>
      </c>
      <c r="B652" s="18" t="s">
        <v>40</v>
      </c>
      <c r="C652" s="18" t="s">
        <v>41</v>
      </c>
      <c r="D652" s="19">
        <v>44783</v>
      </c>
      <c r="E652" s="20">
        <v>45398</v>
      </c>
      <c r="F652" s="21">
        <v>68132.800000000003</v>
      </c>
      <c r="G652" s="21">
        <v>65432</v>
      </c>
      <c r="H652" s="21">
        <v>55328</v>
      </c>
      <c r="I652" s="18">
        <v>1884.6880000000001</v>
      </c>
      <c r="J652" s="18">
        <v>3536.0479999999998</v>
      </c>
      <c r="K652" s="18" t="s">
        <v>30</v>
      </c>
      <c r="L652" s="18" t="s">
        <v>44</v>
      </c>
      <c r="M652" s="18" t="s">
        <v>24</v>
      </c>
      <c r="N652" s="22">
        <f t="shared" si="60"/>
        <v>0.96035976798252798</v>
      </c>
      <c r="O652" s="22">
        <f t="shared" si="61"/>
        <v>0.84558014427191597</v>
      </c>
      <c r="P652" s="23">
        <f t="shared" si="62"/>
        <v>2.8803765741533201E-2</v>
      </c>
      <c r="Q652" s="23">
        <f t="shared" si="63"/>
        <v>3.4063909774436102E-2</v>
      </c>
      <c r="R652" s="22">
        <f t="shared" si="64"/>
        <v>0.87619807628636703</v>
      </c>
      <c r="S652" s="22">
        <f t="shared" si="65"/>
        <v>1.8761980762863699</v>
      </c>
    </row>
    <row r="653" spans="1:19">
      <c r="A653" s="18" t="s">
        <v>692</v>
      </c>
      <c r="B653" s="18" t="s">
        <v>34</v>
      </c>
      <c r="C653" s="18" t="s">
        <v>41</v>
      </c>
      <c r="D653" s="19">
        <v>44727</v>
      </c>
      <c r="E653" s="20">
        <v>45338</v>
      </c>
      <c r="F653" s="21">
        <v>20270.400000000001</v>
      </c>
      <c r="G653" s="21">
        <v>9515.2000000000007</v>
      </c>
      <c r="H653" s="21">
        <v>2657.6</v>
      </c>
      <c r="I653" s="18">
        <v>1892.3520000000001</v>
      </c>
      <c r="J653" s="18">
        <v>4825.424</v>
      </c>
      <c r="K653" s="18" t="s">
        <v>65</v>
      </c>
      <c r="L653" s="18" t="s">
        <v>31</v>
      </c>
      <c r="M653" s="18" t="s">
        <v>24</v>
      </c>
      <c r="N653" s="22">
        <f t="shared" si="60"/>
        <v>0.46941352908674699</v>
      </c>
      <c r="O653" s="22">
        <f t="shared" si="61"/>
        <v>0.27930048764082699</v>
      </c>
      <c r="P653" s="23">
        <f t="shared" si="62"/>
        <v>0.198876744577098</v>
      </c>
      <c r="Q653" s="23">
        <f t="shared" si="63"/>
        <v>0.71205298013245</v>
      </c>
      <c r="R653" s="22">
        <f t="shared" si="64"/>
        <v>1.54996110660173</v>
      </c>
      <c r="S653" s="22">
        <f t="shared" si="65"/>
        <v>2.5499611066017298</v>
      </c>
    </row>
    <row r="654" spans="1:19">
      <c r="A654" s="18" t="s">
        <v>693</v>
      </c>
      <c r="B654" s="18" t="s">
        <v>20</v>
      </c>
      <c r="C654" s="18" t="s">
        <v>29</v>
      </c>
      <c r="D654" s="19">
        <v>44733</v>
      </c>
      <c r="E654" s="20">
        <v>45340</v>
      </c>
      <c r="F654" s="21">
        <v>77198.399999999994</v>
      </c>
      <c r="G654" s="21">
        <v>14064</v>
      </c>
      <c r="H654" s="21">
        <v>3728</v>
      </c>
      <c r="I654" s="18">
        <v>5737.92</v>
      </c>
      <c r="J654" s="18">
        <v>19601.567999999999</v>
      </c>
      <c r="K654" s="18" t="s">
        <v>38</v>
      </c>
      <c r="L654" s="18" t="s">
        <v>35</v>
      </c>
      <c r="M654" s="18" t="s">
        <v>24</v>
      </c>
      <c r="N654" s="22">
        <f t="shared" si="60"/>
        <v>0.182179941553193</v>
      </c>
      <c r="O654" s="22">
        <f t="shared" si="61"/>
        <v>0.26507394766780401</v>
      </c>
      <c r="P654" s="23">
        <f t="shared" si="62"/>
        <v>0.40798634812286699</v>
      </c>
      <c r="Q654" s="23">
        <f t="shared" si="63"/>
        <v>1.53914163090129</v>
      </c>
      <c r="R654" s="22">
        <f t="shared" si="64"/>
        <v>2.4161452233562</v>
      </c>
      <c r="S654" s="22">
        <f t="shared" si="65"/>
        <v>3.4161452233562</v>
      </c>
    </row>
    <row r="655" spans="1:19">
      <c r="A655" s="18" t="s">
        <v>694</v>
      </c>
      <c r="B655" s="18" t="s">
        <v>40</v>
      </c>
      <c r="C655" s="18" t="s">
        <v>48</v>
      </c>
      <c r="D655" s="19">
        <v>44856</v>
      </c>
      <c r="E655" s="20">
        <v>45458</v>
      </c>
      <c r="F655" s="21">
        <v>60614.400000000001</v>
      </c>
      <c r="G655" s="21">
        <v>40940.800000000003</v>
      </c>
      <c r="H655" s="21">
        <v>26486.400000000001</v>
      </c>
      <c r="I655" s="18">
        <v>4317.5839999999998</v>
      </c>
      <c r="J655" s="18">
        <v>11910.384</v>
      </c>
      <c r="K655" s="18" t="s">
        <v>65</v>
      </c>
      <c r="L655" s="18" t="s">
        <v>23</v>
      </c>
      <c r="M655" s="18" t="s">
        <v>32</v>
      </c>
      <c r="N655" s="22">
        <f t="shared" si="60"/>
        <v>0.67543026079611401</v>
      </c>
      <c r="O655" s="22">
        <f t="shared" si="61"/>
        <v>0.64694387994372404</v>
      </c>
      <c r="P655" s="23">
        <f t="shared" si="62"/>
        <v>0.105459199624824</v>
      </c>
      <c r="Q655" s="23">
        <f t="shared" si="63"/>
        <v>0.163011356771777</v>
      </c>
      <c r="R655" s="22">
        <f t="shared" si="64"/>
        <v>1.7585760925554701</v>
      </c>
      <c r="S655" s="22">
        <f t="shared" si="65"/>
        <v>2.7585760925554701</v>
      </c>
    </row>
    <row r="656" spans="1:19">
      <c r="A656" s="18" t="s">
        <v>695</v>
      </c>
      <c r="B656" s="18" t="s">
        <v>47</v>
      </c>
      <c r="C656" s="18" t="s">
        <v>21</v>
      </c>
      <c r="D656" s="19">
        <v>44767</v>
      </c>
      <c r="E656" s="20">
        <v>45381</v>
      </c>
      <c r="F656" s="21">
        <v>21785.599999999999</v>
      </c>
      <c r="G656" s="21">
        <v>3126.4</v>
      </c>
      <c r="H656" s="21">
        <v>2952</v>
      </c>
      <c r="I656" s="18">
        <v>3274.9279999999999</v>
      </c>
      <c r="J656" s="18">
        <v>11451.92</v>
      </c>
      <c r="K656" s="18" t="s">
        <v>43</v>
      </c>
      <c r="L656" s="18" t="s">
        <v>44</v>
      </c>
      <c r="M656" s="18" t="s">
        <v>32</v>
      </c>
      <c r="N656" s="22">
        <f t="shared" si="60"/>
        <v>0.14350763807285499</v>
      </c>
      <c r="O656" s="22">
        <f t="shared" si="61"/>
        <v>0.94421699078812704</v>
      </c>
      <c r="P656" s="23">
        <f t="shared" si="62"/>
        <v>1.0475076765608999</v>
      </c>
      <c r="Q656" s="23">
        <f t="shared" si="63"/>
        <v>1.10939295392954</v>
      </c>
      <c r="R656" s="22">
        <f t="shared" si="64"/>
        <v>2.49684634288143</v>
      </c>
      <c r="S656" s="22">
        <f t="shared" si="65"/>
        <v>3.49684634288143</v>
      </c>
    </row>
    <row r="657" spans="1:19">
      <c r="A657" s="18" t="s">
        <v>696</v>
      </c>
      <c r="B657" s="18" t="s">
        <v>26</v>
      </c>
      <c r="C657" s="18" t="s">
        <v>48</v>
      </c>
      <c r="D657" s="19">
        <v>44855</v>
      </c>
      <c r="E657" s="20">
        <v>45456</v>
      </c>
      <c r="F657" s="21">
        <v>43844.800000000003</v>
      </c>
      <c r="G657" s="21">
        <v>19748.8</v>
      </c>
      <c r="H657" s="21">
        <v>5017.6000000000004</v>
      </c>
      <c r="I657" s="18">
        <v>6014.6559999999999</v>
      </c>
      <c r="J657" s="18">
        <v>13354.544</v>
      </c>
      <c r="K657" s="18" t="s">
        <v>30</v>
      </c>
      <c r="L657" s="18" t="s">
        <v>23</v>
      </c>
      <c r="M657" s="18" t="s">
        <v>32</v>
      </c>
      <c r="N657" s="22">
        <f t="shared" si="60"/>
        <v>0.450425135934022</v>
      </c>
      <c r="O657" s="22">
        <f t="shared" si="61"/>
        <v>0.254071133435956</v>
      </c>
      <c r="P657" s="23">
        <f t="shared" si="62"/>
        <v>0.30455804909665402</v>
      </c>
      <c r="Q657" s="23">
        <f t="shared" si="63"/>
        <v>1.19871173469388</v>
      </c>
      <c r="R657" s="22">
        <f t="shared" si="64"/>
        <v>1.2203337979761399</v>
      </c>
      <c r="S657" s="22">
        <f t="shared" si="65"/>
        <v>2.2203337979761399</v>
      </c>
    </row>
    <row r="658" spans="1:19">
      <c r="A658" s="18" t="s">
        <v>697</v>
      </c>
      <c r="B658" s="18" t="s">
        <v>20</v>
      </c>
      <c r="C658" s="18" t="s">
        <v>41</v>
      </c>
      <c r="D658" s="19">
        <v>44838</v>
      </c>
      <c r="E658" s="20">
        <v>45466</v>
      </c>
      <c r="F658" s="21">
        <v>72400</v>
      </c>
      <c r="G658" s="21">
        <v>60358.400000000001</v>
      </c>
      <c r="H658" s="21">
        <v>14473.6</v>
      </c>
      <c r="I658" s="18">
        <v>2053.3440000000001</v>
      </c>
      <c r="J658" s="18">
        <v>6223.6959999999999</v>
      </c>
      <c r="K658" s="18" t="s">
        <v>43</v>
      </c>
      <c r="L658" s="18" t="s">
        <v>44</v>
      </c>
      <c r="M658" s="18" t="s">
        <v>24</v>
      </c>
      <c r="N658" s="22">
        <f t="shared" si="60"/>
        <v>0.83367955801104998</v>
      </c>
      <c r="O658" s="22">
        <f t="shared" si="61"/>
        <v>0.23979429540875799</v>
      </c>
      <c r="P658" s="23">
        <f t="shared" si="62"/>
        <v>3.4019192026296302E-2</v>
      </c>
      <c r="Q658" s="23">
        <f t="shared" si="63"/>
        <v>0.141868229051514</v>
      </c>
      <c r="R658" s="22">
        <f t="shared" si="64"/>
        <v>2.03100503374008</v>
      </c>
      <c r="S658" s="22">
        <f t="shared" si="65"/>
        <v>3.03100503374008</v>
      </c>
    </row>
    <row r="659" spans="1:19">
      <c r="A659" s="18" t="s">
        <v>698</v>
      </c>
      <c r="B659" s="18" t="s">
        <v>34</v>
      </c>
      <c r="C659" s="18" t="s">
        <v>29</v>
      </c>
      <c r="D659" s="19">
        <v>44924</v>
      </c>
      <c r="E659" s="20">
        <v>45526</v>
      </c>
      <c r="F659" s="21">
        <v>51108.800000000003</v>
      </c>
      <c r="G659" s="21">
        <v>42246.400000000001</v>
      </c>
      <c r="H659" s="21">
        <v>33972.800000000003</v>
      </c>
      <c r="I659" s="18">
        <v>5957.9520000000002</v>
      </c>
      <c r="J659" s="18">
        <v>7985.5039999999999</v>
      </c>
      <c r="K659" s="18" t="s">
        <v>22</v>
      </c>
      <c r="L659" s="18" t="s">
        <v>50</v>
      </c>
      <c r="M659" s="18" t="s">
        <v>24</v>
      </c>
      <c r="N659" s="22">
        <f t="shared" si="60"/>
        <v>0.82659737657702803</v>
      </c>
      <c r="O659" s="22">
        <f t="shared" si="61"/>
        <v>0.80415846083926701</v>
      </c>
      <c r="P659" s="23">
        <f t="shared" si="62"/>
        <v>0.14102863202545099</v>
      </c>
      <c r="Q659" s="23">
        <f t="shared" si="63"/>
        <v>0.17537418169829999</v>
      </c>
      <c r="R659" s="22">
        <f t="shared" si="64"/>
        <v>0.34031022740700201</v>
      </c>
      <c r="S659" s="22">
        <f t="shared" si="65"/>
        <v>1.340310227407</v>
      </c>
    </row>
    <row r="660" spans="1:19">
      <c r="A660" s="18" t="s">
        <v>699</v>
      </c>
      <c r="B660" s="18" t="s">
        <v>34</v>
      </c>
      <c r="C660" s="18" t="s">
        <v>29</v>
      </c>
      <c r="D660" s="19">
        <v>44989</v>
      </c>
      <c r="E660" s="20">
        <v>45591</v>
      </c>
      <c r="F660" s="21">
        <v>21150.400000000001</v>
      </c>
      <c r="G660" s="21">
        <v>3788.8</v>
      </c>
      <c r="H660" s="21">
        <v>2203.1999999999998</v>
      </c>
      <c r="I660" s="18">
        <v>3319.8879999999999</v>
      </c>
      <c r="J660" s="18">
        <v>9403.5360000000001</v>
      </c>
      <c r="K660" s="18" t="s">
        <v>65</v>
      </c>
      <c r="L660" s="18" t="s">
        <v>23</v>
      </c>
      <c r="M660" s="18" t="s">
        <v>24</v>
      </c>
      <c r="N660" s="22">
        <f t="shared" si="60"/>
        <v>0.17913609198880401</v>
      </c>
      <c r="O660" s="22">
        <f t="shared" si="61"/>
        <v>0.58150337837837796</v>
      </c>
      <c r="P660" s="23">
        <f t="shared" si="62"/>
        <v>0.87623733108108104</v>
      </c>
      <c r="Q660" s="23">
        <f t="shared" si="63"/>
        <v>1.50684822076979</v>
      </c>
      <c r="R660" s="22">
        <f t="shared" si="64"/>
        <v>1.8324859151874999</v>
      </c>
      <c r="S660" s="22">
        <f t="shared" si="65"/>
        <v>2.8324859151875001</v>
      </c>
    </row>
    <row r="661" spans="1:19">
      <c r="A661" s="18" t="s">
        <v>700</v>
      </c>
      <c r="B661" s="18" t="s">
        <v>28</v>
      </c>
      <c r="C661" s="18" t="s">
        <v>48</v>
      </c>
      <c r="D661" s="19">
        <v>44900</v>
      </c>
      <c r="E661" s="20">
        <v>45527</v>
      </c>
      <c r="F661" s="21">
        <v>54136</v>
      </c>
      <c r="G661" s="21">
        <v>47766.400000000001</v>
      </c>
      <c r="H661" s="21">
        <v>18793.599999999999</v>
      </c>
      <c r="I661" s="18">
        <v>4852.6880000000001</v>
      </c>
      <c r="J661" s="18">
        <v>6072.0959999999995</v>
      </c>
      <c r="K661" s="18" t="s">
        <v>38</v>
      </c>
      <c r="L661" s="18" t="s">
        <v>23</v>
      </c>
      <c r="M661" s="18" t="s">
        <v>32</v>
      </c>
      <c r="N661" s="22">
        <f t="shared" si="60"/>
        <v>0.88234077139057199</v>
      </c>
      <c r="O661" s="22">
        <f t="shared" si="61"/>
        <v>0.39344811415555703</v>
      </c>
      <c r="P661" s="23">
        <f t="shared" si="62"/>
        <v>0.101592081463121</v>
      </c>
      <c r="Q661" s="23">
        <f t="shared" si="63"/>
        <v>0.25820960326919801</v>
      </c>
      <c r="R661" s="22">
        <f t="shared" si="64"/>
        <v>0.25128506098063602</v>
      </c>
      <c r="S661" s="22">
        <f t="shared" si="65"/>
        <v>1.2512850609806401</v>
      </c>
    </row>
    <row r="662" spans="1:19">
      <c r="A662" s="18" t="s">
        <v>701</v>
      </c>
      <c r="B662" s="18" t="s">
        <v>28</v>
      </c>
      <c r="C662" s="18" t="s">
        <v>29</v>
      </c>
      <c r="D662" s="19">
        <v>44799</v>
      </c>
      <c r="E662" s="20">
        <v>45422</v>
      </c>
      <c r="F662" s="21">
        <v>34953.599999999999</v>
      </c>
      <c r="G662" s="21">
        <v>12203.2</v>
      </c>
      <c r="H662" s="21">
        <v>6764.8</v>
      </c>
      <c r="I662" s="18">
        <v>4089.9839999999999</v>
      </c>
      <c r="J662" s="18">
        <v>11009.008</v>
      </c>
      <c r="K662" s="18" t="s">
        <v>38</v>
      </c>
      <c r="L662" s="18" t="s">
        <v>44</v>
      </c>
      <c r="M662" s="18" t="s">
        <v>32</v>
      </c>
      <c r="N662" s="22">
        <f t="shared" si="60"/>
        <v>0.34912569806829602</v>
      </c>
      <c r="O662" s="22">
        <f t="shared" si="61"/>
        <v>0.55434640094401499</v>
      </c>
      <c r="P662" s="23">
        <f t="shared" si="62"/>
        <v>0.33515668021502598</v>
      </c>
      <c r="Q662" s="23">
        <f t="shared" si="63"/>
        <v>0.604597918637654</v>
      </c>
      <c r="R662" s="22">
        <f t="shared" si="64"/>
        <v>1.6916995274309099</v>
      </c>
      <c r="S662" s="22">
        <f t="shared" si="65"/>
        <v>2.6916995274309099</v>
      </c>
    </row>
    <row r="663" spans="1:19">
      <c r="A663" s="18" t="s">
        <v>702</v>
      </c>
      <c r="B663" s="18" t="s">
        <v>47</v>
      </c>
      <c r="C663" s="18" t="s">
        <v>21</v>
      </c>
      <c r="D663" s="19">
        <v>44728</v>
      </c>
      <c r="E663" s="20">
        <v>45339</v>
      </c>
      <c r="F663" s="21">
        <v>7448</v>
      </c>
      <c r="G663" s="21">
        <v>3713.6</v>
      </c>
      <c r="H663" s="21">
        <v>1654.4</v>
      </c>
      <c r="I663" s="18">
        <v>3739.2959999999998</v>
      </c>
      <c r="J663" s="18">
        <v>7828.6880000000001</v>
      </c>
      <c r="K663" s="18" t="s">
        <v>65</v>
      </c>
      <c r="L663" s="18" t="s">
        <v>44</v>
      </c>
      <c r="M663" s="18" t="s">
        <v>24</v>
      </c>
      <c r="N663" s="22">
        <f t="shared" si="60"/>
        <v>0.49860365198711099</v>
      </c>
      <c r="O663" s="22">
        <f t="shared" si="61"/>
        <v>0.44549763033175399</v>
      </c>
      <c r="P663" s="23">
        <f t="shared" si="62"/>
        <v>1.0069194312796199</v>
      </c>
      <c r="Q663" s="23">
        <f t="shared" si="63"/>
        <v>2.26021276595745</v>
      </c>
      <c r="R663" s="22">
        <f t="shared" si="64"/>
        <v>1.0936261799012399</v>
      </c>
      <c r="S663" s="22">
        <f t="shared" si="65"/>
        <v>2.0936261799012401</v>
      </c>
    </row>
    <row r="664" spans="1:19">
      <c r="A664" s="18" t="s">
        <v>703</v>
      </c>
      <c r="B664" s="18" t="s">
        <v>47</v>
      </c>
      <c r="C664" s="18" t="s">
        <v>48</v>
      </c>
      <c r="D664" s="19">
        <v>44794</v>
      </c>
      <c r="E664" s="20">
        <v>45420</v>
      </c>
      <c r="F664" s="21">
        <v>34537.599999999999</v>
      </c>
      <c r="G664" s="21">
        <v>31222.400000000001</v>
      </c>
      <c r="H664" s="21">
        <v>1366.4</v>
      </c>
      <c r="I664" s="18">
        <v>4968.384</v>
      </c>
      <c r="J664" s="18">
        <v>19810.592000000001</v>
      </c>
      <c r="K664" s="18" t="s">
        <v>43</v>
      </c>
      <c r="L664" s="18" t="s">
        <v>44</v>
      </c>
      <c r="M664" s="18" t="s">
        <v>24</v>
      </c>
      <c r="N664" s="22">
        <f t="shared" si="60"/>
        <v>0.90401185953858998</v>
      </c>
      <c r="O664" s="22">
        <f t="shared" si="61"/>
        <v>4.3763451880701E-2</v>
      </c>
      <c r="P664" s="23">
        <f t="shared" si="62"/>
        <v>0.15912883058317101</v>
      </c>
      <c r="Q664" s="23">
        <f t="shared" si="63"/>
        <v>3.6361124121779902</v>
      </c>
      <c r="R664" s="22">
        <f t="shared" si="64"/>
        <v>2.9873310919606899</v>
      </c>
      <c r="S664" s="22">
        <f t="shared" si="65"/>
        <v>3.9873310919606899</v>
      </c>
    </row>
    <row r="665" spans="1:19">
      <c r="A665" s="18" t="s">
        <v>704</v>
      </c>
      <c r="B665" s="18" t="s">
        <v>40</v>
      </c>
      <c r="C665" s="18" t="s">
        <v>41</v>
      </c>
      <c r="D665" s="19">
        <v>44916</v>
      </c>
      <c r="E665" s="20">
        <v>45524</v>
      </c>
      <c r="F665" s="21">
        <v>19566.400000000001</v>
      </c>
      <c r="G665" s="21">
        <v>2680</v>
      </c>
      <c r="H665" s="21">
        <v>905.6</v>
      </c>
      <c r="I665" s="18">
        <v>7401.4560000000001</v>
      </c>
      <c r="J665" s="18">
        <v>28543.984</v>
      </c>
      <c r="K665" s="18" t="s">
        <v>65</v>
      </c>
      <c r="L665" s="18" t="s">
        <v>35</v>
      </c>
      <c r="M665" s="18" t="s">
        <v>32</v>
      </c>
      <c r="N665" s="22">
        <f t="shared" si="60"/>
        <v>0.13696949873252101</v>
      </c>
      <c r="O665" s="22">
        <f t="shared" si="61"/>
        <v>0.337910447761194</v>
      </c>
      <c r="P665" s="23">
        <f t="shared" si="62"/>
        <v>2.7617373134328398</v>
      </c>
      <c r="Q665" s="23">
        <f t="shared" si="63"/>
        <v>8.1729858657243799</v>
      </c>
      <c r="R665" s="22">
        <f t="shared" si="64"/>
        <v>2.8565363355534399</v>
      </c>
      <c r="S665" s="22">
        <f t="shared" si="65"/>
        <v>3.8565363355534399</v>
      </c>
    </row>
    <row r="666" spans="1:19">
      <c r="A666" s="18" t="s">
        <v>705</v>
      </c>
      <c r="B666" s="18" t="s">
        <v>34</v>
      </c>
      <c r="C666" s="18" t="s">
        <v>48</v>
      </c>
      <c r="D666" s="19">
        <v>44697</v>
      </c>
      <c r="E666" s="20">
        <v>45307</v>
      </c>
      <c r="F666" s="21">
        <v>49388.800000000003</v>
      </c>
      <c r="G666" s="21">
        <v>10993.6</v>
      </c>
      <c r="H666" s="21">
        <v>3665.6</v>
      </c>
      <c r="I666" s="18">
        <v>3129.3760000000002</v>
      </c>
      <c r="J666" s="18">
        <v>6969.5360000000001</v>
      </c>
      <c r="K666" s="18" t="s">
        <v>30</v>
      </c>
      <c r="L666" s="18" t="s">
        <v>44</v>
      </c>
      <c r="M666" s="18" t="s">
        <v>24</v>
      </c>
      <c r="N666" s="22">
        <f t="shared" si="60"/>
        <v>0.22259297654529001</v>
      </c>
      <c r="O666" s="22">
        <f t="shared" si="61"/>
        <v>0.33343035948187999</v>
      </c>
      <c r="P666" s="23">
        <f t="shared" si="62"/>
        <v>0.284654344345801</v>
      </c>
      <c r="Q666" s="23">
        <f t="shared" si="63"/>
        <v>0.85371453513749496</v>
      </c>
      <c r="R666" s="22">
        <f t="shared" si="64"/>
        <v>1.2271328213675801</v>
      </c>
      <c r="S666" s="22">
        <f t="shared" si="65"/>
        <v>2.2271328213675798</v>
      </c>
    </row>
    <row r="667" spans="1:19">
      <c r="A667" s="18" t="s">
        <v>706</v>
      </c>
      <c r="B667" s="18" t="s">
        <v>47</v>
      </c>
      <c r="C667" s="18" t="s">
        <v>29</v>
      </c>
      <c r="D667" s="19">
        <v>44692</v>
      </c>
      <c r="E667" s="20">
        <v>45316</v>
      </c>
      <c r="F667" s="21">
        <v>32315.200000000001</v>
      </c>
      <c r="G667" s="21">
        <v>11976</v>
      </c>
      <c r="H667" s="21">
        <v>4345.6000000000004</v>
      </c>
      <c r="I667" s="18">
        <v>3799.424</v>
      </c>
      <c r="J667" s="18">
        <v>11068.448</v>
      </c>
      <c r="K667" s="18" t="s">
        <v>30</v>
      </c>
      <c r="L667" s="18" t="s">
        <v>50</v>
      </c>
      <c r="M667" s="18" t="s">
        <v>32</v>
      </c>
      <c r="N667" s="22">
        <f t="shared" si="60"/>
        <v>0.37059959399910902</v>
      </c>
      <c r="O667" s="22">
        <f t="shared" si="61"/>
        <v>0.362859051436206</v>
      </c>
      <c r="P667" s="23">
        <f t="shared" si="62"/>
        <v>0.31725317301269201</v>
      </c>
      <c r="Q667" s="23">
        <f t="shared" si="63"/>
        <v>0.87431516936671605</v>
      </c>
      <c r="R667" s="22">
        <f t="shared" si="64"/>
        <v>1.9131910521173701</v>
      </c>
      <c r="S667" s="22">
        <f t="shared" si="65"/>
        <v>2.9131910521173698</v>
      </c>
    </row>
    <row r="668" spans="1:19">
      <c r="A668" s="18" t="s">
        <v>707</v>
      </c>
      <c r="B668" s="18" t="s">
        <v>34</v>
      </c>
      <c r="C668" s="18" t="s">
        <v>21</v>
      </c>
      <c r="D668" s="19">
        <v>44720</v>
      </c>
      <c r="E668" s="20">
        <v>45349</v>
      </c>
      <c r="F668" s="21">
        <v>63393.599999999999</v>
      </c>
      <c r="G668" s="21">
        <v>39188.800000000003</v>
      </c>
      <c r="H668" s="21">
        <v>14435.2</v>
      </c>
      <c r="I668" s="18">
        <v>377.32799999999997</v>
      </c>
      <c r="J668" s="18">
        <v>840.48</v>
      </c>
      <c r="K668" s="18" t="s">
        <v>22</v>
      </c>
      <c r="L668" s="18" t="s">
        <v>44</v>
      </c>
      <c r="M668" s="18" t="s">
        <v>32</v>
      </c>
      <c r="N668" s="22">
        <f t="shared" si="60"/>
        <v>0.61818227707528794</v>
      </c>
      <c r="O668" s="22">
        <f t="shared" si="61"/>
        <v>0.36835014085657097</v>
      </c>
      <c r="P668" s="23">
        <f t="shared" si="62"/>
        <v>9.6284652757930803E-3</v>
      </c>
      <c r="Q668" s="23">
        <f t="shared" si="63"/>
        <v>2.61394369319441E-2</v>
      </c>
      <c r="R668" s="22">
        <f t="shared" si="64"/>
        <v>1.2274519781198301</v>
      </c>
      <c r="S668" s="22">
        <f t="shared" si="65"/>
        <v>2.2274519781198299</v>
      </c>
    </row>
    <row r="669" spans="1:19">
      <c r="A669" s="18" t="s">
        <v>708</v>
      </c>
      <c r="B669" s="18" t="s">
        <v>40</v>
      </c>
      <c r="C669" s="18" t="s">
        <v>48</v>
      </c>
      <c r="D669" s="19">
        <v>44815</v>
      </c>
      <c r="E669" s="20">
        <v>45421</v>
      </c>
      <c r="F669" s="21">
        <v>38331.199999999997</v>
      </c>
      <c r="G669" s="21">
        <v>27116.799999999999</v>
      </c>
      <c r="H669" s="21">
        <v>17382.400000000001</v>
      </c>
      <c r="I669" s="18">
        <v>791.69600000000003</v>
      </c>
      <c r="J669" s="18">
        <v>1704.48</v>
      </c>
      <c r="K669" s="18" t="s">
        <v>38</v>
      </c>
      <c r="L669" s="18" t="s">
        <v>44</v>
      </c>
      <c r="M669" s="18" t="s">
        <v>24</v>
      </c>
      <c r="N669" s="22">
        <f t="shared" si="60"/>
        <v>0.70743415285720301</v>
      </c>
      <c r="O669" s="22">
        <f t="shared" si="61"/>
        <v>0.64101958933207503</v>
      </c>
      <c r="P669" s="23">
        <f t="shared" si="62"/>
        <v>2.91957753127213E-2</v>
      </c>
      <c r="Q669" s="23">
        <f t="shared" si="63"/>
        <v>4.5545839469808502E-2</v>
      </c>
      <c r="R669" s="22">
        <f t="shared" si="64"/>
        <v>1.1529475960469699</v>
      </c>
      <c r="S669" s="22">
        <f t="shared" si="65"/>
        <v>2.1529475960469702</v>
      </c>
    </row>
    <row r="670" spans="1:19">
      <c r="A670" s="18" t="s">
        <v>709</v>
      </c>
      <c r="B670" s="18" t="s">
        <v>28</v>
      </c>
      <c r="C670" s="18" t="s">
        <v>48</v>
      </c>
      <c r="D670" s="19">
        <v>44709</v>
      </c>
      <c r="E670" s="20">
        <v>45310</v>
      </c>
      <c r="F670" s="21">
        <v>62363.199999999997</v>
      </c>
      <c r="G670" s="21">
        <v>52862.400000000001</v>
      </c>
      <c r="H670" s="21">
        <v>31248</v>
      </c>
      <c r="I670" s="18">
        <v>1642.1279999999999</v>
      </c>
      <c r="J670" s="18">
        <v>2115.6959999999999</v>
      </c>
      <c r="K670" s="18" t="s">
        <v>43</v>
      </c>
      <c r="L670" s="18" t="s">
        <v>35</v>
      </c>
      <c r="M670" s="18" t="s">
        <v>24</v>
      </c>
      <c r="N670" s="22">
        <f t="shared" si="60"/>
        <v>0.84765374451599695</v>
      </c>
      <c r="O670" s="22">
        <f t="shared" si="61"/>
        <v>0.59111958594388403</v>
      </c>
      <c r="P670" s="23">
        <f t="shared" si="62"/>
        <v>3.1064196858258401E-2</v>
      </c>
      <c r="Q670" s="23">
        <f t="shared" si="63"/>
        <v>5.2551459293394803E-2</v>
      </c>
      <c r="R670" s="22">
        <f t="shared" si="64"/>
        <v>0.28838677618309899</v>
      </c>
      <c r="S670" s="22">
        <f t="shared" si="65"/>
        <v>1.2883867761831</v>
      </c>
    </row>
    <row r="671" spans="1:19">
      <c r="A671" s="18" t="s">
        <v>710</v>
      </c>
      <c r="B671" s="18" t="s">
        <v>47</v>
      </c>
      <c r="C671" s="18" t="s">
        <v>41</v>
      </c>
      <c r="D671" s="19">
        <v>44963</v>
      </c>
      <c r="E671" s="20">
        <v>45567</v>
      </c>
      <c r="F671" s="21">
        <v>24488</v>
      </c>
      <c r="G671" s="21">
        <v>17064</v>
      </c>
      <c r="H671" s="21">
        <v>4081.6</v>
      </c>
      <c r="I671" s="18">
        <v>3132.88</v>
      </c>
      <c r="J671" s="18">
        <v>8485.8080000000009</v>
      </c>
      <c r="K671" s="18" t="s">
        <v>38</v>
      </c>
      <c r="L671" s="18" t="s">
        <v>31</v>
      </c>
      <c r="M671" s="18" t="s">
        <v>24</v>
      </c>
      <c r="N671" s="22">
        <f t="shared" si="60"/>
        <v>0.69683110094740297</v>
      </c>
      <c r="O671" s="22">
        <f t="shared" si="61"/>
        <v>0.23919362400375099</v>
      </c>
      <c r="P671" s="23">
        <f t="shared" si="62"/>
        <v>0.18359587435536801</v>
      </c>
      <c r="Q671" s="23">
        <f t="shared" si="63"/>
        <v>0.76756174049392401</v>
      </c>
      <c r="R671" s="22">
        <f t="shared" si="64"/>
        <v>1.7086284824187301</v>
      </c>
      <c r="S671" s="22">
        <f t="shared" si="65"/>
        <v>2.7086284824187299</v>
      </c>
    </row>
    <row r="672" spans="1:19">
      <c r="A672" s="18" t="s">
        <v>711</v>
      </c>
      <c r="B672" s="18" t="s">
        <v>47</v>
      </c>
      <c r="C672" s="18" t="s">
        <v>48</v>
      </c>
      <c r="D672" s="19">
        <v>44851</v>
      </c>
      <c r="E672" s="20">
        <v>45466</v>
      </c>
      <c r="F672" s="21">
        <v>37521.599999999999</v>
      </c>
      <c r="G672" s="21">
        <v>8963.2000000000007</v>
      </c>
      <c r="H672" s="21">
        <v>1848</v>
      </c>
      <c r="I672" s="18">
        <v>5694.56</v>
      </c>
      <c r="J672" s="18">
        <v>19232.416000000001</v>
      </c>
      <c r="K672" s="18" t="s">
        <v>38</v>
      </c>
      <c r="L672" s="18" t="s">
        <v>50</v>
      </c>
      <c r="M672" s="18" t="s">
        <v>24</v>
      </c>
      <c r="N672" s="22">
        <f t="shared" si="60"/>
        <v>0.238881071169673</v>
      </c>
      <c r="O672" s="22">
        <f t="shared" si="61"/>
        <v>0.20617636558371999</v>
      </c>
      <c r="P672" s="23">
        <f t="shared" si="62"/>
        <v>0.63532666904676904</v>
      </c>
      <c r="Q672" s="23">
        <f t="shared" si="63"/>
        <v>3.0814718614718601</v>
      </c>
      <c r="R672" s="22">
        <f t="shared" si="64"/>
        <v>2.3773313478126501</v>
      </c>
      <c r="S672" s="22">
        <f t="shared" si="65"/>
        <v>3.3773313478126501</v>
      </c>
    </row>
    <row r="673" spans="1:19">
      <c r="A673" s="18" t="s">
        <v>712</v>
      </c>
      <c r="B673" s="18" t="s">
        <v>28</v>
      </c>
      <c r="C673" s="18" t="s">
        <v>21</v>
      </c>
      <c r="D673" s="19">
        <v>44886</v>
      </c>
      <c r="E673" s="20">
        <v>45512</v>
      </c>
      <c r="F673" s="21">
        <v>25276.799999999999</v>
      </c>
      <c r="G673" s="21">
        <v>1628.8</v>
      </c>
      <c r="H673" s="21">
        <v>832</v>
      </c>
      <c r="I673" s="18">
        <v>7490.0159999999996</v>
      </c>
      <c r="J673" s="18">
        <v>26603.824000000001</v>
      </c>
      <c r="K673" s="18" t="s">
        <v>65</v>
      </c>
      <c r="L673" s="18" t="s">
        <v>44</v>
      </c>
      <c r="M673" s="18" t="s">
        <v>24</v>
      </c>
      <c r="N673" s="22">
        <f t="shared" si="60"/>
        <v>6.4438536523610604E-2</v>
      </c>
      <c r="O673" s="22">
        <f t="shared" si="61"/>
        <v>0.51080550098231803</v>
      </c>
      <c r="P673" s="23">
        <f t="shared" si="62"/>
        <v>4.5984872298624797</v>
      </c>
      <c r="Q673" s="23">
        <f t="shared" si="63"/>
        <v>9.0024230769230797</v>
      </c>
      <c r="R673" s="22">
        <f t="shared" si="64"/>
        <v>2.5519048290417499</v>
      </c>
      <c r="S673" s="22">
        <f t="shared" si="65"/>
        <v>3.5519048290417499</v>
      </c>
    </row>
    <row r="674" spans="1:19">
      <c r="A674" s="18" t="s">
        <v>713</v>
      </c>
      <c r="B674" s="18" t="s">
        <v>20</v>
      </c>
      <c r="C674" s="18" t="s">
        <v>29</v>
      </c>
      <c r="D674" s="19">
        <v>44785</v>
      </c>
      <c r="E674" s="20">
        <v>45395</v>
      </c>
      <c r="F674" s="21">
        <v>24313.599999999999</v>
      </c>
      <c r="G674" s="21">
        <v>16984</v>
      </c>
      <c r="H674" s="21">
        <v>2315.1999999999998</v>
      </c>
      <c r="I674" s="18">
        <v>2787.3919999999998</v>
      </c>
      <c r="J674" s="18">
        <v>10156.32</v>
      </c>
      <c r="K674" s="18" t="s">
        <v>22</v>
      </c>
      <c r="L674" s="18" t="s">
        <v>31</v>
      </c>
      <c r="M674" s="18" t="s">
        <v>24</v>
      </c>
      <c r="N674" s="22">
        <f t="shared" si="60"/>
        <v>0.69853908923400898</v>
      </c>
      <c r="O674" s="22">
        <f t="shared" si="61"/>
        <v>0.13631653320772499</v>
      </c>
      <c r="P674" s="23">
        <f t="shared" si="62"/>
        <v>0.16411869995289699</v>
      </c>
      <c r="Q674" s="23">
        <f t="shared" si="63"/>
        <v>1.2039530062197601</v>
      </c>
      <c r="R674" s="22">
        <f t="shared" si="64"/>
        <v>2.6436640415126398</v>
      </c>
      <c r="S674" s="22">
        <f t="shared" si="65"/>
        <v>3.6436640415126398</v>
      </c>
    </row>
    <row r="675" spans="1:19">
      <c r="A675" s="18" t="s">
        <v>714</v>
      </c>
      <c r="B675" s="18" t="s">
        <v>40</v>
      </c>
      <c r="C675" s="18" t="s">
        <v>48</v>
      </c>
      <c r="D675" s="19">
        <v>44907</v>
      </c>
      <c r="E675" s="20">
        <v>45520</v>
      </c>
      <c r="F675" s="21">
        <v>8166.4</v>
      </c>
      <c r="G675" s="21">
        <v>5489.6</v>
      </c>
      <c r="H675" s="21">
        <v>38.4</v>
      </c>
      <c r="I675" s="18">
        <v>5244.3360000000002</v>
      </c>
      <c r="J675" s="18">
        <v>14464.031999999999</v>
      </c>
      <c r="K675" s="18" t="s">
        <v>30</v>
      </c>
      <c r="L675" s="18" t="s">
        <v>35</v>
      </c>
      <c r="M675" s="18" t="s">
        <v>32</v>
      </c>
      <c r="N675" s="22">
        <f t="shared" si="60"/>
        <v>0.67221786833855801</v>
      </c>
      <c r="O675" s="22">
        <f t="shared" si="61"/>
        <v>6.9950451763334297E-3</v>
      </c>
      <c r="P675" s="23">
        <f t="shared" si="62"/>
        <v>0.95532206353832705</v>
      </c>
      <c r="Q675" s="23">
        <f t="shared" si="63"/>
        <v>136.57124999999999</v>
      </c>
      <c r="R675" s="22">
        <f t="shared" si="64"/>
        <v>1.75802923382483</v>
      </c>
      <c r="S675" s="22">
        <f t="shared" si="65"/>
        <v>2.7580292338248298</v>
      </c>
    </row>
    <row r="676" spans="1:19">
      <c r="A676" s="18" t="s">
        <v>715</v>
      </c>
      <c r="B676" s="18" t="s">
        <v>26</v>
      </c>
      <c r="C676" s="18" t="s">
        <v>21</v>
      </c>
      <c r="D676" s="19">
        <v>44960</v>
      </c>
      <c r="E676" s="20">
        <v>45565</v>
      </c>
      <c r="F676" s="21">
        <v>20728</v>
      </c>
      <c r="G676" s="21">
        <v>865.6</v>
      </c>
      <c r="H676" s="21">
        <v>228.8</v>
      </c>
      <c r="I676" s="18">
        <v>3053.712</v>
      </c>
      <c r="J676" s="18">
        <v>4642.5439999999999</v>
      </c>
      <c r="K676" s="18" t="s">
        <v>38</v>
      </c>
      <c r="L676" s="18" t="s">
        <v>23</v>
      </c>
      <c r="M676" s="18" t="s">
        <v>32</v>
      </c>
      <c r="N676" s="22">
        <f t="shared" si="60"/>
        <v>4.1759938247780799E-2</v>
      </c>
      <c r="O676" s="22">
        <f t="shared" si="61"/>
        <v>0.264325323475046</v>
      </c>
      <c r="P676" s="23">
        <f t="shared" si="62"/>
        <v>3.5278558225508299</v>
      </c>
      <c r="Q676" s="23">
        <f t="shared" si="63"/>
        <v>13.3466433566434</v>
      </c>
      <c r="R676" s="22">
        <f t="shared" si="64"/>
        <v>0.52029529962222998</v>
      </c>
      <c r="S676" s="22">
        <f t="shared" si="65"/>
        <v>1.5202952996222301</v>
      </c>
    </row>
    <row r="677" spans="1:19">
      <c r="A677" s="18" t="s">
        <v>716</v>
      </c>
      <c r="B677" s="18" t="s">
        <v>20</v>
      </c>
      <c r="C677" s="18" t="s">
        <v>41</v>
      </c>
      <c r="D677" s="19">
        <v>44940</v>
      </c>
      <c r="E677" s="20">
        <v>45547</v>
      </c>
      <c r="F677" s="21">
        <v>37894.400000000001</v>
      </c>
      <c r="G677" s="21">
        <v>5422.4</v>
      </c>
      <c r="H677" s="21">
        <v>3904</v>
      </c>
      <c r="I677" s="18">
        <v>5093.0240000000003</v>
      </c>
      <c r="J677" s="18">
        <v>13628.335999999999</v>
      </c>
      <c r="K677" s="18" t="s">
        <v>65</v>
      </c>
      <c r="L677" s="18" t="s">
        <v>50</v>
      </c>
      <c r="M677" s="18" t="s">
        <v>32</v>
      </c>
      <c r="N677" s="22">
        <f t="shared" si="60"/>
        <v>0.14309238304340499</v>
      </c>
      <c r="O677" s="22">
        <f t="shared" si="61"/>
        <v>0.71997639421658299</v>
      </c>
      <c r="P677" s="23">
        <f t="shared" si="62"/>
        <v>0.93925641782236702</v>
      </c>
      <c r="Q677" s="23">
        <f t="shared" si="63"/>
        <v>1.30456557377049</v>
      </c>
      <c r="R677" s="22">
        <f t="shared" si="64"/>
        <v>1.6758829332043199</v>
      </c>
      <c r="S677" s="22">
        <f t="shared" si="65"/>
        <v>2.6758829332043201</v>
      </c>
    </row>
    <row r="678" spans="1:19">
      <c r="A678" s="18" t="s">
        <v>717</v>
      </c>
      <c r="B678" s="18" t="s">
        <v>47</v>
      </c>
      <c r="C678" s="18" t="s">
        <v>41</v>
      </c>
      <c r="D678" s="19">
        <v>44835</v>
      </c>
      <c r="E678" s="20">
        <v>45457</v>
      </c>
      <c r="F678" s="21">
        <v>38384</v>
      </c>
      <c r="G678" s="21">
        <v>5257.6</v>
      </c>
      <c r="H678" s="21">
        <v>678.4</v>
      </c>
      <c r="I678" s="18">
        <v>1725.152</v>
      </c>
      <c r="J678" s="18">
        <v>4408.6080000000002</v>
      </c>
      <c r="K678" s="18" t="s">
        <v>65</v>
      </c>
      <c r="L678" s="18" t="s">
        <v>35</v>
      </c>
      <c r="M678" s="18" t="s">
        <v>32</v>
      </c>
      <c r="N678" s="22">
        <f t="shared" si="60"/>
        <v>0.136973739057941</v>
      </c>
      <c r="O678" s="22">
        <f t="shared" si="61"/>
        <v>0.12903225806451599</v>
      </c>
      <c r="P678" s="23">
        <f t="shared" si="62"/>
        <v>0.32812538040170403</v>
      </c>
      <c r="Q678" s="23">
        <f t="shared" si="63"/>
        <v>2.54297169811321</v>
      </c>
      <c r="R678" s="22">
        <f t="shared" si="64"/>
        <v>1.5554896032349601</v>
      </c>
      <c r="S678" s="22">
        <f t="shared" si="65"/>
        <v>2.5554896032349599</v>
      </c>
    </row>
    <row r="679" spans="1:19">
      <c r="A679" s="18" t="s">
        <v>718</v>
      </c>
      <c r="B679" s="18" t="s">
        <v>34</v>
      </c>
      <c r="C679" s="18" t="s">
        <v>21</v>
      </c>
      <c r="D679" s="19">
        <v>44801</v>
      </c>
      <c r="E679" s="20">
        <v>45414</v>
      </c>
      <c r="F679" s="21">
        <v>56443.199999999997</v>
      </c>
      <c r="G679" s="21">
        <v>50526.400000000001</v>
      </c>
      <c r="H679" s="21">
        <v>12646.4</v>
      </c>
      <c r="I679" s="18">
        <v>1853.7760000000001</v>
      </c>
      <c r="J679" s="18">
        <v>3637.1840000000002</v>
      </c>
      <c r="K679" s="18" t="s">
        <v>43</v>
      </c>
      <c r="L679" s="18" t="s">
        <v>50</v>
      </c>
      <c r="M679" s="18" t="s">
        <v>24</v>
      </c>
      <c r="N679" s="22">
        <f t="shared" si="60"/>
        <v>0.89517249199194904</v>
      </c>
      <c r="O679" s="22">
        <f t="shared" si="61"/>
        <v>0.25029291617847299</v>
      </c>
      <c r="P679" s="23">
        <f t="shared" si="62"/>
        <v>3.6689255517907499E-2</v>
      </c>
      <c r="Q679" s="23">
        <f t="shared" si="63"/>
        <v>0.146585273279352</v>
      </c>
      <c r="R679" s="22">
        <f t="shared" si="64"/>
        <v>0.96204072120903505</v>
      </c>
      <c r="S679" s="22">
        <f t="shared" si="65"/>
        <v>1.9620407212090301</v>
      </c>
    </row>
    <row r="680" spans="1:19">
      <c r="A680" s="18" t="s">
        <v>719</v>
      </c>
      <c r="B680" s="18" t="s">
        <v>47</v>
      </c>
      <c r="C680" s="18" t="s">
        <v>29</v>
      </c>
      <c r="D680" s="19">
        <v>44846</v>
      </c>
      <c r="E680" s="20">
        <v>45470</v>
      </c>
      <c r="F680" s="21">
        <v>75171.199999999997</v>
      </c>
      <c r="G680" s="21">
        <v>46686.400000000001</v>
      </c>
      <c r="H680" s="21">
        <v>9260.7999999999993</v>
      </c>
      <c r="I680" s="18">
        <v>4518.7839999999997</v>
      </c>
      <c r="J680" s="18">
        <v>7788.3040000000001</v>
      </c>
      <c r="K680" s="18" t="s">
        <v>30</v>
      </c>
      <c r="L680" s="18" t="s">
        <v>35</v>
      </c>
      <c r="M680" s="18" t="s">
        <v>32</v>
      </c>
      <c r="N680" s="22">
        <f t="shared" si="60"/>
        <v>0.62106764292707906</v>
      </c>
      <c r="O680" s="22">
        <f t="shared" si="61"/>
        <v>0.198361835566675</v>
      </c>
      <c r="P680" s="23">
        <f t="shared" si="62"/>
        <v>9.6790157304911098E-2</v>
      </c>
      <c r="Q680" s="23">
        <f t="shared" si="63"/>
        <v>0.487947477539737</v>
      </c>
      <c r="R680" s="22">
        <f t="shared" si="64"/>
        <v>0.72353978415432096</v>
      </c>
      <c r="S680" s="22">
        <f t="shared" si="65"/>
        <v>1.7235397841543201</v>
      </c>
    </row>
    <row r="681" spans="1:19">
      <c r="A681" s="18" t="s">
        <v>720</v>
      </c>
      <c r="B681" s="18" t="s">
        <v>47</v>
      </c>
      <c r="C681" s="18" t="s">
        <v>41</v>
      </c>
      <c r="D681" s="19">
        <v>44778</v>
      </c>
      <c r="E681" s="20">
        <v>45404</v>
      </c>
      <c r="F681" s="21">
        <v>39497.599999999999</v>
      </c>
      <c r="G681" s="21">
        <v>19827.2</v>
      </c>
      <c r="H681" s="21">
        <v>18955.2</v>
      </c>
      <c r="I681" s="18">
        <v>5432.2719999999999</v>
      </c>
      <c r="J681" s="18">
        <v>10544.432000000001</v>
      </c>
      <c r="K681" s="18" t="s">
        <v>38</v>
      </c>
      <c r="L681" s="18" t="s">
        <v>44</v>
      </c>
      <c r="M681" s="18" t="s">
        <v>24</v>
      </c>
      <c r="N681" s="22">
        <f t="shared" si="60"/>
        <v>0.50198493072996797</v>
      </c>
      <c r="O681" s="22">
        <f t="shared" si="61"/>
        <v>0.95602001291155603</v>
      </c>
      <c r="P681" s="23">
        <f t="shared" si="62"/>
        <v>0.27398079406068399</v>
      </c>
      <c r="Q681" s="23">
        <f t="shared" si="63"/>
        <v>0.28658478939816001</v>
      </c>
      <c r="R681" s="22">
        <f t="shared" si="64"/>
        <v>0.94107217017115496</v>
      </c>
      <c r="S681" s="22">
        <f t="shared" si="65"/>
        <v>1.94107217017116</v>
      </c>
    </row>
    <row r="682" spans="1:19">
      <c r="A682" s="18" t="s">
        <v>721</v>
      </c>
      <c r="B682" s="18" t="s">
        <v>34</v>
      </c>
      <c r="C682" s="18" t="s">
        <v>21</v>
      </c>
      <c r="D682" s="19">
        <v>44859</v>
      </c>
      <c r="E682" s="20">
        <v>45476</v>
      </c>
      <c r="F682" s="21">
        <v>32481.599999999999</v>
      </c>
      <c r="G682" s="21">
        <v>12680</v>
      </c>
      <c r="H682" s="21">
        <v>4459.2</v>
      </c>
      <c r="I682" s="18">
        <v>5403.0240000000003</v>
      </c>
      <c r="J682" s="18">
        <v>12436.688</v>
      </c>
      <c r="K682" s="18" t="s">
        <v>30</v>
      </c>
      <c r="L682" s="18" t="s">
        <v>23</v>
      </c>
      <c r="M682" s="18" t="s">
        <v>24</v>
      </c>
      <c r="N682" s="22">
        <f t="shared" si="60"/>
        <v>0.39037485838136099</v>
      </c>
      <c r="O682" s="22">
        <f t="shared" si="61"/>
        <v>0.35167192429022098</v>
      </c>
      <c r="P682" s="23">
        <f t="shared" si="62"/>
        <v>0.426105993690852</v>
      </c>
      <c r="Q682" s="23">
        <f t="shared" si="63"/>
        <v>1.2116576964477901</v>
      </c>
      <c r="R682" s="22">
        <f t="shared" si="64"/>
        <v>1.3018013616078701</v>
      </c>
      <c r="S682" s="22">
        <f t="shared" si="65"/>
        <v>2.3018013616078701</v>
      </c>
    </row>
    <row r="683" spans="1:19">
      <c r="A683" s="18" t="s">
        <v>722</v>
      </c>
      <c r="B683" s="18" t="s">
        <v>34</v>
      </c>
      <c r="C683" s="18" t="s">
        <v>21</v>
      </c>
      <c r="D683" s="19">
        <v>44870</v>
      </c>
      <c r="E683" s="20">
        <v>45474</v>
      </c>
      <c r="F683" s="21">
        <v>43793.599999999999</v>
      </c>
      <c r="G683" s="21">
        <v>34254.400000000001</v>
      </c>
      <c r="H683" s="21">
        <v>32907.199999999997</v>
      </c>
      <c r="I683" s="18">
        <v>6699.9359999999997</v>
      </c>
      <c r="J683" s="18">
        <v>21416.576000000001</v>
      </c>
      <c r="K683" s="18" t="s">
        <v>65</v>
      </c>
      <c r="L683" s="18" t="s">
        <v>31</v>
      </c>
      <c r="M683" s="18" t="s">
        <v>24</v>
      </c>
      <c r="N683" s="22">
        <f t="shared" si="60"/>
        <v>0.78217821782178198</v>
      </c>
      <c r="O683" s="22">
        <f t="shared" si="61"/>
        <v>0.96067074594796598</v>
      </c>
      <c r="P683" s="23">
        <f t="shared" si="62"/>
        <v>0.19559344201036899</v>
      </c>
      <c r="Q683" s="23">
        <f t="shared" si="63"/>
        <v>0.20360091408567099</v>
      </c>
      <c r="R683" s="22">
        <f t="shared" si="64"/>
        <v>2.1965344146571</v>
      </c>
      <c r="S683" s="22">
        <f t="shared" si="65"/>
        <v>3.1965344146571</v>
      </c>
    </row>
    <row r="684" spans="1:19">
      <c r="A684" s="18" t="s">
        <v>723</v>
      </c>
      <c r="B684" s="18" t="s">
        <v>34</v>
      </c>
      <c r="C684" s="18" t="s">
        <v>29</v>
      </c>
      <c r="D684" s="19">
        <v>44786</v>
      </c>
      <c r="E684" s="20">
        <v>45387</v>
      </c>
      <c r="F684" s="21">
        <v>72291.199999999997</v>
      </c>
      <c r="G684" s="21">
        <v>61188.800000000003</v>
      </c>
      <c r="H684" s="21">
        <v>54300.800000000003</v>
      </c>
      <c r="I684" s="18">
        <v>6809.232</v>
      </c>
      <c r="J684" s="18">
        <v>18899.36</v>
      </c>
      <c r="K684" s="18" t="s">
        <v>38</v>
      </c>
      <c r="L684" s="18" t="s">
        <v>23</v>
      </c>
      <c r="M684" s="18" t="s">
        <v>24</v>
      </c>
      <c r="N684" s="22">
        <f t="shared" si="60"/>
        <v>0.84642114116240996</v>
      </c>
      <c r="O684" s="22">
        <f t="shared" si="61"/>
        <v>0.88743037941584102</v>
      </c>
      <c r="P684" s="23">
        <f t="shared" si="62"/>
        <v>0.11128232617734</v>
      </c>
      <c r="Q684" s="23">
        <f t="shared" si="63"/>
        <v>0.12539837350462599</v>
      </c>
      <c r="R684" s="22">
        <f t="shared" si="64"/>
        <v>1.7755494305378301</v>
      </c>
      <c r="S684" s="22">
        <f t="shared" si="65"/>
        <v>2.7755494305378301</v>
      </c>
    </row>
    <row r="685" spans="1:19">
      <c r="A685" s="18" t="s">
        <v>724</v>
      </c>
      <c r="B685" s="18" t="s">
        <v>40</v>
      </c>
      <c r="C685" s="18" t="s">
        <v>21</v>
      </c>
      <c r="D685" s="19">
        <v>44731</v>
      </c>
      <c r="E685" s="20">
        <v>45352</v>
      </c>
      <c r="F685" s="21">
        <v>2811.2</v>
      </c>
      <c r="G685" s="21">
        <v>2388.8000000000002</v>
      </c>
      <c r="H685" s="21">
        <v>1300.8</v>
      </c>
      <c r="I685" s="18">
        <v>1930.6079999999999</v>
      </c>
      <c r="J685" s="18">
        <v>7611.7759999999998</v>
      </c>
      <c r="K685" s="18" t="s">
        <v>43</v>
      </c>
      <c r="L685" s="18" t="s">
        <v>23</v>
      </c>
      <c r="M685" s="18" t="s">
        <v>32</v>
      </c>
      <c r="N685" s="22">
        <f t="shared" si="60"/>
        <v>0.84974388161639203</v>
      </c>
      <c r="O685" s="22">
        <f t="shared" si="61"/>
        <v>0.54454119223040898</v>
      </c>
      <c r="P685" s="23">
        <f t="shared" si="62"/>
        <v>0.808191560616209</v>
      </c>
      <c r="Q685" s="23">
        <f t="shared" si="63"/>
        <v>1.48416974169742</v>
      </c>
      <c r="R685" s="22">
        <f t="shared" si="64"/>
        <v>2.9426833412065001</v>
      </c>
      <c r="S685" s="22">
        <f t="shared" si="65"/>
        <v>3.9426833412065001</v>
      </c>
    </row>
    <row r="686" spans="1:19">
      <c r="A686" s="18" t="s">
        <v>725</v>
      </c>
      <c r="B686" s="18" t="s">
        <v>20</v>
      </c>
      <c r="C686" s="18" t="s">
        <v>21</v>
      </c>
      <c r="D686" s="19">
        <v>44927</v>
      </c>
      <c r="E686" s="20">
        <v>45544</v>
      </c>
      <c r="F686" s="21">
        <v>13620.8</v>
      </c>
      <c r="G686" s="21">
        <v>3747.2</v>
      </c>
      <c r="H686" s="21">
        <v>1980.8</v>
      </c>
      <c r="I686" s="18">
        <v>1858.4159999999999</v>
      </c>
      <c r="J686" s="18">
        <v>3298.24</v>
      </c>
      <c r="K686" s="18" t="s">
        <v>43</v>
      </c>
      <c r="L686" s="18" t="s">
        <v>23</v>
      </c>
      <c r="M686" s="18" t="s">
        <v>32</v>
      </c>
      <c r="N686" s="22">
        <f t="shared" si="60"/>
        <v>0.27510865734758599</v>
      </c>
      <c r="O686" s="22">
        <f t="shared" si="61"/>
        <v>0.52860802732707102</v>
      </c>
      <c r="P686" s="23">
        <f t="shared" si="62"/>
        <v>0.49594790777113601</v>
      </c>
      <c r="Q686" s="23">
        <f t="shared" si="63"/>
        <v>0.93821486268174503</v>
      </c>
      <c r="R686" s="22">
        <f t="shared" si="64"/>
        <v>0.77475871925338602</v>
      </c>
      <c r="S686" s="22">
        <f t="shared" si="65"/>
        <v>1.77475871925339</v>
      </c>
    </row>
    <row r="687" spans="1:19">
      <c r="A687" s="18" t="s">
        <v>726</v>
      </c>
      <c r="B687" s="18" t="s">
        <v>47</v>
      </c>
      <c r="C687" s="18" t="s">
        <v>29</v>
      </c>
      <c r="D687" s="19">
        <v>44826</v>
      </c>
      <c r="E687" s="20">
        <v>45446</v>
      </c>
      <c r="F687" s="21">
        <v>30872</v>
      </c>
      <c r="G687" s="21">
        <v>22008</v>
      </c>
      <c r="H687" s="21">
        <v>9499.2000000000007</v>
      </c>
      <c r="I687" s="18">
        <v>1537.4559999999999</v>
      </c>
      <c r="J687" s="18">
        <v>5888.2719999999999</v>
      </c>
      <c r="K687" s="18" t="s">
        <v>65</v>
      </c>
      <c r="L687" s="18" t="s">
        <v>35</v>
      </c>
      <c r="M687" s="18" t="s">
        <v>24</v>
      </c>
      <c r="N687" s="22">
        <f t="shared" si="60"/>
        <v>0.71287898419279605</v>
      </c>
      <c r="O687" s="22">
        <f t="shared" si="61"/>
        <v>0.431624863685932</v>
      </c>
      <c r="P687" s="23">
        <f t="shared" si="62"/>
        <v>6.9858960378044302E-2</v>
      </c>
      <c r="Q687" s="23">
        <f t="shared" si="63"/>
        <v>0.16185110325079999</v>
      </c>
      <c r="R687" s="22">
        <f t="shared" si="64"/>
        <v>2.8298800095742598</v>
      </c>
      <c r="S687" s="22">
        <f t="shared" si="65"/>
        <v>3.8298800095742598</v>
      </c>
    </row>
    <row r="688" spans="1:19">
      <c r="A688" s="18" t="s">
        <v>727</v>
      </c>
      <c r="B688" s="18" t="s">
        <v>40</v>
      </c>
      <c r="C688" s="18" t="s">
        <v>48</v>
      </c>
      <c r="D688" s="19">
        <v>44815</v>
      </c>
      <c r="E688" s="20">
        <v>45442</v>
      </c>
      <c r="F688" s="21">
        <v>13654.4</v>
      </c>
      <c r="G688" s="21">
        <v>5564.8</v>
      </c>
      <c r="H688" s="21">
        <v>3987.2</v>
      </c>
      <c r="I688" s="18">
        <v>7366.192</v>
      </c>
      <c r="J688" s="18">
        <v>25123.792000000001</v>
      </c>
      <c r="K688" s="18" t="s">
        <v>38</v>
      </c>
      <c r="L688" s="18" t="s">
        <v>31</v>
      </c>
      <c r="M688" s="18" t="s">
        <v>32</v>
      </c>
      <c r="N688" s="22">
        <f t="shared" si="60"/>
        <v>0.407546285446449</v>
      </c>
      <c r="O688" s="22">
        <f t="shared" si="61"/>
        <v>0.71650373778033305</v>
      </c>
      <c r="P688" s="23">
        <f t="shared" si="62"/>
        <v>1.32371190339275</v>
      </c>
      <c r="Q688" s="23">
        <f t="shared" si="63"/>
        <v>1.84745987158909</v>
      </c>
      <c r="R688" s="22">
        <f t="shared" si="64"/>
        <v>2.41068926794197</v>
      </c>
      <c r="S688" s="22">
        <f t="shared" si="65"/>
        <v>3.41068926794197</v>
      </c>
    </row>
    <row r="689" spans="1:19">
      <c r="A689" s="18" t="s">
        <v>728</v>
      </c>
      <c r="B689" s="18" t="s">
        <v>20</v>
      </c>
      <c r="C689" s="18" t="s">
        <v>48</v>
      </c>
      <c r="D689" s="19">
        <v>44816</v>
      </c>
      <c r="E689" s="20">
        <v>45427</v>
      </c>
      <c r="F689" s="21">
        <v>38563.199999999997</v>
      </c>
      <c r="G689" s="21">
        <v>14676.8</v>
      </c>
      <c r="H689" s="21">
        <v>12155.2</v>
      </c>
      <c r="I689" s="18">
        <v>4094.0479999999998</v>
      </c>
      <c r="J689" s="18">
        <v>9802.848</v>
      </c>
      <c r="K689" s="18" t="s">
        <v>38</v>
      </c>
      <c r="L689" s="18" t="s">
        <v>31</v>
      </c>
      <c r="M689" s="18" t="s">
        <v>32</v>
      </c>
      <c r="N689" s="22">
        <f t="shared" si="60"/>
        <v>0.38059082233839497</v>
      </c>
      <c r="O689" s="22">
        <f t="shared" si="61"/>
        <v>0.82819143137468698</v>
      </c>
      <c r="P689" s="23">
        <f t="shared" si="62"/>
        <v>0.27894690940804501</v>
      </c>
      <c r="Q689" s="23">
        <f t="shared" si="63"/>
        <v>0.33681453205212603</v>
      </c>
      <c r="R689" s="22">
        <f t="shared" si="64"/>
        <v>1.3944145256723901</v>
      </c>
      <c r="S689" s="22">
        <f t="shared" si="65"/>
        <v>2.3944145256723899</v>
      </c>
    </row>
    <row r="690" spans="1:19">
      <c r="A690" s="18" t="s">
        <v>729</v>
      </c>
      <c r="B690" s="18" t="s">
        <v>40</v>
      </c>
      <c r="C690" s="18" t="s">
        <v>48</v>
      </c>
      <c r="D690" s="19">
        <v>44802</v>
      </c>
      <c r="E690" s="20">
        <v>45421</v>
      </c>
      <c r="F690" s="21">
        <v>39614.400000000001</v>
      </c>
      <c r="G690" s="21">
        <v>1828.8</v>
      </c>
      <c r="H690" s="21">
        <v>937.6</v>
      </c>
      <c r="I690" s="18">
        <v>5578.4</v>
      </c>
      <c r="J690" s="18">
        <v>13538.704</v>
      </c>
      <c r="K690" s="18" t="s">
        <v>65</v>
      </c>
      <c r="L690" s="18" t="s">
        <v>31</v>
      </c>
      <c r="M690" s="18" t="s">
        <v>24</v>
      </c>
      <c r="N690" s="22">
        <f t="shared" si="60"/>
        <v>4.61650308978553E-2</v>
      </c>
      <c r="O690" s="22">
        <f t="shared" si="61"/>
        <v>0.51268591426071697</v>
      </c>
      <c r="P690" s="23">
        <f t="shared" si="62"/>
        <v>3.0503062117235298</v>
      </c>
      <c r="Q690" s="23">
        <f t="shared" si="63"/>
        <v>5.9496587030716697</v>
      </c>
      <c r="R690" s="22">
        <f t="shared" si="64"/>
        <v>1.4269869496629899</v>
      </c>
      <c r="S690" s="22">
        <f t="shared" si="65"/>
        <v>2.4269869496629899</v>
      </c>
    </row>
    <row r="691" spans="1:19">
      <c r="A691" s="18" t="s">
        <v>730</v>
      </c>
      <c r="B691" s="18" t="s">
        <v>28</v>
      </c>
      <c r="C691" s="18" t="s">
        <v>29</v>
      </c>
      <c r="D691" s="19">
        <v>44803</v>
      </c>
      <c r="E691" s="20">
        <v>45421</v>
      </c>
      <c r="F691" s="21">
        <v>72331.199999999997</v>
      </c>
      <c r="G691" s="21">
        <v>976</v>
      </c>
      <c r="H691" s="21">
        <v>968</v>
      </c>
      <c r="I691" s="18">
        <v>7688.8639999999996</v>
      </c>
      <c r="J691" s="18">
        <v>29328.896000000001</v>
      </c>
      <c r="K691" s="18" t="s">
        <v>38</v>
      </c>
      <c r="L691" s="18" t="s">
        <v>50</v>
      </c>
      <c r="M691" s="18" t="s">
        <v>24</v>
      </c>
      <c r="N691" s="22">
        <f t="shared" si="60"/>
        <v>1.3493485522153599E-2</v>
      </c>
      <c r="O691" s="22">
        <f t="shared" si="61"/>
        <v>0.99180327868852503</v>
      </c>
      <c r="P691" s="23">
        <f t="shared" si="62"/>
        <v>7.8779344262295101</v>
      </c>
      <c r="Q691" s="23">
        <f t="shared" si="63"/>
        <v>7.9430413223140501</v>
      </c>
      <c r="R691" s="22">
        <f t="shared" si="64"/>
        <v>2.8144641393058798</v>
      </c>
      <c r="S691" s="22">
        <f t="shared" si="65"/>
        <v>3.8144641393058798</v>
      </c>
    </row>
    <row r="692" spans="1:19">
      <c r="A692" s="18" t="s">
        <v>731</v>
      </c>
      <c r="B692" s="18" t="s">
        <v>47</v>
      </c>
      <c r="C692" s="18" t="s">
        <v>21</v>
      </c>
      <c r="D692" s="19">
        <v>44872</v>
      </c>
      <c r="E692" s="20">
        <v>45476</v>
      </c>
      <c r="F692" s="21">
        <v>18769.599999999999</v>
      </c>
      <c r="G692" s="21">
        <v>3457.6</v>
      </c>
      <c r="H692" s="21">
        <v>580.79999999999995</v>
      </c>
      <c r="I692" s="18">
        <v>5576.96</v>
      </c>
      <c r="J692" s="18">
        <v>8043.1840000000002</v>
      </c>
      <c r="K692" s="18" t="s">
        <v>30</v>
      </c>
      <c r="L692" s="18" t="s">
        <v>23</v>
      </c>
      <c r="M692" s="18" t="s">
        <v>24</v>
      </c>
      <c r="N692" s="22">
        <f t="shared" si="60"/>
        <v>0.18421276958486099</v>
      </c>
      <c r="O692" s="22">
        <f t="shared" si="61"/>
        <v>0.16797778806108299</v>
      </c>
      <c r="P692" s="23">
        <f t="shared" si="62"/>
        <v>1.6129569643683499</v>
      </c>
      <c r="Q692" s="23">
        <f t="shared" si="63"/>
        <v>9.6022038567493109</v>
      </c>
      <c r="R692" s="22">
        <f t="shared" si="64"/>
        <v>0.44221654808354399</v>
      </c>
      <c r="S692" s="22">
        <f t="shared" si="65"/>
        <v>1.4422165480835401</v>
      </c>
    </row>
    <row r="693" spans="1:19">
      <c r="A693" s="18" t="s">
        <v>732</v>
      </c>
      <c r="B693" s="18" t="s">
        <v>26</v>
      </c>
      <c r="C693" s="18" t="s">
        <v>48</v>
      </c>
      <c r="D693" s="19">
        <v>44746</v>
      </c>
      <c r="E693" s="20">
        <v>45367</v>
      </c>
      <c r="F693" s="21">
        <v>71667.199999999997</v>
      </c>
      <c r="G693" s="21">
        <v>64915.199999999997</v>
      </c>
      <c r="H693" s="21">
        <v>61804.800000000003</v>
      </c>
      <c r="I693" s="18">
        <v>6044.1760000000004</v>
      </c>
      <c r="J693" s="18">
        <v>7626.4639999999999</v>
      </c>
      <c r="K693" s="18" t="s">
        <v>30</v>
      </c>
      <c r="L693" s="18" t="s">
        <v>50</v>
      </c>
      <c r="M693" s="18" t="s">
        <v>24</v>
      </c>
      <c r="N693" s="22">
        <f t="shared" si="60"/>
        <v>0.90578674763350597</v>
      </c>
      <c r="O693" s="22">
        <f t="shared" si="61"/>
        <v>0.95208518189884705</v>
      </c>
      <c r="P693" s="23">
        <f t="shared" si="62"/>
        <v>9.3108794242334605E-2</v>
      </c>
      <c r="Q693" s="23">
        <f t="shared" si="63"/>
        <v>9.7794604949777403E-2</v>
      </c>
      <c r="R693" s="22">
        <f t="shared" si="64"/>
        <v>0.26178721466747501</v>
      </c>
      <c r="S693" s="22">
        <f t="shared" si="65"/>
        <v>1.26178721466747</v>
      </c>
    </row>
    <row r="694" spans="1:19">
      <c r="A694" s="18" t="s">
        <v>733</v>
      </c>
      <c r="B694" s="18" t="s">
        <v>47</v>
      </c>
      <c r="C694" s="18" t="s">
        <v>21</v>
      </c>
      <c r="D694" s="19">
        <v>44908</v>
      </c>
      <c r="E694" s="20">
        <v>45524</v>
      </c>
      <c r="F694" s="21">
        <v>69164.800000000003</v>
      </c>
      <c r="G694" s="21">
        <v>16528</v>
      </c>
      <c r="H694" s="21">
        <v>13206.4</v>
      </c>
      <c r="I694" s="18">
        <v>2249.5039999999999</v>
      </c>
      <c r="J694" s="18">
        <v>4321.5519999999997</v>
      </c>
      <c r="K694" s="18" t="s">
        <v>30</v>
      </c>
      <c r="L694" s="18" t="s">
        <v>23</v>
      </c>
      <c r="M694" s="18" t="s">
        <v>32</v>
      </c>
      <c r="N694" s="22">
        <f t="shared" si="60"/>
        <v>0.23896548533358</v>
      </c>
      <c r="O694" s="22">
        <f t="shared" si="61"/>
        <v>0.79903194578896397</v>
      </c>
      <c r="P694" s="23">
        <f t="shared" si="62"/>
        <v>0.13610261374637</v>
      </c>
      <c r="Q694" s="23">
        <f t="shared" si="63"/>
        <v>0.17033438332929501</v>
      </c>
      <c r="R694" s="22">
        <f t="shared" si="64"/>
        <v>0.92111327652673602</v>
      </c>
      <c r="S694" s="22">
        <f t="shared" si="65"/>
        <v>1.92111327652674</v>
      </c>
    </row>
    <row r="695" spans="1:19">
      <c r="A695" s="18" t="s">
        <v>734</v>
      </c>
      <c r="B695" s="18" t="s">
        <v>47</v>
      </c>
      <c r="C695" s="18" t="s">
        <v>41</v>
      </c>
      <c r="D695" s="19">
        <v>44896</v>
      </c>
      <c r="E695" s="20">
        <v>45516</v>
      </c>
      <c r="F695" s="21">
        <v>45580.800000000003</v>
      </c>
      <c r="G695" s="21">
        <v>33009.599999999999</v>
      </c>
      <c r="H695" s="21">
        <v>16236.8</v>
      </c>
      <c r="I695" s="18">
        <v>2024.336</v>
      </c>
      <c r="J695" s="18">
        <v>7244.6239999999998</v>
      </c>
      <c r="K695" s="18" t="s">
        <v>22</v>
      </c>
      <c r="L695" s="18" t="s">
        <v>23</v>
      </c>
      <c r="M695" s="18" t="s">
        <v>32</v>
      </c>
      <c r="N695" s="22">
        <f t="shared" si="60"/>
        <v>0.72419966301600702</v>
      </c>
      <c r="O695" s="22">
        <f t="shared" si="61"/>
        <v>0.49188114972614</v>
      </c>
      <c r="P695" s="23">
        <f t="shared" si="62"/>
        <v>6.1325674955164597E-2</v>
      </c>
      <c r="Q695" s="23">
        <f t="shared" si="63"/>
        <v>0.124675798186835</v>
      </c>
      <c r="R695" s="22">
        <f t="shared" si="64"/>
        <v>2.5787655804174801</v>
      </c>
      <c r="S695" s="22">
        <f t="shared" si="65"/>
        <v>3.5787655804174801</v>
      </c>
    </row>
    <row r="696" spans="1:19">
      <c r="A696" s="18" t="s">
        <v>735</v>
      </c>
      <c r="B696" s="18" t="s">
        <v>34</v>
      </c>
      <c r="C696" s="18" t="s">
        <v>48</v>
      </c>
      <c r="D696" s="19">
        <v>44858</v>
      </c>
      <c r="E696" s="20">
        <v>45486</v>
      </c>
      <c r="F696" s="21">
        <v>77334.399999999994</v>
      </c>
      <c r="G696" s="21">
        <v>66948.800000000003</v>
      </c>
      <c r="H696" s="21">
        <v>42627.199999999997</v>
      </c>
      <c r="I696" s="18">
        <v>2245.136</v>
      </c>
      <c r="J696" s="18">
        <v>4110.5600000000004</v>
      </c>
      <c r="K696" s="18" t="s">
        <v>65</v>
      </c>
      <c r="L696" s="18" t="s">
        <v>31</v>
      </c>
      <c r="M696" s="18" t="s">
        <v>32</v>
      </c>
      <c r="N696" s="22">
        <f t="shared" si="60"/>
        <v>0.86570530061654305</v>
      </c>
      <c r="O696" s="22">
        <f t="shared" si="61"/>
        <v>0.63671342876944803</v>
      </c>
      <c r="P696" s="23">
        <f t="shared" si="62"/>
        <v>3.35351193748058E-2</v>
      </c>
      <c r="Q696" s="23">
        <f t="shared" si="63"/>
        <v>5.2669093911868498E-2</v>
      </c>
      <c r="R696" s="22">
        <f t="shared" si="64"/>
        <v>0.83087349719571602</v>
      </c>
      <c r="S696" s="22">
        <f t="shared" si="65"/>
        <v>1.8308734971957199</v>
      </c>
    </row>
    <row r="697" spans="1:19">
      <c r="A697" s="18" t="s">
        <v>736</v>
      </c>
      <c r="B697" s="18" t="s">
        <v>47</v>
      </c>
      <c r="C697" s="18" t="s">
        <v>29</v>
      </c>
      <c r="D697" s="19">
        <v>44785</v>
      </c>
      <c r="E697" s="20">
        <v>45386</v>
      </c>
      <c r="F697" s="21">
        <v>62456</v>
      </c>
      <c r="G697" s="21">
        <v>8467.2000000000007</v>
      </c>
      <c r="H697" s="21">
        <v>963.2</v>
      </c>
      <c r="I697" s="18">
        <v>1808.672</v>
      </c>
      <c r="J697" s="18">
        <v>5600.7839999999997</v>
      </c>
      <c r="K697" s="18" t="s">
        <v>30</v>
      </c>
      <c r="L697" s="18" t="s">
        <v>35</v>
      </c>
      <c r="M697" s="18" t="s">
        <v>32</v>
      </c>
      <c r="N697" s="22">
        <f t="shared" si="60"/>
        <v>0.13557064173177899</v>
      </c>
      <c r="O697" s="22">
        <f t="shared" si="61"/>
        <v>0.113756613756614</v>
      </c>
      <c r="P697" s="23">
        <f t="shared" si="62"/>
        <v>0.21360922146636399</v>
      </c>
      <c r="Q697" s="23">
        <f t="shared" si="63"/>
        <v>1.87777408637874</v>
      </c>
      <c r="R697" s="22">
        <f t="shared" si="64"/>
        <v>2.09662780205587</v>
      </c>
      <c r="S697" s="22">
        <f t="shared" si="65"/>
        <v>3.09662780205587</v>
      </c>
    </row>
    <row r="698" spans="1:19">
      <c r="A698" s="18" t="s">
        <v>737</v>
      </c>
      <c r="B698" s="18" t="s">
        <v>28</v>
      </c>
      <c r="C698" s="18" t="s">
        <v>21</v>
      </c>
      <c r="D698" s="19">
        <v>44775</v>
      </c>
      <c r="E698" s="20">
        <v>45402</v>
      </c>
      <c r="F698" s="21">
        <v>5286.4</v>
      </c>
      <c r="G698" s="21">
        <v>2524.8000000000002</v>
      </c>
      <c r="H698" s="21">
        <v>1747.2</v>
      </c>
      <c r="I698" s="18">
        <v>4848.4960000000001</v>
      </c>
      <c r="J698" s="18">
        <v>10990.704</v>
      </c>
      <c r="K698" s="18" t="s">
        <v>22</v>
      </c>
      <c r="L698" s="18" t="s">
        <v>23</v>
      </c>
      <c r="M698" s="18" t="s">
        <v>24</v>
      </c>
      <c r="N698" s="22">
        <f t="shared" si="60"/>
        <v>0.47760290556900697</v>
      </c>
      <c r="O698" s="22">
        <f t="shared" si="61"/>
        <v>0.69201520912547498</v>
      </c>
      <c r="P698" s="23">
        <f t="shared" si="62"/>
        <v>1.92034854245881</v>
      </c>
      <c r="Q698" s="23">
        <f t="shared" si="63"/>
        <v>2.7750091575091602</v>
      </c>
      <c r="R698" s="22">
        <f t="shared" si="64"/>
        <v>1.2668274862967801</v>
      </c>
      <c r="S698" s="22">
        <f t="shared" si="65"/>
        <v>2.2668274862967799</v>
      </c>
    </row>
    <row r="699" spans="1:19">
      <c r="A699" s="18" t="s">
        <v>738</v>
      </c>
      <c r="B699" s="18" t="s">
        <v>34</v>
      </c>
      <c r="C699" s="18" t="s">
        <v>29</v>
      </c>
      <c r="D699" s="19">
        <v>44760</v>
      </c>
      <c r="E699" s="20">
        <v>45389</v>
      </c>
      <c r="F699" s="21">
        <v>8780.7999999999993</v>
      </c>
      <c r="G699" s="21">
        <v>8721.6</v>
      </c>
      <c r="H699" s="21">
        <v>4145.6000000000004</v>
      </c>
      <c r="I699" s="18">
        <v>6904.0320000000002</v>
      </c>
      <c r="J699" s="18">
        <v>24939.168000000001</v>
      </c>
      <c r="K699" s="18" t="s">
        <v>30</v>
      </c>
      <c r="L699" s="18" t="s">
        <v>35</v>
      </c>
      <c r="M699" s="18" t="s">
        <v>32</v>
      </c>
      <c r="N699" s="22">
        <f t="shared" si="60"/>
        <v>0.99325801749271103</v>
      </c>
      <c r="O699" s="22">
        <f t="shared" si="61"/>
        <v>0.47532562832507802</v>
      </c>
      <c r="P699" s="23">
        <f t="shared" si="62"/>
        <v>0.79160154100165103</v>
      </c>
      <c r="Q699" s="23">
        <f t="shared" si="63"/>
        <v>1.66538788112698</v>
      </c>
      <c r="R699" s="22">
        <f t="shared" si="64"/>
        <v>2.6122613568419202</v>
      </c>
      <c r="S699" s="22">
        <f t="shared" si="65"/>
        <v>3.6122613568419202</v>
      </c>
    </row>
    <row r="700" spans="1:19">
      <c r="A700" s="18" t="s">
        <v>739</v>
      </c>
      <c r="B700" s="18" t="s">
        <v>40</v>
      </c>
      <c r="C700" s="18" t="s">
        <v>21</v>
      </c>
      <c r="D700" s="19">
        <v>44891</v>
      </c>
      <c r="E700" s="20">
        <v>45495</v>
      </c>
      <c r="F700" s="21">
        <v>43384</v>
      </c>
      <c r="G700" s="21">
        <v>36201.599999999999</v>
      </c>
      <c r="H700" s="21">
        <v>25153.599999999999</v>
      </c>
      <c r="I700" s="18">
        <v>4975.6639999999998</v>
      </c>
      <c r="J700" s="18">
        <v>9126.24</v>
      </c>
      <c r="K700" s="18" t="s">
        <v>65</v>
      </c>
      <c r="L700" s="18" t="s">
        <v>35</v>
      </c>
      <c r="M700" s="18" t="s">
        <v>24</v>
      </c>
      <c r="N700" s="22">
        <f t="shared" si="60"/>
        <v>0.83444587866494602</v>
      </c>
      <c r="O700" s="22">
        <f t="shared" si="61"/>
        <v>0.694820118447803</v>
      </c>
      <c r="P700" s="23">
        <f t="shared" si="62"/>
        <v>0.13744320693008</v>
      </c>
      <c r="Q700" s="23">
        <f t="shared" si="63"/>
        <v>0.19781120793842599</v>
      </c>
      <c r="R700" s="22">
        <f t="shared" si="64"/>
        <v>0.83417529801047696</v>
      </c>
      <c r="S700" s="22">
        <f t="shared" si="65"/>
        <v>1.83417529801048</v>
      </c>
    </row>
    <row r="701" spans="1:19">
      <c r="A701" s="18" t="s">
        <v>740</v>
      </c>
      <c r="B701" s="18" t="s">
        <v>26</v>
      </c>
      <c r="C701" s="18" t="s">
        <v>48</v>
      </c>
      <c r="D701" s="19">
        <v>44710</v>
      </c>
      <c r="E701" s="20">
        <v>45323</v>
      </c>
      <c r="F701" s="21">
        <v>27585.599999999999</v>
      </c>
      <c r="G701" s="21">
        <v>1219.2</v>
      </c>
      <c r="H701" s="21">
        <v>214.4</v>
      </c>
      <c r="I701" s="18">
        <v>7274.9920000000002</v>
      </c>
      <c r="J701" s="18">
        <v>23478.464</v>
      </c>
      <c r="K701" s="18" t="s">
        <v>22</v>
      </c>
      <c r="L701" s="18" t="s">
        <v>35</v>
      </c>
      <c r="M701" s="18" t="s">
        <v>32</v>
      </c>
      <c r="N701" s="22">
        <f t="shared" si="60"/>
        <v>4.4196972333391302E-2</v>
      </c>
      <c r="O701" s="22">
        <f t="shared" si="61"/>
        <v>0.17585301837270301</v>
      </c>
      <c r="P701" s="23">
        <f t="shared" si="62"/>
        <v>5.9670209973753296</v>
      </c>
      <c r="Q701" s="23">
        <f t="shared" si="63"/>
        <v>33.931865671641802</v>
      </c>
      <c r="R701" s="22">
        <f t="shared" si="64"/>
        <v>2.2272838238172601</v>
      </c>
      <c r="S701" s="22">
        <f t="shared" si="65"/>
        <v>3.2272838238172601</v>
      </c>
    </row>
    <row r="702" spans="1:19">
      <c r="A702" s="18" t="s">
        <v>741</v>
      </c>
      <c r="B702" s="18" t="s">
        <v>47</v>
      </c>
      <c r="C702" s="18" t="s">
        <v>41</v>
      </c>
      <c r="D702" s="19">
        <v>44923</v>
      </c>
      <c r="E702" s="20">
        <v>45528</v>
      </c>
      <c r="F702" s="21">
        <v>23105.599999999999</v>
      </c>
      <c r="G702" s="21">
        <v>22436.799999999999</v>
      </c>
      <c r="H702" s="21">
        <v>14292.8</v>
      </c>
      <c r="I702" s="18">
        <v>7796.48</v>
      </c>
      <c r="J702" s="18">
        <v>27091.583999999999</v>
      </c>
      <c r="K702" s="18" t="s">
        <v>22</v>
      </c>
      <c r="L702" s="18" t="s">
        <v>50</v>
      </c>
      <c r="M702" s="18" t="s">
        <v>24</v>
      </c>
      <c r="N702" s="22">
        <f t="shared" si="60"/>
        <v>0.971054636105533</v>
      </c>
      <c r="O702" s="22">
        <f t="shared" si="61"/>
        <v>0.63702488768451804</v>
      </c>
      <c r="P702" s="23">
        <f t="shared" si="62"/>
        <v>0.34748627255223602</v>
      </c>
      <c r="Q702" s="23">
        <f t="shared" si="63"/>
        <v>0.54548304041195605</v>
      </c>
      <c r="R702" s="22">
        <f t="shared" si="64"/>
        <v>2.4748481365949799</v>
      </c>
      <c r="S702" s="22">
        <f t="shared" si="65"/>
        <v>3.4748481365949799</v>
      </c>
    </row>
    <row r="703" spans="1:19">
      <c r="A703" s="18" t="s">
        <v>742</v>
      </c>
      <c r="B703" s="18" t="s">
        <v>34</v>
      </c>
      <c r="C703" s="18" t="s">
        <v>48</v>
      </c>
      <c r="D703" s="19">
        <v>44903</v>
      </c>
      <c r="E703" s="20">
        <v>45521</v>
      </c>
      <c r="F703" s="21">
        <v>3796.8</v>
      </c>
      <c r="G703" s="21">
        <v>3737.6</v>
      </c>
      <c r="H703" s="21">
        <v>174.4</v>
      </c>
      <c r="I703" s="18">
        <v>1457.184</v>
      </c>
      <c r="J703" s="18">
        <v>4379.4719999999998</v>
      </c>
      <c r="K703" s="18" t="s">
        <v>38</v>
      </c>
      <c r="L703" s="18" t="s">
        <v>44</v>
      </c>
      <c r="M703" s="18" t="s">
        <v>24</v>
      </c>
      <c r="N703" s="22">
        <f t="shared" si="60"/>
        <v>0.98440792246102005</v>
      </c>
      <c r="O703" s="22">
        <f t="shared" si="61"/>
        <v>4.6660958904109602E-2</v>
      </c>
      <c r="P703" s="23">
        <f t="shared" si="62"/>
        <v>0.38987157534246603</v>
      </c>
      <c r="Q703" s="23">
        <f t="shared" si="63"/>
        <v>8.3554128440366995</v>
      </c>
      <c r="R703" s="22">
        <f t="shared" si="64"/>
        <v>2.0054351406548498</v>
      </c>
      <c r="S703" s="22">
        <f t="shared" si="65"/>
        <v>3.0054351406548498</v>
      </c>
    </row>
    <row r="704" spans="1:19">
      <c r="A704" s="18" t="s">
        <v>743</v>
      </c>
      <c r="B704" s="18" t="s">
        <v>26</v>
      </c>
      <c r="C704" s="18" t="s">
        <v>48</v>
      </c>
      <c r="D704" s="19">
        <v>44822</v>
      </c>
      <c r="E704" s="20">
        <v>45448</v>
      </c>
      <c r="F704" s="21">
        <v>9123.2000000000007</v>
      </c>
      <c r="G704" s="21">
        <v>3523.2</v>
      </c>
      <c r="H704" s="21">
        <v>168</v>
      </c>
      <c r="I704" s="18">
        <v>5098.4960000000001</v>
      </c>
      <c r="J704" s="18">
        <v>10270.096</v>
      </c>
      <c r="K704" s="18" t="s">
        <v>38</v>
      </c>
      <c r="L704" s="18" t="s">
        <v>35</v>
      </c>
      <c r="M704" s="18" t="s">
        <v>24</v>
      </c>
      <c r="N704" s="22">
        <f t="shared" si="60"/>
        <v>0.38618028761837903</v>
      </c>
      <c r="O704" s="22">
        <f t="shared" si="61"/>
        <v>4.7683923705722102E-2</v>
      </c>
      <c r="P704" s="23">
        <f t="shared" si="62"/>
        <v>1.4471207992733901</v>
      </c>
      <c r="Q704" s="23">
        <f t="shared" si="63"/>
        <v>30.348190476190499</v>
      </c>
      <c r="R704" s="22">
        <f t="shared" si="64"/>
        <v>1.0143383460534201</v>
      </c>
      <c r="S704" s="22">
        <f t="shared" si="65"/>
        <v>2.0143383460534201</v>
      </c>
    </row>
    <row r="705" spans="1:19">
      <c r="A705" s="18" t="s">
        <v>744</v>
      </c>
      <c r="B705" s="18" t="s">
        <v>34</v>
      </c>
      <c r="C705" s="18" t="s">
        <v>41</v>
      </c>
      <c r="D705" s="19">
        <v>44934</v>
      </c>
      <c r="E705" s="20">
        <v>45550</v>
      </c>
      <c r="F705" s="21">
        <v>34155.199999999997</v>
      </c>
      <c r="G705" s="21">
        <v>10380.799999999999</v>
      </c>
      <c r="H705" s="21">
        <v>4518.3999999999996</v>
      </c>
      <c r="I705" s="18">
        <v>5995.3440000000001</v>
      </c>
      <c r="J705" s="18">
        <v>13627.103999999999</v>
      </c>
      <c r="K705" s="18" t="s">
        <v>30</v>
      </c>
      <c r="L705" s="18" t="s">
        <v>44</v>
      </c>
      <c r="M705" s="18" t="s">
        <v>24</v>
      </c>
      <c r="N705" s="22">
        <f t="shared" si="60"/>
        <v>0.303930294654987</v>
      </c>
      <c r="O705" s="22">
        <f t="shared" si="61"/>
        <v>0.43526510480887798</v>
      </c>
      <c r="P705" s="23">
        <f t="shared" si="62"/>
        <v>0.577541615289766</v>
      </c>
      <c r="Q705" s="23">
        <f t="shared" si="63"/>
        <v>1.32687322946176</v>
      </c>
      <c r="R705" s="22">
        <f t="shared" si="64"/>
        <v>1.27294780749862</v>
      </c>
      <c r="S705" s="22">
        <f t="shared" si="65"/>
        <v>2.2729478074986198</v>
      </c>
    </row>
    <row r="706" spans="1:19">
      <c r="A706" s="18" t="s">
        <v>745</v>
      </c>
      <c r="B706" s="18" t="s">
        <v>34</v>
      </c>
      <c r="C706" s="18" t="s">
        <v>21</v>
      </c>
      <c r="D706" s="19">
        <v>44809</v>
      </c>
      <c r="E706" s="20">
        <v>45415</v>
      </c>
      <c r="F706" s="21">
        <v>57574.400000000001</v>
      </c>
      <c r="G706" s="21">
        <v>50769.599999999999</v>
      </c>
      <c r="H706" s="21">
        <v>40865.599999999999</v>
      </c>
      <c r="I706" s="18">
        <v>5792.08</v>
      </c>
      <c r="J706" s="18">
        <v>15626</v>
      </c>
      <c r="K706" s="18" t="s">
        <v>65</v>
      </c>
      <c r="L706" s="18" t="s">
        <v>31</v>
      </c>
      <c r="M706" s="18" t="s">
        <v>24</v>
      </c>
      <c r="N706" s="22">
        <f t="shared" ref="N706:N769" si="66">G706/F706</f>
        <v>0.88180858159181896</v>
      </c>
      <c r="O706" s="22">
        <f t="shared" ref="O706:O769" si="67">H706/G706</f>
        <v>0.80492263086571503</v>
      </c>
      <c r="P706" s="23">
        <f t="shared" ref="P706:P769" si="68">I706/G706</f>
        <v>0.114085594529009</v>
      </c>
      <c r="Q706" s="23">
        <f t="shared" ref="Q706:Q769" si="69">I706/H706</f>
        <v>0.14173485767980901</v>
      </c>
      <c r="R706" s="22">
        <f t="shared" ref="R706:R769" si="70">(J706-I706)/I706</f>
        <v>1.6978218532893199</v>
      </c>
      <c r="S706" s="22">
        <f t="shared" ref="S706:S769" si="71">J706/I706</f>
        <v>2.6978218532893199</v>
      </c>
    </row>
    <row r="707" spans="1:19">
      <c r="A707" s="18" t="s">
        <v>746</v>
      </c>
      <c r="B707" s="18" t="s">
        <v>40</v>
      </c>
      <c r="C707" s="18" t="s">
        <v>48</v>
      </c>
      <c r="D707" s="19">
        <v>44889</v>
      </c>
      <c r="E707" s="20">
        <v>45503</v>
      </c>
      <c r="F707" s="21">
        <v>36195.199999999997</v>
      </c>
      <c r="G707" s="21">
        <v>24681.599999999999</v>
      </c>
      <c r="H707" s="21">
        <v>10238.4</v>
      </c>
      <c r="I707" s="18">
        <v>4502.848</v>
      </c>
      <c r="J707" s="18">
        <v>6460.6239999999998</v>
      </c>
      <c r="K707" s="18" t="s">
        <v>43</v>
      </c>
      <c r="L707" s="18" t="s">
        <v>35</v>
      </c>
      <c r="M707" s="18" t="s">
        <v>24</v>
      </c>
      <c r="N707" s="22">
        <f t="shared" si="66"/>
        <v>0.68190257271682397</v>
      </c>
      <c r="O707" s="22">
        <f t="shared" si="67"/>
        <v>0.41481913652275398</v>
      </c>
      <c r="P707" s="23">
        <f t="shared" si="68"/>
        <v>0.18243744327758299</v>
      </c>
      <c r="Q707" s="23">
        <f t="shared" si="69"/>
        <v>0.43979996874511601</v>
      </c>
      <c r="R707" s="22">
        <f t="shared" si="70"/>
        <v>0.43478616200235898</v>
      </c>
      <c r="S707" s="22">
        <f t="shared" si="71"/>
        <v>1.4347861620023601</v>
      </c>
    </row>
    <row r="708" spans="1:19">
      <c r="A708" s="18" t="s">
        <v>747</v>
      </c>
      <c r="B708" s="18" t="s">
        <v>47</v>
      </c>
      <c r="C708" s="18" t="s">
        <v>41</v>
      </c>
      <c r="D708" s="19">
        <v>44826</v>
      </c>
      <c r="E708" s="20">
        <v>45450</v>
      </c>
      <c r="F708" s="21">
        <v>41142.400000000001</v>
      </c>
      <c r="G708" s="21">
        <v>15064</v>
      </c>
      <c r="H708" s="21">
        <v>13616</v>
      </c>
      <c r="I708" s="18">
        <v>2293.4079999999999</v>
      </c>
      <c r="J708" s="18">
        <v>3738.7040000000002</v>
      </c>
      <c r="K708" s="18" t="s">
        <v>22</v>
      </c>
      <c r="L708" s="18" t="s">
        <v>44</v>
      </c>
      <c r="M708" s="18" t="s">
        <v>24</v>
      </c>
      <c r="N708" s="22">
        <f t="shared" si="66"/>
        <v>0.366142957143968</v>
      </c>
      <c r="O708" s="22">
        <f t="shared" si="67"/>
        <v>0.90387679235262897</v>
      </c>
      <c r="P708" s="23">
        <f t="shared" si="68"/>
        <v>0.15224429102496001</v>
      </c>
      <c r="Q708" s="23">
        <f t="shared" si="69"/>
        <v>0.16843478260869599</v>
      </c>
      <c r="R708" s="22">
        <f t="shared" si="70"/>
        <v>0.63019576106824404</v>
      </c>
      <c r="S708" s="22">
        <f t="shared" si="71"/>
        <v>1.63019576106824</v>
      </c>
    </row>
    <row r="709" spans="1:19">
      <c r="A709" s="18" t="s">
        <v>748</v>
      </c>
      <c r="B709" s="18" t="s">
        <v>20</v>
      </c>
      <c r="C709" s="18" t="s">
        <v>29</v>
      </c>
      <c r="D709" s="19">
        <v>44720</v>
      </c>
      <c r="E709" s="20">
        <v>45336</v>
      </c>
      <c r="F709" s="21">
        <v>78433.600000000006</v>
      </c>
      <c r="G709" s="21">
        <v>44548.800000000003</v>
      </c>
      <c r="H709" s="21">
        <v>27342.400000000001</v>
      </c>
      <c r="I709" s="18">
        <v>3368.72</v>
      </c>
      <c r="J709" s="18">
        <v>11349.68</v>
      </c>
      <c r="K709" s="18" t="s">
        <v>43</v>
      </c>
      <c r="L709" s="18" t="s">
        <v>35</v>
      </c>
      <c r="M709" s="18" t="s">
        <v>24</v>
      </c>
      <c r="N709" s="22">
        <f t="shared" si="66"/>
        <v>0.56798106933763104</v>
      </c>
      <c r="O709" s="22">
        <f t="shared" si="67"/>
        <v>0.613762884746615</v>
      </c>
      <c r="P709" s="23">
        <f t="shared" si="68"/>
        <v>7.5618647415867504E-2</v>
      </c>
      <c r="Q709" s="23">
        <f t="shared" si="69"/>
        <v>0.12320498566329199</v>
      </c>
      <c r="R709" s="22">
        <f t="shared" si="70"/>
        <v>2.3691372390700298</v>
      </c>
      <c r="S709" s="22">
        <f t="shared" si="71"/>
        <v>3.3691372390700298</v>
      </c>
    </row>
    <row r="710" spans="1:19">
      <c r="A710" s="18" t="s">
        <v>749</v>
      </c>
      <c r="B710" s="18" t="s">
        <v>20</v>
      </c>
      <c r="C710" s="18" t="s">
        <v>21</v>
      </c>
      <c r="D710" s="19">
        <v>44893</v>
      </c>
      <c r="E710" s="20">
        <v>45520</v>
      </c>
      <c r="F710" s="21">
        <v>6785.6</v>
      </c>
      <c r="G710" s="21">
        <v>4915.2</v>
      </c>
      <c r="H710" s="21">
        <v>3579.2</v>
      </c>
      <c r="I710" s="18">
        <v>3457.9839999999999</v>
      </c>
      <c r="J710" s="18">
        <v>5472.48</v>
      </c>
      <c r="K710" s="18" t="s">
        <v>30</v>
      </c>
      <c r="L710" s="18" t="s">
        <v>35</v>
      </c>
      <c r="M710" s="18" t="s">
        <v>24</v>
      </c>
      <c r="N710" s="22">
        <f t="shared" si="66"/>
        <v>0.724357462862532</v>
      </c>
      <c r="O710" s="22">
        <f t="shared" si="67"/>
        <v>0.72819010416666696</v>
      </c>
      <c r="P710" s="23">
        <f t="shared" si="68"/>
        <v>0.70352864583333297</v>
      </c>
      <c r="Q710" s="23">
        <f t="shared" si="69"/>
        <v>0.96613321412606201</v>
      </c>
      <c r="R710" s="22">
        <f t="shared" si="70"/>
        <v>0.582563713423775</v>
      </c>
      <c r="S710" s="22">
        <f t="shared" si="71"/>
        <v>1.58256371342378</v>
      </c>
    </row>
    <row r="711" spans="1:19">
      <c r="A711" s="18" t="s">
        <v>750</v>
      </c>
      <c r="B711" s="18" t="s">
        <v>47</v>
      </c>
      <c r="C711" s="18" t="s">
        <v>21</v>
      </c>
      <c r="D711" s="19">
        <v>44904</v>
      </c>
      <c r="E711" s="20">
        <v>45530</v>
      </c>
      <c r="F711" s="21">
        <v>27177.599999999999</v>
      </c>
      <c r="G711" s="21">
        <v>17265.599999999999</v>
      </c>
      <c r="H711" s="21">
        <v>1470.4</v>
      </c>
      <c r="I711" s="18">
        <v>3176.8319999999999</v>
      </c>
      <c r="J711" s="18">
        <v>5303.2479999999996</v>
      </c>
      <c r="K711" s="18" t="s">
        <v>43</v>
      </c>
      <c r="L711" s="18" t="s">
        <v>50</v>
      </c>
      <c r="M711" s="18" t="s">
        <v>24</v>
      </c>
      <c r="N711" s="22">
        <f t="shared" si="66"/>
        <v>0.63528788413988002</v>
      </c>
      <c r="O711" s="22">
        <f t="shared" si="67"/>
        <v>8.5163562227782402E-2</v>
      </c>
      <c r="P711" s="23">
        <f t="shared" si="68"/>
        <v>0.18399777592438099</v>
      </c>
      <c r="Q711" s="23">
        <f t="shared" si="69"/>
        <v>2.1605223068552801</v>
      </c>
      <c r="R711" s="22">
        <f t="shared" si="70"/>
        <v>0.66935110197832304</v>
      </c>
      <c r="S711" s="22">
        <f t="shared" si="71"/>
        <v>1.66935110197832</v>
      </c>
    </row>
    <row r="712" spans="1:19">
      <c r="A712" s="18" t="s">
        <v>751</v>
      </c>
      <c r="B712" s="18" t="s">
        <v>47</v>
      </c>
      <c r="C712" s="18" t="s">
        <v>29</v>
      </c>
      <c r="D712" s="19">
        <v>44978</v>
      </c>
      <c r="E712" s="20">
        <v>45584</v>
      </c>
      <c r="F712" s="21">
        <v>28091.200000000001</v>
      </c>
      <c r="G712" s="21">
        <v>26657.599999999999</v>
      </c>
      <c r="H712" s="21">
        <v>10571.2</v>
      </c>
      <c r="I712" s="18">
        <v>2399.2640000000001</v>
      </c>
      <c r="J712" s="18">
        <v>4899.4719999999998</v>
      </c>
      <c r="K712" s="18" t="s">
        <v>65</v>
      </c>
      <c r="L712" s="18" t="s">
        <v>50</v>
      </c>
      <c r="M712" s="18" t="s">
        <v>32</v>
      </c>
      <c r="N712" s="22">
        <f t="shared" si="66"/>
        <v>0.94896622429800104</v>
      </c>
      <c r="O712" s="22">
        <f t="shared" si="67"/>
        <v>0.39655482864173802</v>
      </c>
      <c r="P712" s="23">
        <f t="shared" si="68"/>
        <v>9.0003001020346904E-2</v>
      </c>
      <c r="Q712" s="23">
        <f t="shared" si="69"/>
        <v>0.226962312698653</v>
      </c>
      <c r="R712" s="22">
        <f t="shared" si="70"/>
        <v>1.0420729023567199</v>
      </c>
      <c r="S712" s="22">
        <f t="shared" si="71"/>
        <v>2.0420729023567201</v>
      </c>
    </row>
    <row r="713" spans="1:19">
      <c r="A713" s="18" t="s">
        <v>752</v>
      </c>
      <c r="B713" s="18" t="s">
        <v>34</v>
      </c>
      <c r="C713" s="18" t="s">
        <v>48</v>
      </c>
      <c r="D713" s="19">
        <v>44731</v>
      </c>
      <c r="E713" s="20">
        <v>45336</v>
      </c>
      <c r="F713" s="21">
        <v>57480</v>
      </c>
      <c r="G713" s="21">
        <v>8856</v>
      </c>
      <c r="H713" s="21">
        <v>121.6</v>
      </c>
      <c r="I713" s="18">
        <v>7835.1679999999997</v>
      </c>
      <c r="J713" s="18">
        <v>15062.495999999999</v>
      </c>
      <c r="K713" s="18" t="s">
        <v>30</v>
      </c>
      <c r="L713" s="18" t="s">
        <v>31</v>
      </c>
      <c r="M713" s="18" t="s">
        <v>32</v>
      </c>
      <c r="N713" s="22">
        <f t="shared" si="66"/>
        <v>0.154070981210856</v>
      </c>
      <c r="O713" s="22">
        <f t="shared" si="67"/>
        <v>1.37308039747064E-2</v>
      </c>
      <c r="P713" s="23">
        <f t="shared" si="68"/>
        <v>0.88472990063234003</v>
      </c>
      <c r="Q713" s="23">
        <f t="shared" si="69"/>
        <v>64.433947368421101</v>
      </c>
      <c r="R713" s="22">
        <f t="shared" si="70"/>
        <v>0.92242157411302494</v>
      </c>
      <c r="S713" s="22">
        <f t="shared" si="71"/>
        <v>1.9224215741130199</v>
      </c>
    </row>
    <row r="714" spans="1:19">
      <c r="A714" s="18" t="s">
        <v>753</v>
      </c>
      <c r="B714" s="18" t="s">
        <v>40</v>
      </c>
      <c r="C714" s="18" t="s">
        <v>21</v>
      </c>
      <c r="D714" s="19">
        <v>44951</v>
      </c>
      <c r="E714" s="20">
        <v>45561</v>
      </c>
      <c r="F714" s="21">
        <v>42059.199999999997</v>
      </c>
      <c r="G714" s="21">
        <v>20363.2</v>
      </c>
      <c r="H714" s="21">
        <v>18462.400000000001</v>
      </c>
      <c r="I714" s="18">
        <v>2760.6239999999998</v>
      </c>
      <c r="J714" s="18">
        <v>3680.384</v>
      </c>
      <c r="K714" s="18" t="s">
        <v>30</v>
      </c>
      <c r="L714" s="18" t="s">
        <v>23</v>
      </c>
      <c r="M714" s="18" t="s">
        <v>24</v>
      </c>
      <c r="N714" s="22">
        <f t="shared" si="66"/>
        <v>0.48415566629893098</v>
      </c>
      <c r="O714" s="22">
        <f t="shared" si="67"/>
        <v>0.90665514261019897</v>
      </c>
      <c r="P714" s="23">
        <f t="shared" si="68"/>
        <v>0.13556926219847601</v>
      </c>
      <c r="Q714" s="23">
        <f t="shared" si="69"/>
        <v>0.14952682208163601</v>
      </c>
      <c r="R714" s="22">
        <f t="shared" si="70"/>
        <v>0.33317105118263102</v>
      </c>
      <c r="S714" s="22">
        <f t="shared" si="71"/>
        <v>1.33317105118263</v>
      </c>
    </row>
    <row r="715" spans="1:19">
      <c r="A715" s="18" t="s">
        <v>754</v>
      </c>
      <c r="B715" s="18" t="s">
        <v>34</v>
      </c>
      <c r="C715" s="18" t="s">
        <v>29</v>
      </c>
      <c r="D715" s="19">
        <v>44745</v>
      </c>
      <c r="E715" s="20">
        <v>45368</v>
      </c>
      <c r="F715" s="21">
        <v>34680</v>
      </c>
      <c r="G715" s="21">
        <v>20190.400000000001</v>
      </c>
      <c r="H715" s="21">
        <v>5073.6000000000004</v>
      </c>
      <c r="I715" s="18">
        <v>6217.44</v>
      </c>
      <c r="J715" s="18">
        <v>11464.928</v>
      </c>
      <c r="K715" s="18" t="s">
        <v>38</v>
      </c>
      <c r="L715" s="18" t="s">
        <v>23</v>
      </c>
      <c r="M715" s="18" t="s">
        <v>24</v>
      </c>
      <c r="N715" s="22">
        <f t="shared" si="66"/>
        <v>0.58219146482122297</v>
      </c>
      <c r="O715" s="22">
        <f t="shared" si="67"/>
        <v>0.251287740708455</v>
      </c>
      <c r="P715" s="23">
        <f t="shared" si="68"/>
        <v>0.307940407322292</v>
      </c>
      <c r="Q715" s="23">
        <f t="shared" si="69"/>
        <v>1.22544938505203</v>
      </c>
      <c r="R715" s="22">
        <f t="shared" si="70"/>
        <v>0.84399495612342101</v>
      </c>
      <c r="S715" s="22">
        <f t="shared" si="71"/>
        <v>1.8439949561234199</v>
      </c>
    </row>
    <row r="716" spans="1:19">
      <c r="A716" s="18" t="s">
        <v>755</v>
      </c>
      <c r="B716" s="18" t="s">
        <v>20</v>
      </c>
      <c r="C716" s="18" t="s">
        <v>48</v>
      </c>
      <c r="D716" s="19">
        <v>44893</v>
      </c>
      <c r="E716" s="20">
        <v>45520</v>
      </c>
      <c r="F716" s="21">
        <v>11750.4</v>
      </c>
      <c r="G716" s="21">
        <v>9566.4</v>
      </c>
      <c r="H716" s="21">
        <v>7321.6</v>
      </c>
      <c r="I716" s="18">
        <v>7606.9440000000004</v>
      </c>
      <c r="J716" s="18">
        <v>19683.263999999999</v>
      </c>
      <c r="K716" s="18" t="s">
        <v>22</v>
      </c>
      <c r="L716" s="18" t="s">
        <v>35</v>
      </c>
      <c r="M716" s="18" t="s">
        <v>24</v>
      </c>
      <c r="N716" s="22">
        <f t="shared" si="66"/>
        <v>0.81413398692810501</v>
      </c>
      <c r="O716" s="22">
        <f t="shared" si="67"/>
        <v>0.76534537548085002</v>
      </c>
      <c r="P716" s="23">
        <f t="shared" si="68"/>
        <v>0.79517310587054701</v>
      </c>
      <c r="Q716" s="23">
        <f t="shared" si="69"/>
        <v>1.0389729020978999</v>
      </c>
      <c r="R716" s="22">
        <f t="shared" si="70"/>
        <v>1.58753896439884</v>
      </c>
      <c r="S716" s="22">
        <f t="shared" si="71"/>
        <v>2.5875389643988398</v>
      </c>
    </row>
    <row r="717" spans="1:19">
      <c r="A717" s="18" t="s">
        <v>756</v>
      </c>
      <c r="B717" s="18" t="s">
        <v>28</v>
      </c>
      <c r="C717" s="18" t="s">
        <v>41</v>
      </c>
      <c r="D717" s="19">
        <v>44966</v>
      </c>
      <c r="E717" s="20">
        <v>45579</v>
      </c>
      <c r="F717" s="21">
        <v>17462.400000000001</v>
      </c>
      <c r="G717" s="21">
        <v>1969.6</v>
      </c>
      <c r="H717" s="21">
        <v>1107.2</v>
      </c>
      <c r="I717" s="18">
        <v>6142.1760000000004</v>
      </c>
      <c r="J717" s="18">
        <v>13403.36</v>
      </c>
      <c r="K717" s="18" t="s">
        <v>65</v>
      </c>
      <c r="L717" s="18" t="s">
        <v>31</v>
      </c>
      <c r="M717" s="18" t="s">
        <v>24</v>
      </c>
      <c r="N717" s="22">
        <f t="shared" si="66"/>
        <v>0.112790910756826</v>
      </c>
      <c r="O717" s="22">
        <f t="shared" si="67"/>
        <v>0.56214459788789595</v>
      </c>
      <c r="P717" s="23">
        <f t="shared" si="68"/>
        <v>3.1184890333062598</v>
      </c>
      <c r="Q717" s="23">
        <f t="shared" si="69"/>
        <v>5.5474855491329498</v>
      </c>
      <c r="R717" s="22">
        <f t="shared" si="70"/>
        <v>1.1821842942956999</v>
      </c>
      <c r="S717" s="22">
        <f t="shared" si="71"/>
        <v>2.1821842942957002</v>
      </c>
    </row>
    <row r="718" spans="1:19">
      <c r="A718" s="18" t="s">
        <v>757</v>
      </c>
      <c r="B718" s="18" t="s">
        <v>28</v>
      </c>
      <c r="C718" s="18" t="s">
        <v>29</v>
      </c>
      <c r="D718" s="19">
        <v>44944</v>
      </c>
      <c r="E718" s="20">
        <v>45563</v>
      </c>
      <c r="F718" s="21">
        <v>43152</v>
      </c>
      <c r="G718" s="21">
        <v>17740.8</v>
      </c>
      <c r="H718" s="21">
        <v>6024</v>
      </c>
      <c r="I718" s="18">
        <v>6685.3760000000002</v>
      </c>
      <c r="J718" s="18">
        <v>17117.423999999999</v>
      </c>
      <c r="K718" s="18" t="s">
        <v>43</v>
      </c>
      <c r="L718" s="18" t="s">
        <v>23</v>
      </c>
      <c r="M718" s="18" t="s">
        <v>32</v>
      </c>
      <c r="N718" s="22">
        <f t="shared" si="66"/>
        <v>0.41112347052280301</v>
      </c>
      <c r="O718" s="22">
        <f t="shared" si="67"/>
        <v>0.339556277056277</v>
      </c>
      <c r="P718" s="23">
        <f t="shared" si="68"/>
        <v>0.37683621933621902</v>
      </c>
      <c r="Q718" s="23">
        <f t="shared" si="69"/>
        <v>1.1097901726427599</v>
      </c>
      <c r="R718" s="22">
        <f t="shared" si="70"/>
        <v>1.56042801481921</v>
      </c>
      <c r="S718" s="22">
        <f t="shared" si="71"/>
        <v>2.5604280148192098</v>
      </c>
    </row>
    <row r="719" spans="1:19">
      <c r="A719" s="18" t="s">
        <v>758</v>
      </c>
      <c r="B719" s="18" t="s">
        <v>40</v>
      </c>
      <c r="C719" s="18" t="s">
        <v>48</v>
      </c>
      <c r="D719" s="19">
        <v>44896</v>
      </c>
      <c r="E719" s="20">
        <v>45521</v>
      </c>
      <c r="F719" s="21">
        <v>53473.599999999999</v>
      </c>
      <c r="G719" s="21">
        <v>10700.8</v>
      </c>
      <c r="H719" s="21">
        <v>4091.2</v>
      </c>
      <c r="I719" s="18">
        <v>7177.6639999999998</v>
      </c>
      <c r="J719" s="18">
        <v>17213.488000000001</v>
      </c>
      <c r="K719" s="18" t="s">
        <v>38</v>
      </c>
      <c r="L719" s="18" t="s">
        <v>31</v>
      </c>
      <c r="M719" s="18" t="s">
        <v>24</v>
      </c>
      <c r="N719" s="22">
        <f t="shared" si="66"/>
        <v>0.200113700966458</v>
      </c>
      <c r="O719" s="22">
        <f t="shared" si="67"/>
        <v>0.38232655502392299</v>
      </c>
      <c r="P719" s="23">
        <f t="shared" si="68"/>
        <v>0.67075956937798997</v>
      </c>
      <c r="Q719" s="23">
        <f t="shared" si="69"/>
        <v>1.75441533046539</v>
      </c>
      <c r="R719" s="22">
        <f t="shared" si="70"/>
        <v>1.3982019776907899</v>
      </c>
      <c r="S719" s="22">
        <f t="shared" si="71"/>
        <v>2.3982019776907899</v>
      </c>
    </row>
    <row r="720" spans="1:19">
      <c r="A720" s="18" t="s">
        <v>759</v>
      </c>
      <c r="B720" s="18" t="s">
        <v>47</v>
      </c>
      <c r="C720" s="18" t="s">
        <v>29</v>
      </c>
      <c r="D720" s="19">
        <v>44861</v>
      </c>
      <c r="E720" s="20">
        <v>45477</v>
      </c>
      <c r="F720" s="21">
        <v>30913.599999999999</v>
      </c>
      <c r="G720" s="21">
        <v>11536</v>
      </c>
      <c r="H720" s="21">
        <v>4257.6000000000004</v>
      </c>
      <c r="I720" s="18">
        <v>599.91999999999996</v>
      </c>
      <c r="J720" s="18">
        <v>1508.48</v>
      </c>
      <c r="K720" s="18" t="s">
        <v>65</v>
      </c>
      <c r="L720" s="18" t="s">
        <v>44</v>
      </c>
      <c r="M720" s="18" t="s">
        <v>32</v>
      </c>
      <c r="N720" s="22">
        <f t="shared" si="66"/>
        <v>0.373169090626779</v>
      </c>
      <c r="O720" s="22">
        <f t="shared" si="67"/>
        <v>0.36907073509015298</v>
      </c>
      <c r="P720" s="23">
        <f t="shared" si="68"/>
        <v>5.2004160887655998E-2</v>
      </c>
      <c r="Q720" s="23">
        <f t="shared" si="69"/>
        <v>0.140905674558437</v>
      </c>
      <c r="R720" s="22">
        <f t="shared" si="70"/>
        <v>1.5144685958127799</v>
      </c>
      <c r="S720" s="22">
        <f t="shared" si="71"/>
        <v>2.5144685958127702</v>
      </c>
    </row>
    <row r="721" spans="1:19">
      <c r="A721" s="18" t="s">
        <v>760</v>
      </c>
      <c r="B721" s="18" t="s">
        <v>28</v>
      </c>
      <c r="C721" s="18" t="s">
        <v>21</v>
      </c>
      <c r="D721" s="19">
        <v>44747</v>
      </c>
      <c r="E721" s="20">
        <v>45370</v>
      </c>
      <c r="F721" s="21">
        <v>58168</v>
      </c>
      <c r="G721" s="21">
        <v>36552</v>
      </c>
      <c r="H721" s="21">
        <v>1177.5999999999999</v>
      </c>
      <c r="I721" s="18">
        <v>2859.056</v>
      </c>
      <c r="J721" s="18">
        <v>4578.1440000000002</v>
      </c>
      <c r="K721" s="18" t="s">
        <v>38</v>
      </c>
      <c r="L721" s="18" t="s">
        <v>44</v>
      </c>
      <c r="M721" s="18" t="s">
        <v>24</v>
      </c>
      <c r="N721" s="22">
        <f t="shared" si="66"/>
        <v>0.62838674185119003</v>
      </c>
      <c r="O721" s="22">
        <f t="shared" si="67"/>
        <v>3.22171153425257E-2</v>
      </c>
      <c r="P721" s="23">
        <f t="shared" si="68"/>
        <v>7.8218866272707396E-2</v>
      </c>
      <c r="Q721" s="23">
        <f t="shared" si="69"/>
        <v>2.4278668478260901</v>
      </c>
      <c r="R721" s="22">
        <f t="shared" si="70"/>
        <v>0.60127818412790801</v>
      </c>
      <c r="S721" s="22">
        <f t="shared" si="71"/>
        <v>1.60127818412791</v>
      </c>
    </row>
    <row r="722" spans="1:19">
      <c r="A722" s="18" t="s">
        <v>761</v>
      </c>
      <c r="B722" s="18" t="s">
        <v>28</v>
      </c>
      <c r="C722" s="18" t="s">
        <v>29</v>
      </c>
      <c r="D722" s="19">
        <v>44801</v>
      </c>
      <c r="E722" s="20">
        <v>45409</v>
      </c>
      <c r="F722" s="21">
        <v>78409.600000000006</v>
      </c>
      <c r="G722" s="21">
        <v>27017.599999999999</v>
      </c>
      <c r="H722" s="21">
        <v>1334.4</v>
      </c>
      <c r="I722" s="18">
        <v>1138.336</v>
      </c>
      <c r="J722" s="18">
        <v>4211.4719999999998</v>
      </c>
      <c r="K722" s="18" t="s">
        <v>65</v>
      </c>
      <c r="L722" s="18" t="s">
        <v>31</v>
      </c>
      <c r="M722" s="18" t="s">
        <v>24</v>
      </c>
      <c r="N722" s="22">
        <f t="shared" si="66"/>
        <v>0.344570052646615</v>
      </c>
      <c r="O722" s="22">
        <f t="shared" si="67"/>
        <v>4.9390027241501801E-2</v>
      </c>
      <c r="P722" s="23">
        <f t="shared" si="68"/>
        <v>4.2133128035058601E-2</v>
      </c>
      <c r="Q722" s="23">
        <f t="shared" si="69"/>
        <v>0.85306954436450799</v>
      </c>
      <c r="R722" s="22">
        <f t="shared" si="70"/>
        <v>2.6996739099879101</v>
      </c>
      <c r="S722" s="22">
        <f t="shared" si="71"/>
        <v>3.6996739099879101</v>
      </c>
    </row>
    <row r="723" spans="1:19">
      <c r="A723" s="18" t="s">
        <v>762</v>
      </c>
      <c r="B723" s="18" t="s">
        <v>40</v>
      </c>
      <c r="C723" s="18" t="s">
        <v>41</v>
      </c>
      <c r="D723" s="19">
        <v>44790</v>
      </c>
      <c r="E723" s="20">
        <v>45397</v>
      </c>
      <c r="F723" s="21">
        <v>5608</v>
      </c>
      <c r="G723" s="21">
        <v>5174.3999999999996</v>
      </c>
      <c r="H723" s="21">
        <v>2824</v>
      </c>
      <c r="I723" s="18">
        <v>3411.8560000000002</v>
      </c>
      <c r="J723" s="18">
        <v>9781.9840000000004</v>
      </c>
      <c r="K723" s="18" t="s">
        <v>43</v>
      </c>
      <c r="L723" s="18" t="s">
        <v>44</v>
      </c>
      <c r="M723" s="18" t="s">
        <v>24</v>
      </c>
      <c r="N723" s="22">
        <f t="shared" si="66"/>
        <v>0.92268188302425103</v>
      </c>
      <c r="O723" s="22">
        <f t="shared" si="67"/>
        <v>0.54576376004947402</v>
      </c>
      <c r="P723" s="23">
        <f t="shared" si="68"/>
        <v>0.65937229437229405</v>
      </c>
      <c r="Q723" s="23">
        <f t="shared" si="69"/>
        <v>1.2081643059490099</v>
      </c>
      <c r="R723" s="22">
        <f t="shared" si="70"/>
        <v>1.8670565229013201</v>
      </c>
      <c r="S723" s="22">
        <f t="shared" si="71"/>
        <v>2.8670565229013198</v>
      </c>
    </row>
    <row r="724" spans="1:19">
      <c r="A724" s="18" t="s">
        <v>763</v>
      </c>
      <c r="B724" s="18" t="s">
        <v>26</v>
      </c>
      <c r="C724" s="18" t="s">
        <v>48</v>
      </c>
      <c r="D724" s="19">
        <v>44818</v>
      </c>
      <c r="E724" s="20">
        <v>45425</v>
      </c>
      <c r="F724" s="21">
        <v>63740.800000000003</v>
      </c>
      <c r="G724" s="21">
        <v>17675.2</v>
      </c>
      <c r="H724" s="21">
        <v>9673.6</v>
      </c>
      <c r="I724" s="18">
        <v>2560.8319999999999</v>
      </c>
      <c r="J724" s="18">
        <v>3853.5360000000001</v>
      </c>
      <c r="K724" s="18" t="s">
        <v>65</v>
      </c>
      <c r="L724" s="18" t="s">
        <v>44</v>
      </c>
      <c r="M724" s="18" t="s">
        <v>24</v>
      </c>
      <c r="N724" s="22">
        <f t="shared" si="66"/>
        <v>0.277298057131382</v>
      </c>
      <c r="O724" s="22">
        <f t="shared" si="67"/>
        <v>0.54729790893455199</v>
      </c>
      <c r="P724" s="23">
        <f t="shared" si="68"/>
        <v>0.144882773603693</v>
      </c>
      <c r="Q724" s="23">
        <f t="shared" si="69"/>
        <v>0.26472378432021199</v>
      </c>
      <c r="R724" s="22">
        <f t="shared" si="70"/>
        <v>0.50479844050683498</v>
      </c>
      <c r="S724" s="22">
        <f t="shared" si="71"/>
        <v>1.50479844050684</v>
      </c>
    </row>
    <row r="725" spans="1:19">
      <c r="A725" s="18" t="s">
        <v>764</v>
      </c>
      <c r="B725" s="18" t="s">
        <v>26</v>
      </c>
      <c r="C725" s="18" t="s">
        <v>21</v>
      </c>
      <c r="D725" s="19">
        <v>44971</v>
      </c>
      <c r="E725" s="20">
        <v>45574</v>
      </c>
      <c r="F725" s="21">
        <v>76060.800000000003</v>
      </c>
      <c r="G725" s="21">
        <v>50080</v>
      </c>
      <c r="H725" s="21">
        <v>41928</v>
      </c>
      <c r="I725" s="18">
        <v>7612.576</v>
      </c>
      <c r="J725" s="18">
        <v>24759.936000000002</v>
      </c>
      <c r="K725" s="18" t="s">
        <v>65</v>
      </c>
      <c r="L725" s="18" t="s">
        <v>31</v>
      </c>
      <c r="M725" s="18" t="s">
        <v>24</v>
      </c>
      <c r="N725" s="22">
        <f t="shared" si="66"/>
        <v>0.65842063191552003</v>
      </c>
      <c r="O725" s="22">
        <f t="shared" si="67"/>
        <v>0.83722044728434497</v>
      </c>
      <c r="P725" s="23">
        <f t="shared" si="68"/>
        <v>0.15200830670926499</v>
      </c>
      <c r="Q725" s="23">
        <f t="shared" si="69"/>
        <v>0.18156306048463999</v>
      </c>
      <c r="R725" s="22">
        <f t="shared" si="70"/>
        <v>2.2525042771330002</v>
      </c>
      <c r="S725" s="22">
        <f t="shared" si="71"/>
        <v>3.2525042771330002</v>
      </c>
    </row>
    <row r="726" spans="1:19">
      <c r="A726" s="18" t="s">
        <v>765</v>
      </c>
      <c r="B726" s="18" t="s">
        <v>34</v>
      </c>
      <c r="C726" s="18" t="s">
        <v>41</v>
      </c>
      <c r="D726" s="19">
        <v>44780</v>
      </c>
      <c r="E726" s="20">
        <v>45382</v>
      </c>
      <c r="F726" s="21">
        <v>33028.800000000003</v>
      </c>
      <c r="G726" s="21">
        <v>9313.6</v>
      </c>
      <c r="H726" s="21">
        <v>9182.4</v>
      </c>
      <c r="I726" s="18">
        <v>2305.44</v>
      </c>
      <c r="J726" s="18">
        <v>3042.24</v>
      </c>
      <c r="K726" s="18" t="s">
        <v>22</v>
      </c>
      <c r="L726" s="18" t="s">
        <v>23</v>
      </c>
      <c r="M726" s="18" t="s">
        <v>24</v>
      </c>
      <c r="N726" s="22">
        <f t="shared" si="66"/>
        <v>0.28198420772174598</v>
      </c>
      <c r="O726" s="22">
        <f t="shared" si="67"/>
        <v>0.98591307335509404</v>
      </c>
      <c r="P726" s="23">
        <f t="shared" si="68"/>
        <v>0.247534787837141</v>
      </c>
      <c r="Q726" s="23">
        <f t="shared" si="69"/>
        <v>0.25107161526398297</v>
      </c>
      <c r="R726" s="22">
        <f t="shared" si="70"/>
        <v>0.31959192171559397</v>
      </c>
      <c r="S726" s="22">
        <f t="shared" si="71"/>
        <v>1.31959192171559</v>
      </c>
    </row>
    <row r="727" spans="1:19">
      <c r="A727" s="18" t="s">
        <v>766</v>
      </c>
      <c r="B727" s="18" t="s">
        <v>40</v>
      </c>
      <c r="C727" s="18" t="s">
        <v>41</v>
      </c>
      <c r="D727" s="19">
        <v>44919</v>
      </c>
      <c r="E727" s="20">
        <v>45540</v>
      </c>
      <c r="F727" s="21">
        <v>12673.6</v>
      </c>
      <c r="G727" s="21">
        <v>11006.4</v>
      </c>
      <c r="H727" s="21">
        <v>4809.6000000000004</v>
      </c>
      <c r="I727" s="18">
        <v>1494.3520000000001</v>
      </c>
      <c r="J727" s="18">
        <v>4680.3360000000002</v>
      </c>
      <c r="K727" s="18" t="s">
        <v>30</v>
      </c>
      <c r="L727" s="18" t="s">
        <v>23</v>
      </c>
      <c r="M727" s="18" t="s">
        <v>32</v>
      </c>
      <c r="N727" s="22">
        <f t="shared" si="66"/>
        <v>0.868450953162479</v>
      </c>
      <c r="O727" s="22">
        <f t="shared" si="67"/>
        <v>0.43698211949411297</v>
      </c>
      <c r="P727" s="23">
        <f t="shared" si="68"/>
        <v>0.135771187672627</v>
      </c>
      <c r="Q727" s="23">
        <f t="shared" si="69"/>
        <v>0.31070192947438502</v>
      </c>
      <c r="R727" s="22">
        <f t="shared" si="70"/>
        <v>2.1320170883433098</v>
      </c>
      <c r="S727" s="22">
        <f t="shared" si="71"/>
        <v>3.1320170883433098</v>
      </c>
    </row>
    <row r="728" spans="1:19">
      <c r="A728" s="18" t="s">
        <v>767</v>
      </c>
      <c r="B728" s="18" t="s">
        <v>34</v>
      </c>
      <c r="C728" s="18" t="s">
        <v>21</v>
      </c>
      <c r="D728" s="19">
        <v>44923</v>
      </c>
      <c r="E728" s="20">
        <v>45534</v>
      </c>
      <c r="F728" s="21">
        <v>60278.400000000001</v>
      </c>
      <c r="G728" s="21">
        <v>10195.200000000001</v>
      </c>
      <c r="H728" s="21">
        <v>7408</v>
      </c>
      <c r="I728" s="18">
        <v>7752.2079999999996</v>
      </c>
      <c r="J728" s="18">
        <v>30337.583999999999</v>
      </c>
      <c r="K728" s="18" t="s">
        <v>38</v>
      </c>
      <c r="L728" s="18" t="s">
        <v>44</v>
      </c>
      <c r="M728" s="18" t="s">
        <v>32</v>
      </c>
      <c r="N728" s="22">
        <f t="shared" si="66"/>
        <v>0.169135212613474</v>
      </c>
      <c r="O728" s="22">
        <f t="shared" si="67"/>
        <v>0.72661644695543004</v>
      </c>
      <c r="P728" s="23">
        <f t="shared" si="68"/>
        <v>0.76037821720025101</v>
      </c>
      <c r="Q728" s="23">
        <f t="shared" si="69"/>
        <v>1.04646436285097</v>
      </c>
      <c r="R728" s="22">
        <f t="shared" si="70"/>
        <v>2.9134120240323802</v>
      </c>
      <c r="S728" s="22">
        <f t="shared" si="71"/>
        <v>3.9134120240323802</v>
      </c>
    </row>
    <row r="729" spans="1:19">
      <c r="A729" s="18" t="s">
        <v>768</v>
      </c>
      <c r="B729" s="18" t="s">
        <v>26</v>
      </c>
      <c r="C729" s="18" t="s">
        <v>41</v>
      </c>
      <c r="D729" s="19">
        <v>44797</v>
      </c>
      <c r="E729" s="20">
        <v>45422</v>
      </c>
      <c r="F729" s="21">
        <v>20073.599999999999</v>
      </c>
      <c r="G729" s="21">
        <v>2190.4</v>
      </c>
      <c r="H729" s="21">
        <v>1630.4</v>
      </c>
      <c r="I729" s="18">
        <v>985.69600000000003</v>
      </c>
      <c r="J729" s="18">
        <v>1350.64</v>
      </c>
      <c r="K729" s="18" t="s">
        <v>38</v>
      </c>
      <c r="L729" s="18" t="s">
        <v>44</v>
      </c>
      <c r="M729" s="18" t="s">
        <v>24</v>
      </c>
      <c r="N729" s="22">
        <f t="shared" si="66"/>
        <v>0.109118444125618</v>
      </c>
      <c r="O729" s="22">
        <f t="shared" si="67"/>
        <v>0.74433893352812297</v>
      </c>
      <c r="P729" s="23">
        <f t="shared" si="68"/>
        <v>0.45000730460189903</v>
      </c>
      <c r="Q729" s="23">
        <f t="shared" si="69"/>
        <v>0.60457311089303201</v>
      </c>
      <c r="R729" s="22">
        <f t="shared" si="70"/>
        <v>0.370239911696913</v>
      </c>
      <c r="S729" s="22">
        <f t="shared" si="71"/>
        <v>1.37023991169691</v>
      </c>
    </row>
    <row r="730" spans="1:19">
      <c r="A730" s="18" t="s">
        <v>769</v>
      </c>
      <c r="B730" s="18" t="s">
        <v>34</v>
      </c>
      <c r="C730" s="18" t="s">
        <v>41</v>
      </c>
      <c r="D730" s="19">
        <v>44875</v>
      </c>
      <c r="E730" s="20">
        <v>45498</v>
      </c>
      <c r="F730" s="21">
        <v>8083.2</v>
      </c>
      <c r="G730" s="21">
        <v>281.60000000000002</v>
      </c>
      <c r="H730" s="21">
        <v>72</v>
      </c>
      <c r="I730" s="18">
        <v>2476.2719999999999</v>
      </c>
      <c r="J730" s="18">
        <v>8171.92</v>
      </c>
      <c r="K730" s="18" t="s">
        <v>22</v>
      </c>
      <c r="L730" s="18" t="s">
        <v>31</v>
      </c>
      <c r="M730" s="18" t="s">
        <v>32</v>
      </c>
      <c r="N730" s="22">
        <f t="shared" si="66"/>
        <v>3.4837688044338899E-2</v>
      </c>
      <c r="O730" s="22">
        <f t="shared" si="67"/>
        <v>0.25568181818181801</v>
      </c>
      <c r="P730" s="23">
        <f t="shared" si="68"/>
        <v>8.7935795454545396</v>
      </c>
      <c r="Q730" s="23">
        <f t="shared" si="69"/>
        <v>34.392666666666699</v>
      </c>
      <c r="R730" s="22">
        <f t="shared" si="70"/>
        <v>2.3000898124277098</v>
      </c>
      <c r="S730" s="22">
        <f t="shared" si="71"/>
        <v>3.3000898124277098</v>
      </c>
    </row>
    <row r="731" spans="1:19">
      <c r="A731" s="18" t="s">
        <v>770</v>
      </c>
      <c r="B731" s="18" t="s">
        <v>47</v>
      </c>
      <c r="C731" s="18" t="s">
        <v>29</v>
      </c>
      <c r="D731" s="19">
        <v>44942</v>
      </c>
      <c r="E731" s="20">
        <v>45562</v>
      </c>
      <c r="F731" s="21">
        <v>41782.400000000001</v>
      </c>
      <c r="G731" s="21">
        <v>6478.4</v>
      </c>
      <c r="H731" s="21">
        <v>1547.2</v>
      </c>
      <c r="I731" s="18">
        <v>7148.7520000000004</v>
      </c>
      <c r="J731" s="18">
        <v>28472.848000000002</v>
      </c>
      <c r="K731" s="18" t="s">
        <v>65</v>
      </c>
      <c r="L731" s="18" t="s">
        <v>23</v>
      </c>
      <c r="M731" s="18" t="s">
        <v>24</v>
      </c>
      <c r="N731" s="22">
        <f t="shared" si="66"/>
        <v>0.15505093053534499</v>
      </c>
      <c r="O731" s="22">
        <f t="shared" si="67"/>
        <v>0.23882440108668801</v>
      </c>
      <c r="P731" s="23">
        <f t="shared" si="68"/>
        <v>1.1034749320820001</v>
      </c>
      <c r="Q731" s="23">
        <f t="shared" si="69"/>
        <v>4.6204446742502601</v>
      </c>
      <c r="R731" s="22">
        <f t="shared" si="70"/>
        <v>2.9829117026300498</v>
      </c>
      <c r="S731" s="22">
        <f t="shared" si="71"/>
        <v>3.9829117026300498</v>
      </c>
    </row>
    <row r="732" spans="1:19">
      <c r="A732" s="18" t="s">
        <v>771</v>
      </c>
      <c r="B732" s="18" t="s">
        <v>28</v>
      </c>
      <c r="C732" s="18" t="s">
        <v>48</v>
      </c>
      <c r="D732" s="19">
        <v>44732</v>
      </c>
      <c r="E732" s="20">
        <v>45349</v>
      </c>
      <c r="F732" s="21">
        <v>6676.8</v>
      </c>
      <c r="G732" s="21">
        <v>4121.6000000000004</v>
      </c>
      <c r="H732" s="21">
        <v>1998.4</v>
      </c>
      <c r="I732" s="18">
        <v>4126.4960000000001</v>
      </c>
      <c r="J732" s="18">
        <v>10392.048000000001</v>
      </c>
      <c r="K732" s="18" t="s">
        <v>30</v>
      </c>
      <c r="L732" s="18" t="s">
        <v>35</v>
      </c>
      <c r="M732" s="18" t="s">
        <v>24</v>
      </c>
      <c r="N732" s="22">
        <f t="shared" si="66"/>
        <v>0.61730170141385099</v>
      </c>
      <c r="O732" s="22">
        <f t="shared" si="67"/>
        <v>0.48486024844720499</v>
      </c>
      <c r="P732" s="23">
        <f t="shared" si="68"/>
        <v>1.0011878881987599</v>
      </c>
      <c r="Q732" s="23">
        <f t="shared" si="69"/>
        <v>2.0648999199359501</v>
      </c>
      <c r="R732" s="22">
        <f t="shared" si="70"/>
        <v>1.51837103440789</v>
      </c>
      <c r="S732" s="22">
        <f t="shared" si="71"/>
        <v>2.5183710344078798</v>
      </c>
    </row>
    <row r="733" spans="1:19">
      <c r="A733" s="18" t="s">
        <v>772</v>
      </c>
      <c r="B733" s="18" t="s">
        <v>28</v>
      </c>
      <c r="C733" s="18" t="s">
        <v>21</v>
      </c>
      <c r="D733" s="19">
        <v>44914</v>
      </c>
      <c r="E733" s="20">
        <v>45538</v>
      </c>
      <c r="F733" s="21">
        <v>79531.199999999997</v>
      </c>
      <c r="G733" s="21">
        <v>25417.599999999999</v>
      </c>
      <c r="H733" s="21">
        <v>12590.4</v>
      </c>
      <c r="I733" s="18">
        <v>7578.4319999999998</v>
      </c>
      <c r="J733" s="18">
        <v>27729.552</v>
      </c>
      <c r="K733" s="18" t="s">
        <v>30</v>
      </c>
      <c r="L733" s="18" t="s">
        <v>44</v>
      </c>
      <c r="M733" s="18" t="s">
        <v>32</v>
      </c>
      <c r="N733" s="22">
        <f t="shared" si="66"/>
        <v>0.31959281388939198</v>
      </c>
      <c r="O733" s="22">
        <f t="shared" si="67"/>
        <v>0.49534181039909397</v>
      </c>
      <c r="P733" s="23">
        <f t="shared" si="68"/>
        <v>0.29815686768223598</v>
      </c>
      <c r="Q733" s="23">
        <f t="shared" si="69"/>
        <v>0.60192146397255097</v>
      </c>
      <c r="R733" s="22">
        <f t="shared" si="70"/>
        <v>2.6590091459552601</v>
      </c>
      <c r="S733" s="22">
        <f t="shared" si="71"/>
        <v>3.6590091459552601</v>
      </c>
    </row>
    <row r="734" spans="1:19">
      <c r="A734" s="18" t="s">
        <v>773</v>
      </c>
      <c r="B734" s="18" t="s">
        <v>47</v>
      </c>
      <c r="C734" s="18" t="s">
        <v>41</v>
      </c>
      <c r="D734" s="19">
        <v>44818</v>
      </c>
      <c r="E734" s="20">
        <v>45446</v>
      </c>
      <c r="F734" s="21">
        <v>38760</v>
      </c>
      <c r="G734" s="21">
        <v>13889.6</v>
      </c>
      <c r="H734" s="21">
        <v>88</v>
      </c>
      <c r="I734" s="18">
        <v>4448.72</v>
      </c>
      <c r="J734" s="18">
        <v>15525.216</v>
      </c>
      <c r="K734" s="18" t="s">
        <v>30</v>
      </c>
      <c r="L734" s="18" t="s">
        <v>50</v>
      </c>
      <c r="M734" s="18" t="s">
        <v>32</v>
      </c>
      <c r="N734" s="22">
        <f t="shared" si="66"/>
        <v>0.35834881320949402</v>
      </c>
      <c r="O734" s="22">
        <f t="shared" si="67"/>
        <v>6.3356756134085902E-3</v>
      </c>
      <c r="P734" s="23">
        <f t="shared" si="68"/>
        <v>0.320291441078217</v>
      </c>
      <c r="Q734" s="23">
        <f t="shared" si="69"/>
        <v>50.5536363636364</v>
      </c>
      <c r="R734" s="22">
        <f t="shared" si="70"/>
        <v>2.4898163966264399</v>
      </c>
      <c r="S734" s="22">
        <f t="shared" si="71"/>
        <v>3.4898163966264502</v>
      </c>
    </row>
    <row r="735" spans="1:19">
      <c r="A735" s="18" t="s">
        <v>774</v>
      </c>
      <c r="B735" s="18" t="s">
        <v>34</v>
      </c>
      <c r="C735" s="18" t="s">
        <v>21</v>
      </c>
      <c r="D735" s="19">
        <v>44724</v>
      </c>
      <c r="E735" s="20">
        <v>45353</v>
      </c>
      <c r="F735" s="21">
        <v>18830.400000000001</v>
      </c>
      <c r="G735" s="21">
        <v>2241.6</v>
      </c>
      <c r="H735" s="21">
        <v>33.6</v>
      </c>
      <c r="I735" s="18">
        <v>5410.2240000000002</v>
      </c>
      <c r="J735" s="18">
        <v>13427.824000000001</v>
      </c>
      <c r="K735" s="18" t="s">
        <v>65</v>
      </c>
      <c r="L735" s="18" t="s">
        <v>44</v>
      </c>
      <c r="M735" s="18" t="s">
        <v>24</v>
      </c>
      <c r="N735" s="22">
        <f t="shared" si="66"/>
        <v>0.11904154983431001</v>
      </c>
      <c r="O735" s="22">
        <f t="shared" si="67"/>
        <v>1.49892933618844E-2</v>
      </c>
      <c r="P735" s="23">
        <f t="shared" si="68"/>
        <v>2.41355460385439</v>
      </c>
      <c r="Q735" s="23">
        <f t="shared" si="69"/>
        <v>161.01857142857099</v>
      </c>
      <c r="R735" s="22">
        <f t="shared" si="70"/>
        <v>1.4819349439136</v>
      </c>
      <c r="S735" s="22">
        <f t="shared" si="71"/>
        <v>2.4819349439136</v>
      </c>
    </row>
    <row r="736" spans="1:19">
      <c r="A736" s="18" t="s">
        <v>775</v>
      </c>
      <c r="B736" s="18" t="s">
        <v>47</v>
      </c>
      <c r="C736" s="18" t="s">
        <v>48</v>
      </c>
      <c r="D736" s="19">
        <v>44753</v>
      </c>
      <c r="E736" s="20">
        <v>45372</v>
      </c>
      <c r="F736" s="21">
        <v>3641.6</v>
      </c>
      <c r="G736" s="21">
        <v>2174.4</v>
      </c>
      <c r="H736" s="21">
        <v>422.4</v>
      </c>
      <c r="I736" s="18">
        <v>4368.5439999999999</v>
      </c>
      <c r="J736" s="18">
        <v>8932.5280000000002</v>
      </c>
      <c r="K736" s="18" t="s">
        <v>43</v>
      </c>
      <c r="L736" s="18" t="s">
        <v>35</v>
      </c>
      <c r="M736" s="18" t="s">
        <v>24</v>
      </c>
      <c r="N736" s="22">
        <f t="shared" si="66"/>
        <v>0.59710017574692398</v>
      </c>
      <c r="O736" s="22">
        <f t="shared" si="67"/>
        <v>0.19426048565121401</v>
      </c>
      <c r="P736" s="23">
        <f t="shared" si="68"/>
        <v>2.00908020603385</v>
      </c>
      <c r="Q736" s="23">
        <f t="shared" si="69"/>
        <v>10.342196969697</v>
      </c>
      <c r="R736" s="22">
        <f t="shared" si="70"/>
        <v>1.0447380179757799</v>
      </c>
      <c r="S736" s="22">
        <f t="shared" si="71"/>
        <v>2.0447380179757801</v>
      </c>
    </row>
    <row r="737" spans="1:19">
      <c r="A737" s="18" t="s">
        <v>776</v>
      </c>
      <c r="B737" s="18" t="s">
        <v>40</v>
      </c>
      <c r="C737" s="18" t="s">
        <v>41</v>
      </c>
      <c r="D737" s="19">
        <v>44693</v>
      </c>
      <c r="E737" s="20">
        <v>45312</v>
      </c>
      <c r="F737" s="21">
        <v>1923.2</v>
      </c>
      <c r="G737" s="21">
        <v>464</v>
      </c>
      <c r="H737" s="21">
        <v>396.8</v>
      </c>
      <c r="I737" s="18">
        <v>3150.9760000000001</v>
      </c>
      <c r="J737" s="18">
        <v>9523.7119999999995</v>
      </c>
      <c r="K737" s="18" t="s">
        <v>65</v>
      </c>
      <c r="L737" s="18" t="s">
        <v>23</v>
      </c>
      <c r="M737" s="18" t="s">
        <v>24</v>
      </c>
      <c r="N737" s="22">
        <f t="shared" si="66"/>
        <v>0.24126455906822</v>
      </c>
      <c r="O737" s="22">
        <f t="shared" si="67"/>
        <v>0.85517241379310305</v>
      </c>
      <c r="P737" s="23">
        <f t="shared" si="68"/>
        <v>6.7908965517241402</v>
      </c>
      <c r="Q737" s="23">
        <f t="shared" si="69"/>
        <v>7.9409677419354798</v>
      </c>
      <c r="R737" s="22">
        <f t="shared" si="70"/>
        <v>2.0224641507900998</v>
      </c>
      <c r="S737" s="22">
        <f t="shared" si="71"/>
        <v>3.0224641507900998</v>
      </c>
    </row>
    <row r="738" spans="1:19">
      <c r="A738" s="18" t="s">
        <v>777</v>
      </c>
      <c r="B738" s="18" t="s">
        <v>26</v>
      </c>
      <c r="C738" s="18" t="s">
        <v>48</v>
      </c>
      <c r="D738" s="19">
        <v>44883</v>
      </c>
      <c r="E738" s="20">
        <v>45495</v>
      </c>
      <c r="F738" s="21">
        <v>38587.199999999997</v>
      </c>
      <c r="G738" s="21">
        <v>26523.200000000001</v>
      </c>
      <c r="H738" s="21">
        <v>17787.2</v>
      </c>
      <c r="I738" s="18">
        <v>4236.8639999999996</v>
      </c>
      <c r="J738" s="18">
        <v>11295.567999999999</v>
      </c>
      <c r="K738" s="18" t="s">
        <v>30</v>
      </c>
      <c r="L738" s="18" t="s">
        <v>50</v>
      </c>
      <c r="M738" s="18" t="s">
        <v>24</v>
      </c>
      <c r="N738" s="22">
        <f t="shared" si="66"/>
        <v>0.68735746568810396</v>
      </c>
      <c r="O738" s="22">
        <f t="shared" si="67"/>
        <v>0.67062797852446199</v>
      </c>
      <c r="P738" s="23">
        <f t="shared" si="68"/>
        <v>0.15974181094287301</v>
      </c>
      <c r="Q738" s="23">
        <f t="shared" si="69"/>
        <v>0.238197355401637</v>
      </c>
      <c r="R738" s="22">
        <f t="shared" si="70"/>
        <v>1.66602090602861</v>
      </c>
      <c r="S738" s="22">
        <f t="shared" si="71"/>
        <v>2.66602090602861</v>
      </c>
    </row>
    <row r="739" spans="1:19">
      <c r="A739" s="18" t="s">
        <v>778</v>
      </c>
      <c r="B739" s="18" t="s">
        <v>34</v>
      </c>
      <c r="C739" s="18" t="s">
        <v>48</v>
      </c>
      <c r="D739" s="19">
        <v>44781</v>
      </c>
      <c r="E739" s="20">
        <v>45386</v>
      </c>
      <c r="F739" s="21">
        <v>70011.199999999997</v>
      </c>
      <c r="G739" s="21">
        <v>13760</v>
      </c>
      <c r="H739" s="21">
        <v>8878.4</v>
      </c>
      <c r="I739" s="18">
        <v>5728.7839999999997</v>
      </c>
      <c r="J739" s="18">
        <v>10943.12</v>
      </c>
      <c r="K739" s="18" t="s">
        <v>65</v>
      </c>
      <c r="L739" s="18" t="s">
        <v>23</v>
      </c>
      <c r="M739" s="18" t="s">
        <v>32</v>
      </c>
      <c r="N739" s="22">
        <f t="shared" si="66"/>
        <v>0.19653998217428101</v>
      </c>
      <c r="O739" s="22">
        <f t="shared" si="67"/>
        <v>0.64523255813953495</v>
      </c>
      <c r="P739" s="23">
        <f t="shared" si="68"/>
        <v>0.41633604651162798</v>
      </c>
      <c r="Q739" s="23">
        <f t="shared" si="69"/>
        <v>0.64524959452153496</v>
      </c>
      <c r="R739" s="22">
        <f t="shared" si="70"/>
        <v>0.91019944197581903</v>
      </c>
      <c r="S739" s="22">
        <f t="shared" si="71"/>
        <v>1.9101994419758199</v>
      </c>
    </row>
    <row r="740" spans="1:19">
      <c r="A740" s="18" t="s">
        <v>779</v>
      </c>
      <c r="B740" s="18" t="s">
        <v>47</v>
      </c>
      <c r="C740" s="18" t="s">
        <v>41</v>
      </c>
      <c r="D740" s="19">
        <v>44823</v>
      </c>
      <c r="E740" s="20">
        <v>45447</v>
      </c>
      <c r="F740" s="21">
        <v>20411.2</v>
      </c>
      <c r="G740" s="21">
        <v>6331.2</v>
      </c>
      <c r="H740" s="21">
        <v>4734.3999999999996</v>
      </c>
      <c r="I740" s="18">
        <v>3666.7840000000001</v>
      </c>
      <c r="J740" s="18">
        <v>9891.6640000000007</v>
      </c>
      <c r="K740" s="18" t="s">
        <v>43</v>
      </c>
      <c r="L740" s="18" t="s">
        <v>50</v>
      </c>
      <c r="M740" s="18" t="s">
        <v>24</v>
      </c>
      <c r="N740" s="22">
        <f t="shared" si="66"/>
        <v>0.31018264482245</v>
      </c>
      <c r="O740" s="22">
        <f t="shared" si="67"/>
        <v>0.74778872883497605</v>
      </c>
      <c r="P740" s="23">
        <f t="shared" si="68"/>
        <v>0.579160980540814</v>
      </c>
      <c r="Q740" s="23">
        <f t="shared" si="69"/>
        <v>0.77449814126394101</v>
      </c>
      <c r="R740" s="22">
        <f t="shared" si="70"/>
        <v>1.6976402209674699</v>
      </c>
      <c r="S740" s="22">
        <f t="shared" si="71"/>
        <v>2.6976402209674699</v>
      </c>
    </row>
    <row r="741" spans="1:19">
      <c r="A741" s="18" t="s">
        <v>780</v>
      </c>
      <c r="B741" s="18" t="s">
        <v>28</v>
      </c>
      <c r="C741" s="18" t="s">
        <v>21</v>
      </c>
      <c r="D741" s="19">
        <v>44862</v>
      </c>
      <c r="E741" s="20">
        <v>45484</v>
      </c>
      <c r="F741" s="21">
        <v>26542.400000000001</v>
      </c>
      <c r="G741" s="21">
        <v>13459.2</v>
      </c>
      <c r="H741" s="21">
        <v>7905.6</v>
      </c>
      <c r="I741" s="18">
        <v>6133.36</v>
      </c>
      <c r="J741" s="18">
        <v>9407.6</v>
      </c>
      <c r="K741" s="18" t="s">
        <v>30</v>
      </c>
      <c r="L741" s="18" t="s">
        <v>50</v>
      </c>
      <c r="M741" s="18" t="s">
        <v>24</v>
      </c>
      <c r="N741" s="22">
        <f t="shared" si="66"/>
        <v>0.50708300681174301</v>
      </c>
      <c r="O741" s="22">
        <f t="shared" si="67"/>
        <v>0.58737517831668995</v>
      </c>
      <c r="P741" s="23">
        <f t="shared" si="68"/>
        <v>0.45570019020447</v>
      </c>
      <c r="Q741" s="23">
        <f t="shared" si="69"/>
        <v>0.77582473183566103</v>
      </c>
      <c r="R741" s="22">
        <f t="shared" si="70"/>
        <v>0.53384115721236003</v>
      </c>
      <c r="S741" s="22">
        <f t="shared" si="71"/>
        <v>1.53384115721236</v>
      </c>
    </row>
    <row r="742" spans="1:19">
      <c r="A742" s="18" t="s">
        <v>781</v>
      </c>
      <c r="B742" s="18" t="s">
        <v>47</v>
      </c>
      <c r="C742" s="18" t="s">
        <v>48</v>
      </c>
      <c r="D742" s="19">
        <v>44934</v>
      </c>
      <c r="E742" s="20">
        <v>45542</v>
      </c>
      <c r="F742" s="21">
        <v>36648</v>
      </c>
      <c r="G742" s="21">
        <v>19868.8</v>
      </c>
      <c r="H742" s="21">
        <v>12278.4</v>
      </c>
      <c r="I742" s="18">
        <v>2650.4319999999998</v>
      </c>
      <c r="J742" s="18">
        <v>6439.3919999999998</v>
      </c>
      <c r="K742" s="18" t="s">
        <v>30</v>
      </c>
      <c r="L742" s="18" t="s">
        <v>44</v>
      </c>
      <c r="M742" s="18" t="s">
        <v>24</v>
      </c>
      <c r="N742" s="22">
        <f t="shared" si="66"/>
        <v>0.54215236847849801</v>
      </c>
      <c r="O742" s="22">
        <f t="shared" si="67"/>
        <v>0.61797390884200398</v>
      </c>
      <c r="P742" s="23">
        <f t="shared" si="68"/>
        <v>0.133396682235465</v>
      </c>
      <c r="Q742" s="23">
        <f t="shared" si="69"/>
        <v>0.215861350013031</v>
      </c>
      <c r="R742" s="22">
        <f t="shared" si="70"/>
        <v>1.4295631806437601</v>
      </c>
      <c r="S742" s="22">
        <f t="shared" si="71"/>
        <v>2.4295631806437599</v>
      </c>
    </row>
    <row r="743" spans="1:19">
      <c r="A743" s="18" t="s">
        <v>782</v>
      </c>
      <c r="B743" s="18" t="s">
        <v>26</v>
      </c>
      <c r="C743" s="18" t="s">
        <v>48</v>
      </c>
      <c r="D743" s="19">
        <v>44724</v>
      </c>
      <c r="E743" s="20">
        <v>45339</v>
      </c>
      <c r="F743" s="21">
        <v>42004.800000000003</v>
      </c>
      <c r="G743" s="21">
        <v>30102.400000000001</v>
      </c>
      <c r="H743" s="21">
        <v>7044.8</v>
      </c>
      <c r="I743" s="18">
        <v>7421.1679999999997</v>
      </c>
      <c r="J743" s="18">
        <v>27182</v>
      </c>
      <c r="K743" s="18" t="s">
        <v>43</v>
      </c>
      <c r="L743" s="18" t="s">
        <v>31</v>
      </c>
      <c r="M743" s="18" t="s">
        <v>24</v>
      </c>
      <c r="N743" s="22">
        <f t="shared" si="66"/>
        <v>0.71664190759151303</v>
      </c>
      <c r="O743" s="22">
        <f t="shared" si="67"/>
        <v>0.23402785159987199</v>
      </c>
      <c r="P743" s="23">
        <f t="shared" si="68"/>
        <v>0.24653077495482101</v>
      </c>
      <c r="Q743" s="23">
        <f t="shared" si="69"/>
        <v>1.0534249375425799</v>
      </c>
      <c r="R743" s="22">
        <f t="shared" si="70"/>
        <v>2.6627657533153801</v>
      </c>
      <c r="S743" s="22">
        <f t="shared" si="71"/>
        <v>3.6627657533153801</v>
      </c>
    </row>
    <row r="744" spans="1:19">
      <c r="A744" s="18" t="s">
        <v>783</v>
      </c>
      <c r="B744" s="18" t="s">
        <v>47</v>
      </c>
      <c r="C744" s="18" t="s">
        <v>48</v>
      </c>
      <c r="D744" s="19">
        <v>44961</v>
      </c>
      <c r="E744" s="20">
        <v>45574</v>
      </c>
      <c r="F744" s="21">
        <v>13249.6</v>
      </c>
      <c r="G744" s="21">
        <v>3073.6</v>
      </c>
      <c r="H744" s="21">
        <v>1145.5999999999999</v>
      </c>
      <c r="I744" s="18">
        <v>2014.6559999999999</v>
      </c>
      <c r="J744" s="18">
        <v>3518.8159999999998</v>
      </c>
      <c r="K744" s="18" t="s">
        <v>65</v>
      </c>
      <c r="L744" s="18" t="s">
        <v>31</v>
      </c>
      <c r="M744" s="18" t="s">
        <v>32</v>
      </c>
      <c r="N744" s="22">
        <f t="shared" si="66"/>
        <v>0.23197681439439699</v>
      </c>
      <c r="O744" s="22">
        <f t="shared" si="67"/>
        <v>0.372722540343571</v>
      </c>
      <c r="P744" s="23">
        <f t="shared" si="68"/>
        <v>0.65547110879750103</v>
      </c>
      <c r="Q744" s="23">
        <f t="shared" si="69"/>
        <v>1.7586033519553099</v>
      </c>
      <c r="R744" s="22">
        <f t="shared" si="70"/>
        <v>0.74660885034467395</v>
      </c>
      <c r="S744" s="22">
        <f t="shared" si="71"/>
        <v>1.7466088503446699</v>
      </c>
    </row>
    <row r="745" spans="1:19">
      <c r="A745" s="18" t="s">
        <v>784</v>
      </c>
      <c r="B745" s="18" t="s">
        <v>28</v>
      </c>
      <c r="C745" s="18" t="s">
        <v>41</v>
      </c>
      <c r="D745" s="19">
        <v>44855</v>
      </c>
      <c r="E745" s="20">
        <v>45479</v>
      </c>
      <c r="F745" s="21">
        <v>21219.200000000001</v>
      </c>
      <c r="G745" s="21">
        <v>17070.400000000001</v>
      </c>
      <c r="H745" s="21">
        <v>163.19999999999999</v>
      </c>
      <c r="I745" s="18">
        <v>556.57600000000002</v>
      </c>
      <c r="J745" s="18">
        <v>1283.136</v>
      </c>
      <c r="K745" s="18" t="s">
        <v>30</v>
      </c>
      <c r="L745" s="18" t="s">
        <v>35</v>
      </c>
      <c r="M745" s="18" t="s">
        <v>24</v>
      </c>
      <c r="N745" s="22">
        <f t="shared" si="66"/>
        <v>0.804478962449103</v>
      </c>
      <c r="O745" s="22">
        <f t="shared" si="67"/>
        <v>9.5604086606054899E-3</v>
      </c>
      <c r="P745" s="23">
        <f t="shared" si="68"/>
        <v>3.2604742712531602E-2</v>
      </c>
      <c r="Q745" s="23">
        <f t="shared" si="69"/>
        <v>3.4103921568627502</v>
      </c>
      <c r="R745" s="22">
        <f t="shared" si="70"/>
        <v>1.30541022250331</v>
      </c>
      <c r="S745" s="22">
        <f t="shared" si="71"/>
        <v>2.3054102225033102</v>
      </c>
    </row>
    <row r="746" spans="1:19">
      <c r="A746" s="18" t="s">
        <v>785</v>
      </c>
      <c r="B746" s="18" t="s">
        <v>40</v>
      </c>
      <c r="C746" s="18" t="s">
        <v>29</v>
      </c>
      <c r="D746" s="19">
        <v>44989</v>
      </c>
      <c r="E746" s="20">
        <v>45597</v>
      </c>
      <c r="F746" s="21">
        <v>38038.400000000001</v>
      </c>
      <c r="G746" s="21">
        <v>30284.799999999999</v>
      </c>
      <c r="H746" s="21">
        <v>29563.200000000001</v>
      </c>
      <c r="I746" s="18">
        <v>904.83199999999999</v>
      </c>
      <c r="J746" s="18">
        <v>3071.76</v>
      </c>
      <c r="K746" s="18" t="s">
        <v>38</v>
      </c>
      <c r="L746" s="18" t="s">
        <v>50</v>
      </c>
      <c r="M746" s="18" t="s">
        <v>24</v>
      </c>
      <c r="N746" s="22">
        <f t="shared" si="66"/>
        <v>0.79616387650374398</v>
      </c>
      <c r="O746" s="22">
        <f t="shared" si="67"/>
        <v>0.97617286559594296</v>
      </c>
      <c r="P746" s="23">
        <f t="shared" si="68"/>
        <v>2.98774302620456E-2</v>
      </c>
      <c r="Q746" s="23">
        <f t="shared" si="69"/>
        <v>3.0606700221897501E-2</v>
      </c>
      <c r="R746" s="22">
        <f t="shared" si="70"/>
        <v>2.3948401471212302</v>
      </c>
      <c r="S746" s="22">
        <f t="shared" si="71"/>
        <v>3.3948401471212302</v>
      </c>
    </row>
    <row r="747" spans="1:19">
      <c r="A747" s="18" t="s">
        <v>786</v>
      </c>
      <c r="B747" s="18" t="s">
        <v>26</v>
      </c>
      <c r="C747" s="18" t="s">
        <v>29</v>
      </c>
      <c r="D747" s="19">
        <v>44840</v>
      </c>
      <c r="E747" s="20">
        <v>45444</v>
      </c>
      <c r="F747" s="21">
        <v>10400</v>
      </c>
      <c r="G747" s="21">
        <v>4457.6000000000004</v>
      </c>
      <c r="H747" s="21">
        <v>2336</v>
      </c>
      <c r="I747" s="18">
        <v>7296.1440000000002</v>
      </c>
      <c r="J747" s="18">
        <v>23946.704000000002</v>
      </c>
      <c r="K747" s="18" t="s">
        <v>22</v>
      </c>
      <c r="L747" s="18" t="s">
        <v>31</v>
      </c>
      <c r="M747" s="18" t="s">
        <v>24</v>
      </c>
      <c r="N747" s="22">
        <f t="shared" si="66"/>
        <v>0.42861538461538501</v>
      </c>
      <c r="O747" s="22">
        <f t="shared" si="67"/>
        <v>0.52404881550610205</v>
      </c>
      <c r="P747" s="23">
        <f t="shared" si="68"/>
        <v>1.6367875089734401</v>
      </c>
      <c r="Q747" s="23">
        <f t="shared" si="69"/>
        <v>3.1233493150684901</v>
      </c>
      <c r="R747" s="22">
        <f t="shared" si="70"/>
        <v>2.2821040812790998</v>
      </c>
      <c r="S747" s="22">
        <f t="shared" si="71"/>
        <v>3.2821040812790998</v>
      </c>
    </row>
    <row r="748" spans="1:19">
      <c r="A748" s="18" t="s">
        <v>787</v>
      </c>
      <c r="B748" s="18" t="s">
        <v>40</v>
      </c>
      <c r="C748" s="18" t="s">
        <v>21</v>
      </c>
      <c r="D748" s="19">
        <v>44711</v>
      </c>
      <c r="E748" s="20">
        <v>45318</v>
      </c>
      <c r="F748" s="21">
        <v>42558.400000000001</v>
      </c>
      <c r="G748" s="21">
        <v>20224</v>
      </c>
      <c r="H748" s="21">
        <v>7729.6</v>
      </c>
      <c r="I748" s="18">
        <v>3200.7040000000002</v>
      </c>
      <c r="J748" s="18">
        <v>10429.76</v>
      </c>
      <c r="K748" s="18" t="s">
        <v>30</v>
      </c>
      <c r="L748" s="18" t="s">
        <v>31</v>
      </c>
      <c r="M748" s="18" t="s">
        <v>24</v>
      </c>
      <c r="N748" s="22">
        <f t="shared" si="66"/>
        <v>0.47520583480582002</v>
      </c>
      <c r="O748" s="22">
        <f t="shared" si="67"/>
        <v>0.38219936708860802</v>
      </c>
      <c r="P748" s="23">
        <f t="shared" si="68"/>
        <v>0.15826265822784799</v>
      </c>
      <c r="Q748" s="23">
        <f t="shared" si="69"/>
        <v>0.41408404057130999</v>
      </c>
      <c r="R748" s="22">
        <f t="shared" si="70"/>
        <v>2.2585831117154198</v>
      </c>
      <c r="S748" s="22">
        <f t="shared" si="71"/>
        <v>3.2585831117154198</v>
      </c>
    </row>
    <row r="749" spans="1:19">
      <c r="A749" s="18" t="s">
        <v>788</v>
      </c>
      <c r="B749" s="18" t="s">
        <v>47</v>
      </c>
      <c r="C749" s="18" t="s">
        <v>41</v>
      </c>
      <c r="D749" s="19">
        <v>44765</v>
      </c>
      <c r="E749" s="20">
        <v>45395</v>
      </c>
      <c r="F749" s="21">
        <v>36412.800000000003</v>
      </c>
      <c r="G749" s="21">
        <v>22016</v>
      </c>
      <c r="H749" s="21">
        <v>13016</v>
      </c>
      <c r="I749" s="18">
        <v>4564.3360000000002</v>
      </c>
      <c r="J749" s="18">
        <v>16127.776</v>
      </c>
      <c r="K749" s="18" t="s">
        <v>38</v>
      </c>
      <c r="L749" s="18" t="s">
        <v>23</v>
      </c>
      <c r="M749" s="18" t="s">
        <v>32</v>
      </c>
      <c r="N749" s="22">
        <f t="shared" si="66"/>
        <v>0.60462255031197798</v>
      </c>
      <c r="O749" s="22">
        <f t="shared" si="67"/>
        <v>0.59120639534883701</v>
      </c>
      <c r="P749" s="23">
        <f t="shared" si="68"/>
        <v>0.20731904069767401</v>
      </c>
      <c r="Q749" s="23">
        <f t="shared" si="69"/>
        <v>0.35067117393976599</v>
      </c>
      <c r="R749" s="22">
        <f t="shared" si="70"/>
        <v>2.5334331214879899</v>
      </c>
      <c r="S749" s="22">
        <f t="shared" si="71"/>
        <v>3.5334331214879899</v>
      </c>
    </row>
    <row r="750" spans="1:19">
      <c r="A750" s="18" t="s">
        <v>789</v>
      </c>
      <c r="B750" s="18" t="s">
        <v>26</v>
      </c>
      <c r="C750" s="18" t="s">
        <v>48</v>
      </c>
      <c r="D750" s="19">
        <v>44936</v>
      </c>
      <c r="E750" s="20">
        <v>45566</v>
      </c>
      <c r="F750" s="21">
        <v>57777.599999999999</v>
      </c>
      <c r="G750" s="21">
        <v>22464</v>
      </c>
      <c r="H750" s="21">
        <v>585.6</v>
      </c>
      <c r="I750" s="18">
        <v>6009.232</v>
      </c>
      <c r="J750" s="18">
        <v>14596.592000000001</v>
      </c>
      <c r="K750" s="18" t="s">
        <v>65</v>
      </c>
      <c r="L750" s="18" t="s">
        <v>35</v>
      </c>
      <c r="M750" s="18" t="s">
        <v>24</v>
      </c>
      <c r="N750" s="22">
        <f t="shared" si="66"/>
        <v>0.388801196311373</v>
      </c>
      <c r="O750" s="22">
        <f t="shared" si="67"/>
        <v>2.6068376068376101E-2</v>
      </c>
      <c r="P750" s="23">
        <f t="shared" si="68"/>
        <v>0.26750498575498599</v>
      </c>
      <c r="Q750" s="23">
        <f t="shared" si="69"/>
        <v>10.2616666666667</v>
      </c>
      <c r="R750" s="22">
        <f t="shared" si="70"/>
        <v>1.4290278691187199</v>
      </c>
      <c r="S750" s="22">
        <f t="shared" si="71"/>
        <v>2.4290278691187202</v>
      </c>
    </row>
    <row r="751" spans="1:19">
      <c r="A751" s="18" t="s">
        <v>790</v>
      </c>
      <c r="B751" s="18" t="s">
        <v>34</v>
      </c>
      <c r="C751" s="18" t="s">
        <v>48</v>
      </c>
      <c r="D751" s="19">
        <v>44973</v>
      </c>
      <c r="E751" s="20">
        <v>45574</v>
      </c>
      <c r="F751" s="21">
        <v>67368</v>
      </c>
      <c r="G751" s="21">
        <v>18027.2</v>
      </c>
      <c r="H751" s="21">
        <v>9035.2000000000007</v>
      </c>
      <c r="I751" s="18">
        <v>2980.2240000000002</v>
      </c>
      <c r="J751" s="18">
        <v>6987.5680000000002</v>
      </c>
      <c r="K751" s="18" t="s">
        <v>38</v>
      </c>
      <c r="L751" s="18" t="s">
        <v>35</v>
      </c>
      <c r="M751" s="18" t="s">
        <v>32</v>
      </c>
      <c r="N751" s="22">
        <f t="shared" si="66"/>
        <v>0.26759292245576499</v>
      </c>
      <c r="O751" s="22">
        <f t="shared" si="67"/>
        <v>0.50119818940268002</v>
      </c>
      <c r="P751" s="23">
        <f t="shared" si="68"/>
        <v>0.16531818585249</v>
      </c>
      <c r="Q751" s="23">
        <f t="shared" si="69"/>
        <v>0.32984593589516598</v>
      </c>
      <c r="R751" s="22">
        <f t="shared" si="70"/>
        <v>1.3446452347206099</v>
      </c>
      <c r="S751" s="22">
        <f t="shared" si="71"/>
        <v>2.3446452347206099</v>
      </c>
    </row>
    <row r="752" spans="1:19">
      <c r="A752" s="18" t="s">
        <v>791</v>
      </c>
      <c r="B752" s="18" t="s">
        <v>28</v>
      </c>
      <c r="C752" s="18" t="s">
        <v>41</v>
      </c>
      <c r="D752" s="19">
        <v>44780</v>
      </c>
      <c r="E752" s="20">
        <v>45382</v>
      </c>
      <c r="F752" s="21">
        <v>41998.400000000001</v>
      </c>
      <c r="G752" s="21">
        <v>34908.800000000003</v>
      </c>
      <c r="H752" s="21">
        <v>17638.400000000001</v>
      </c>
      <c r="I752" s="18">
        <v>3898.4960000000001</v>
      </c>
      <c r="J752" s="18">
        <v>5912.64</v>
      </c>
      <c r="K752" s="18" t="s">
        <v>30</v>
      </c>
      <c r="L752" s="18" t="s">
        <v>44</v>
      </c>
      <c r="M752" s="18" t="s">
        <v>24</v>
      </c>
      <c r="N752" s="22">
        <f t="shared" si="66"/>
        <v>0.83119356927883004</v>
      </c>
      <c r="O752" s="22">
        <f t="shared" si="67"/>
        <v>0.50527087725731001</v>
      </c>
      <c r="P752" s="23">
        <f t="shared" si="68"/>
        <v>0.111676597304978</v>
      </c>
      <c r="Q752" s="23">
        <f t="shared" si="69"/>
        <v>0.22102322206095801</v>
      </c>
      <c r="R752" s="22">
        <f t="shared" si="70"/>
        <v>0.51664641954230595</v>
      </c>
      <c r="S752" s="22">
        <f t="shared" si="71"/>
        <v>1.5166464195423099</v>
      </c>
    </row>
    <row r="753" spans="1:19">
      <c r="A753" s="18" t="s">
        <v>792</v>
      </c>
      <c r="B753" s="18" t="s">
        <v>34</v>
      </c>
      <c r="C753" s="18" t="s">
        <v>29</v>
      </c>
      <c r="D753" s="19">
        <v>44987</v>
      </c>
      <c r="E753" s="20">
        <v>45610</v>
      </c>
      <c r="F753" s="21">
        <v>31716.799999999999</v>
      </c>
      <c r="G753" s="21">
        <v>26390.400000000001</v>
      </c>
      <c r="H753" s="21">
        <v>5870.4</v>
      </c>
      <c r="I753" s="18">
        <v>5545.0240000000003</v>
      </c>
      <c r="J753" s="18">
        <v>9620.1119999999992</v>
      </c>
      <c r="K753" s="18" t="s">
        <v>43</v>
      </c>
      <c r="L753" s="18" t="s">
        <v>35</v>
      </c>
      <c r="M753" s="18" t="s">
        <v>24</v>
      </c>
      <c r="N753" s="22">
        <f t="shared" si="66"/>
        <v>0.83206376431418105</v>
      </c>
      <c r="O753" s="22">
        <f t="shared" si="67"/>
        <v>0.22244452528192099</v>
      </c>
      <c r="P753" s="23">
        <f t="shared" si="68"/>
        <v>0.210115193403662</v>
      </c>
      <c r="Q753" s="23">
        <f t="shared" si="69"/>
        <v>0.94457345325701803</v>
      </c>
      <c r="R753" s="22">
        <f t="shared" si="70"/>
        <v>0.73490899227848205</v>
      </c>
      <c r="S753" s="22">
        <f t="shared" si="71"/>
        <v>1.7349089922784799</v>
      </c>
    </row>
    <row r="754" spans="1:19">
      <c r="A754" s="18" t="s">
        <v>793</v>
      </c>
      <c r="B754" s="18" t="s">
        <v>40</v>
      </c>
      <c r="C754" s="18" t="s">
        <v>41</v>
      </c>
      <c r="D754" s="19">
        <v>44940</v>
      </c>
      <c r="E754" s="20">
        <v>45543</v>
      </c>
      <c r="F754" s="21">
        <v>65843.199999999997</v>
      </c>
      <c r="G754" s="21">
        <v>39230.400000000001</v>
      </c>
      <c r="H754" s="21">
        <v>37131.199999999997</v>
      </c>
      <c r="I754" s="18">
        <v>2185.7600000000002</v>
      </c>
      <c r="J754" s="18">
        <v>5294.88</v>
      </c>
      <c r="K754" s="18" t="s">
        <v>38</v>
      </c>
      <c r="L754" s="18" t="s">
        <v>44</v>
      </c>
      <c r="M754" s="18" t="s">
        <v>24</v>
      </c>
      <c r="N754" s="22">
        <f t="shared" si="66"/>
        <v>0.59581551321928505</v>
      </c>
      <c r="O754" s="22">
        <f t="shared" si="67"/>
        <v>0.94649047677311504</v>
      </c>
      <c r="P754" s="23">
        <f t="shared" si="68"/>
        <v>5.5715975366042697E-2</v>
      </c>
      <c r="Q754" s="23">
        <f t="shared" si="69"/>
        <v>5.8865859438962401E-2</v>
      </c>
      <c r="R754" s="22">
        <f t="shared" si="70"/>
        <v>1.42244345216309</v>
      </c>
      <c r="S754" s="22">
        <f t="shared" si="71"/>
        <v>2.42244345216309</v>
      </c>
    </row>
    <row r="755" spans="1:19">
      <c r="A755" s="18" t="s">
        <v>794</v>
      </c>
      <c r="B755" s="18" t="s">
        <v>28</v>
      </c>
      <c r="C755" s="18" t="s">
        <v>41</v>
      </c>
      <c r="D755" s="19">
        <v>44878</v>
      </c>
      <c r="E755" s="20">
        <v>45491</v>
      </c>
      <c r="F755" s="21">
        <v>62347.199999999997</v>
      </c>
      <c r="G755" s="21">
        <v>8028.8</v>
      </c>
      <c r="H755" s="21">
        <v>22.4</v>
      </c>
      <c r="I755" s="18">
        <v>6263.7120000000004</v>
      </c>
      <c r="J755" s="18">
        <v>8486.48</v>
      </c>
      <c r="K755" s="18" t="s">
        <v>43</v>
      </c>
      <c r="L755" s="18" t="s">
        <v>35</v>
      </c>
      <c r="M755" s="18" t="s">
        <v>24</v>
      </c>
      <c r="N755" s="22">
        <f t="shared" si="66"/>
        <v>0.128775630661842</v>
      </c>
      <c r="O755" s="22">
        <f t="shared" si="67"/>
        <v>2.7899561578318098E-3</v>
      </c>
      <c r="P755" s="23">
        <f t="shared" si="68"/>
        <v>0.78015544041450802</v>
      </c>
      <c r="Q755" s="23">
        <f t="shared" si="69"/>
        <v>279.63</v>
      </c>
      <c r="R755" s="22">
        <f t="shared" si="70"/>
        <v>0.35486433603588402</v>
      </c>
      <c r="S755" s="22">
        <f t="shared" si="71"/>
        <v>1.3548643360358801</v>
      </c>
    </row>
    <row r="756" spans="1:19">
      <c r="A756" s="18" t="s">
        <v>795</v>
      </c>
      <c r="B756" s="18" t="s">
        <v>40</v>
      </c>
      <c r="C756" s="18" t="s">
        <v>21</v>
      </c>
      <c r="D756" s="19">
        <v>44970</v>
      </c>
      <c r="E756" s="20">
        <v>45574</v>
      </c>
      <c r="F756" s="21">
        <v>33043.199999999997</v>
      </c>
      <c r="G756" s="21">
        <v>20632</v>
      </c>
      <c r="H756" s="21">
        <v>5188.8</v>
      </c>
      <c r="I756" s="18">
        <v>4923.808</v>
      </c>
      <c r="J756" s="18">
        <v>17461.856</v>
      </c>
      <c r="K756" s="18" t="s">
        <v>65</v>
      </c>
      <c r="L756" s="18" t="s">
        <v>50</v>
      </c>
      <c r="M756" s="18" t="s">
        <v>24</v>
      </c>
      <c r="N756" s="22">
        <f t="shared" si="66"/>
        <v>0.62439473174510995</v>
      </c>
      <c r="O756" s="22">
        <f t="shared" si="67"/>
        <v>0.25149282667700701</v>
      </c>
      <c r="P756" s="23">
        <f t="shared" si="68"/>
        <v>0.23864908879410601</v>
      </c>
      <c r="Q756" s="23">
        <f t="shared" si="69"/>
        <v>0.94893000308356501</v>
      </c>
      <c r="R756" s="22">
        <f t="shared" si="70"/>
        <v>2.5464128576906302</v>
      </c>
      <c r="S756" s="22">
        <f t="shared" si="71"/>
        <v>3.5464128576906302</v>
      </c>
    </row>
    <row r="757" spans="1:19">
      <c r="A757" s="18" t="s">
        <v>796</v>
      </c>
      <c r="B757" s="18" t="s">
        <v>47</v>
      </c>
      <c r="C757" s="18" t="s">
        <v>21</v>
      </c>
      <c r="D757" s="19">
        <v>44785</v>
      </c>
      <c r="E757" s="20">
        <v>45387</v>
      </c>
      <c r="F757" s="21">
        <v>33062.400000000001</v>
      </c>
      <c r="G757" s="21">
        <v>6585.6</v>
      </c>
      <c r="H757" s="21">
        <v>1478.4</v>
      </c>
      <c r="I757" s="18">
        <v>6553.7759999999998</v>
      </c>
      <c r="J757" s="18">
        <v>17503.008000000002</v>
      </c>
      <c r="K757" s="18" t="s">
        <v>30</v>
      </c>
      <c r="L757" s="18" t="s">
        <v>44</v>
      </c>
      <c r="M757" s="18" t="s">
        <v>24</v>
      </c>
      <c r="N757" s="22">
        <f t="shared" si="66"/>
        <v>0.19918699186991901</v>
      </c>
      <c r="O757" s="22">
        <f t="shared" si="67"/>
        <v>0.22448979591836701</v>
      </c>
      <c r="P757" s="23">
        <f t="shared" si="68"/>
        <v>0.99516763848396494</v>
      </c>
      <c r="Q757" s="23">
        <f t="shared" si="69"/>
        <v>4.43301948051948</v>
      </c>
      <c r="R757" s="22">
        <f t="shared" si="70"/>
        <v>1.6706753480741501</v>
      </c>
      <c r="S757" s="22">
        <f t="shared" si="71"/>
        <v>2.6706753480741501</v>
      </c>
    </row>
    <row r="758" spans="1:19">
      <c r="A758" s="18" t="s">
        <v>797</v>
      </c>
      <c r="B758" s="18" t="s">
        <v>20</v>
      </c>
      <c r="C758" s="18" t="s">
        <v>48</v>
      </c>
      <c r="D758" s="19">
        <v>44773</v>
      </c>
      <c r="E758" s="20">
        <v>45393</v>
      </c>
      <c r="F758" s="21">
        <v>77702.399999999994</v>
      </c>
      <c r="G758" s="21">
        <v>39219.199999999997</v>
      </c>
      <c r="H758" s="21">
        <v>7404.8</v>
      </c>
      <c r="I758" s="18">
        <v>569.31200000000001</v>
      </c>
      <c r="J758" s="18">
        <v>1327.1679999999999</v>
      </c>
      <c r="K758" s="18" t="s">
        <v>30</v>
      </c>
      <c r="L758" s="18" t="s">
        <v>44</v>
      </c>
      <c r="M758" s="18" t="s">
        <v>24</v>
      </c>
      <c r="N758" s="22">
        <f t="shared" si="66"/>
        <v>0.50473601844988103</v>
      </c>
      <c r="O758" s="22">
        <f t="shared" si="67"/>
        <v>0.18880548302872099</v>
      </c>
      <c r="P758" s="23">
        <f t="shared" si="68"/>
        <v>1.45161553524804E-2</v>
      </c>
      <c r="Q758" s="23">
        <f t="shared" si="69"/>
        <v>7.6884183232497794E-2</v>
      </c>
      <c r="R758" s="22">
        <f t="shared" si="70"/>
        <v>1.3311786858524</v>
      </c>
      <c r="S758" s="22">
        <f t="shared" si="71"/>
        <v>2.3311786858524002</v>
      </c>
    </row>
    <row r="759" spans="1:19">
      <c r="A759" s="18" t="s">
        <v>798</v>
      </c>
      <c r="B759" s="18" t="s">
        <v>20</v>
      </c>
      <c r="C759" s="18" t="s">
        <v>41</v>
      </c>
      <c r="D759" s="19">
        <v>44695</v>
      </c>
      <c r="E759" s="20">
        <v>45321</v>
      </c>
      <c r="F759" s="21">
        <v>4459.2</v>
      </c>
      <c r="G759" s="21">
        <v>1304</v>
      </c>
      <c r="H759" s="21">
        <v>558.4</v>
      </c>
      <c r="I759" s="18">
        <v>7242.4319999999998</v>
      </c>
      <c r="J759" s="18">
        <v>24307.824000000001</v>
      </c>
      <c r="K759" s="18" t="s">
        <v>22</v>
      </c>
      <c r="L759" s="18" t="s">
        <v>31</v>
      </c>
      <c r="M759" s="18" t="s">
        <v>32</v>
      </c>
      <c r="N759" s="22">
        <f t="shared" si="66"/>
        <v>0.29242913527090098</v>
      </c>
      <c r="O759" s="22">
        <f t="shared" si="67"/>
        <v>0.42822085889570499</v>
      </c>
      <c r="P759" s="23">
        <f t="shared" si="68"/>
        <v>5.5540122699386503</v>
      </c>
      <c r="Q759" s="23">
        <f t="shared" si="69"/>
        <v>12.9699713467049</v>
      </c>
      <c r="R759" s="22">
        <f t="shared" si="70"/>
        <v>2.3563068317382898</v>
      </c>
      <c r="S759" s="22">
        <f t="shared" si="71"/>
        <v>3.3563068317382898</v>
      </c>
    </row>
    <row r="760" spans="1:19">
      <c r="A760" s="18" t="s">
        <v>799</v>
      </c>
      <c r="B760" s="18" t="s">
        <v>20</v>
      </c>
      <c r="C760" s="18" t="s">
        <v>21</v>
      </c>
      <c r="D760" s="19">
        <v>44781</v>
      </c>
      <c r="E760" s="20">
        <v>45406</v>
      </c>
      <c r="F760" s="21">
        <v>27494.400000000001</v>
      </c>
      <c r="G760" s="21">
        <v>10747.2</v>
      </c>
      <c r="H760" s="21">
        <v>6796.8</v>
      </c>
      <c r="I760" s="18">
        <v>7159.6480000000001</v>
      </c>
      <c r="J760" s="18">
        <v>11606.48</v>
      </c>
      <c r="K760" s="18" t="s">
        <v>43</v>
      </c>
      <c r="L760" s="18" t="s">
        <v>44</v>
      </c>
      <c r="M760" s="18" t="s">
        <v>24</v>
      </c>
      <c r="N760" s="22">
        <f t="shared" si="66"/>
        <v>0.39088687150837997</v>
      </c>
      <c r="O760" s="22">
        <f t="shared" si="67"/>
        <v>0.632425189816883</v>
      </c>
      <c r="P760" s="23">
        <f t="shared" si="68"/>
        <v>0.66618728599077004</v>
      </c>
      <c r="Q760" s="23">
        <f t="shared" si="69"/>
        <v>1.0533851224105499</v>
      </c>
      <c r="R760" s="22">
        <f t="shared" si="70"/>
        <v>0.62109645613862596</v>
      </c>
      <c r="S760" s="22">
        <f t="shared" si="71"/>
        <v>1.6210964561386301</v>
      </c>
    </row>
    <row r="761" spans="1:19">
      <c r="A761" s="18" t="s">
        <v>800</v>
      </c>
      <c r="B761" s="18" t="s">
        <v>47</v>
      </c>
      <c r="C761" s="18" t="s">
        <v>48</v>
      </c>
      <c r="D761" s="19">
        <v>44856</v>
      </c>
      <c r="E761" s="20">
        <v>45474</v>
      </c>
      <c r="F761" s="21">
        <v>26604.799999999999</v>
      </c>
      <c r="G761" s="21">
        <v>15929.6</v>
      </c>
      <c r="H761" s="21">
        <v>6086.4</v>
      </c>
      <c r="I761" s="18">
        <v>6812.72</v>
      </c>
      <c r="J761" s="18">
        <v>16504.848000000002</v>
      </c>
      <c r="K761" s="18" t="s">
        <v>65</v>
      </c>
      <c r="L761" s="18" t="s">
        <v>31</v>
      </c>
      <c r="M761" s="18" t="s">
        <v>24</v>
      </c>
      <c r="N761" s="22">
        <f t="shared" si="66"/>
        <v>0.59874909790714503</v>
      </c>
      <c r="O761" s="22">
        <f t="shared" si="67"/>
        <v>0.382081157091201</v>
      </c>
      <c r="P761" s="23">
        <f t="shared" si="68"/>
        <v>0.42767677782241897</v>
      </c>
      <c r="Q761" s="23">
        <f t="shared" si="69"/>
        <v>1.1193349106204</v>
      </c>
      <c r="R761" s="22">
        <f t="shared" si="70"/>
        <v>1.4226517455583101</v>
      </c>
      <c r="S761" s="22">
        <f t="shared" si="71"/>
        <v>2.4226517455583099</v>
      </c>
    </row>
    <row r="762" spans="1:19">
      <c r="A762" s="18" t="s">
        <v>801</v>
      </c>
      <c r="B762" s="18" t="s">
        <v>26</v>
      </c>
      <c r="C762" s="18" t="s">
        <v>29</v>
      </c>
      <c r="D762" s="19">
        <v>44966</v>
      </c>
      <c r="E762" s="20">
        <v>45581</v>
      </c>
      <c r="F762" s="21">
        <v>19387.2</v>
      </c>
      <c r="G762" s="21">
        <v>13275.2</v>
      </c>
      <c r="H762" s="21">
        <v>2059.1999999999998</v>
      </c>
      <c r="I762" s="18">
        <v>7784.08</v>
      </c>
      <c r="J762" s="18">
        <v>26340.752</v>
      </c>
      <c r="K762" s="18" t="s">
        <v>43</v>
      </c>
      <c r="L762" s="18" t="s">
        <v>44</v>
      </c>
      <c r="M762" s="18" t="s">
        <v>32</v>
      </c>
      <c r="N762" s="22">
        <f t="shared" si="66"/>
        <v>0.68474044730543904</v>
      </c>
      <c r="O762" s="22">
        <f t="shared" si="67"/>
        <v>0.155116307098951</v>
      </c>
      <c r="P762" s="23">
        <f t="shared" si="68"/>
        <v>0.58636254067735305</v>
      </c>
      <c r="Q762" s="23">
        <f t="shared" si="69"/>
        <v>3.78014763014763</v>
      </c>
      <c r="R762" s="22">
        <f t="shared" si="70"/>
        <v>2.3839261672541898</v>
      </c>
      <c r="S762" s="22">
        <f t="shared" si="71"/>
        <v>3.3839261672541898</v>
      </c>
    </row>
    <row r="763" spans="1:19">
      <c r="A763" s="18" t="s">
        <v>802</v>
      </c>
      <c r="B763" s="18" t="s">
        <v>47</v>
      </c>
      <c r="C763" s="18" t="s">
        <v>21</v>
      </c>
      <c r="D763" s="19">
        <v>44703</v>
      </c>
      <c r="E763" s="20">
        <v>45329</v>
      </c>
      <c r="F763" s="21">
        <v>74934.399999999994</v>
      </c>
      <c r="G763" s="21">
        <v>18833.599999999999</v>
      </c>
      <c r="H763" s="21">
        <v>17212.8</v>
      </c>
      <c r="I763" s="18">
        <v>7182.384</v>
      </c>
      <c r="J763" s="18">
        <v>10094.415999999999</v>
      </c>
      <c r="K763" s="18" t="s">
        <v>65</v>
      </c>
      <c r="L763" s="18" t="s">
        <v>31</v>
      </c>
      <c r="M763" s="18" t="s">
        <v>24</v>
      </c>
      <c r="N763" s="22">
        <f t="shared" si="66"/>
        <v>0.25133450057650403</v>
      </c>
      <c r="O763" s="22">
        <f t="shared" si="67"/>
        <v>0.913941041542775</v>
      </c>
      <c r="P763" s="23">
        <f t="shared" si="68"/>
        <v>0.38136012233455102</v>
      </c>
      <c r="Q763" s="23">
        <f t="shared" si="69"/>
        <v>0.41726993865030698</v>
      </c>
      <c r="R763" s="22">
        <f t="shared" si="70"/>
        <v>0.40544086754481501</v>
      </c>
      <c r="S763" s="22">
        <f t="shared" si="71"/>
        <v>1.40544086754482</v>
      </c>
    </row>
    <row r="764" spans="1:19">
      <c r="A764" s="18" t="s">
        <v>803</v>
      </c>
      <c r="B764" s="18" t="s">
        <v>26</v>
      </c>
      <c r="C764" s="18" t="s">
        <v>48</v>
      </c>
      <c r="D764" s="19">
        <v>44967</v>
      </c>
      <c r="E764" s="20">
        <v>45569</v>
      </c>
      <c r="F764" s="21">
        <v>78713.600000000006</v>
      </c>
      <c r="G764" s="21">
        <v>54510.400000000001</v>
      </c>
      <c r="H764" s="21">
        <v>45865.599999999999</v>
      </c>
      <c r="I764" s="18">
        <v>2281.9679999999998</v>
      </c>
      <c r="J764" s="18">
        <v>3903.12</v>
      </c>
      <c r="K764" s="18" t="s">
        <v>22</v>
      </c>
      <c r="L764" s="18" t="s">
        <v>44</v>
      </c>
      <c r="M764" s="18" t="s">
        <v>24</v>
      </c>
      <c r="N764" s="22">
        <f t="shared" si="66"/>
        <v>0.69251565167899798</v>
      </c>
      <c r="O764" s="22">
        <f t="shared" si="67"/>
        <v>0.84141007954445401</v>
      </c>
      <c r="P764" s="23">
        <f t="shared" si="68"/>
        <v>4.1862983944348203E-2</v>
      </c>
      <c r="Q764" s="23">
        <f t="shared" si="69"/>
        <v>4.9753366357357103E-2</v>
      </c>
      <c r="R764" s="22">
        <f t="shared" si="70"/>
        <v>0.71041837571780198</v>
      </c>
      <c r="S764" s="22">
        <f t="shared" si="71"/>
        <v>1.7104183757178</v>
      </c>
    </row>
    <row r="765" spans="1:19">
      <c r="A765" s="18" t="s">
        <v>804</v>
      </c>
      <c r="B765" s="18" t="s">
        <v>47</v>
      </c>
      <c r="C765" s="18" t="s">
        <v>48</v>
      </c>
      <c r="D765" s="19">
        <v>44753</v>
      </c>
      <c r="E765" s="20">
        <v>45370</v>
      </c>
      <c r="F765" s="21">
        <v>40393.599999999999</v>
      </c>
      <c r="G765" s="21">
        <v>15099.2</v>
      </c>
      <c r="H765" s="21">
        <v>9185.6</v>
      </c>
      <c r="I765" s="18">
        <v>3331.9520000000002</v>
      </c>
      <c r="J765" s="18">
        <v>6275.12</v>
      </c>
      <c r="K765" s="18" t="s">
        <v>22</v>
      </c>
      <c r="L765" s="18" t="s">
        <v>23</v>
      </c>
      <c r="M765" s="18" t="s">
        <v>32</v>
      </c>
      <c r="N765" s="22">
        <f t="shared" si="66"/>
        <v>0.373801790382635</v>
      </c>
      <c r="O765" s="22">
        <f t="shared" si="67"/>
        <v>0.60835011126417304</v>
      </c>
      <c r="P765" s="23">
        <f t="shared" si="68"/>
        <v>0.220670764013987</v>
      </c>
      <c r="Q765" s="23">
        <f t="shared" si="69"/>
        <v>0.36273645706322899</v>
      </c>
      <c r="R765" s="22">
        <f t="shared" si="70"/>
        <v>0.88331644633536099</v>
      </c>
      <c r="S765" s="22">
        <f t="shared" si="71"/>
        <v>1.88331644633536</v>
      </c>
    </row>
    <row r="766" spans="1:19">
      <c r="A766" s="18" t="s">
        <v>805</v>
      </c>
      <c r="B766" s="18" t="s">
        <v>34</v>
      </c>
      <c r="C766" s="18" t="s">
        <v>48</v>
      </c>
      <c r="D766" s="19">
        <v>44723</v>
      </c>
      <c r="E766" s="20">
        <v>45343</v>
      </c>
      <c r="F766" s="21">
        <v>45585.599999999999</v>
      </c>
      <c r="G766" s="21">
        <v>8916.7999999999993</v>
      </c>
      <c r="H766" s="21">
        <v>315.2</v>
      </c>
      <c r="I766" s="18">
        <v>7627.152</v>
      </c>
      <c r="J766" s="18">
        <v>14560.4</v>
      </c>
      <c r="K766" s="18" t="s">
        <v>65</v>
      </c>
      <c r="L766" s="18" t="s">
        <v>50</v>
      </c>
      <c r="M766" s="18" t="s">
        <v>24</v>
      </c>
      <c r="N766" s="22">
        <f t="shared" si="66"/>
        <v>0.19560562984802199</v>
      </c>
      <c r="O766" s="22">
        <f t="shared" si="67"/>
        <v>3.5349004127041103E-2</v>
      </c>
      <c r="P766" s="23">
        <f t="shared" si="68"/>
        <v>0.85536874214964997</v>
      </c>
      <c r="Q766" s="23">
        <f t="shared" si="69"/>
        <v>24.197817258883301</v>
      </c>
      <c r="R766" s="22">
        <f t="shared" si="70"/>
        <v>0.90902187343322904</v>
      </c>
      <c r="S766" s="22">
        <f t="shared" si="71"/>
        <v>1.90902187343323</v>
      </c>
    </row>
    <row r="767" spans="1:19">
      <c r="A767" s="18" t="s">
        <v>806</v>
      </c>
      <c r="B767" s="18" t="s">
        <v>26</v>
      </c>
      <c r="C767" s="18" t="s">
        <v>29</v>
      </c>
      <c r="D767" s="19">
        <v>44851</v>
      </c>
      <c r="E767" s="20">
        <v>45455</v>
      </c>
      <c r="F767" s="21">
        <v>32033.599999999999</v>
      </c>
      <c r="G767" s="21">
        <v>1073.5999999999999</v>
      </c>
      <c r="H767" s="21">
        <v>484.8</v>
      </c>
      <c r="I767" s="18">
        <v>7633.68</v>
      </c>
      <c r="J767" s="18">
        <v>22262.16</v>
      </c>
      <c r="K767" s="18" t="s">
        <v>38</v>
      </c>
      <c r="L767" s="18" t="s">
        <v>31</v>
      </c>
      <c r="M767" s="18" t="s">
        <v>32</v>
      </c>
      <c r="N767" s="22">
        <f t="shared" si="66"/>
        <v>3.3514809450077399E-2</v>
      </c>
      <c r="O767" s="22">
        <f t="shared" si="67"/>
        <v>0.45156482861400898</v>
      </c>
      <c r="P767" s="23">
        <f t="shared" si="68"/>
        <v>7.1103576751117696</v>
      </c>
      <c r="Q767" s="23">
        <f t="shared" si="69"/>
        <v>15.7460396039604</v>
      </c>
      <c r="R767" s="22">
        <f t="shared" si="70"/>
        <v>1.91630773100261</v>
      </c>
      <c r="S767" s="22">
        <f t="shared" si="71"/>
        <v>2.9163077310026102</v>
      </c>
    </row>
    <row r="768" spans="1:19">
      <c r="A768" s="18" t="s">
        <v>807</v>
      </c>
      <c r="B768" s="18" t="s">
        <v>28</v>
      </c>
      <c r="C768" s="18" t="s">
        <v>21</v>
      </c>
      <c r="D768" s="19">
        <v>44726</v>
      </c>
      <c r="E768" s="20">
        <v>45349</v>
      </c>
      <c r="F768" s="21">
        <v>29814.400000000001</v>
      </c>
      <c r="G768" s="21">
        <v>18404.8</v>
      </c>
      <c r="H768" s="21">
        <v>83.2</v>
      </c>
      <c r="I768" s="18">
        <v>5304.7039999999997</v>
      </c>
      <c r="J768" s="18">
        <v>12057.472</v>
      </c>
      <c r="K768" s="18" t="s">
        <v>43</v>
      </c>
      <c r="L768" s="18" t="s">
        <v>50</v>
      </c>
      <c r="M768" s="18" t="s">
        <v>24</v>
      </c>
      <c r="N768" s="22">
        <f t="shared" si="66"/>
        <v>0.61731243962648896</v>
      </c>
      <c r="O768" s="22">
        <f t="shared" si="67"/>
        <v>4.5205598539511402E-3</v>
      </c>
      <c r="P768" s="23">
        <f t="shared" si="68"/>
        <v>0.288223941580457</v>
      </c>
      <c r="Q768" s="23">
        <f t="shared" si="69"/>
        <v>63.758461538461503</v>
      </c>
      <c r="R768" s="22">
        <f t="shared" si="70"/>
        <v>1.27297734237386</v>
      </c>
      <c r="S768" s="22">
        <f t="shared" si="71"/>
        <v>2.27297734237386</v>
      </c>
    </row>
    <row r="769" spans="1:19">
      <c r="A769" s="18" t="s">
        <v>808</v>
      </c>
      <c r="B769" s="18" t="s">
        <v>28</v>
      </c>
      <c r="C769" s="18" t="s">
        <v>48</v>
      </c>
      <c r="D769" s="19">
        <v>44806</v>
      </c>
      <c r="E769" s="20">
        <v>45419</v>
      </c>
      <c r="F769" s="21">
        <v>36104</v>
      </c>
      <c r="G769" s="21">
        <v>3449.6</v>
      </c>
      <c r="H769" s="21">
        <v>1569.6</v>
      </c>
      <c r="I769" s="18">
        <v>7817.2479999999996</v>
      </c>
      <c r="J769" s="18">
        <v>15435.871999999999</v>
      </c>
      <c r="K769" s="18" t="s">
        <v>43</v>
      </c>
      <c r="L769" s="18" t="s">
        <v>31</v>
      </c>
      <c r="M769" s="18" t="s">
        <v>24</v>
      </c>
      <c r="N769" s="22">
        <f t="shared" si="66"/>
        <v>9.5546199867050693E-2</v>
      </c>
      <c r="O769" s="22">
        <f t="shared" si="67"/>
        <v>0.455009276437848</v>
      </c>
      <c r="P769" s="23">
        <f t="shared" si="68"/>
        <v>2.26613172541744</v>
      </c>
      <c r="Q769" s="23">
        <f t="shared" si="69"/>
        <v>4.9804077471967396</v>
      </c>
      <c r="R769" s="22">
        <f t="shared" si="70"/>
        <v>0.97459156982099104</v>
      </c>
      <c r="S769" s="22">
        <f t="shared" si="71"/>
        <v>1.9745915698209899</v>
      </c>
    </row>
    <row r="770" spans="1:19">
      <c r="A770" s="18" t="s">
        <v>809</v>
      </c>
      <c r="B770" s="18" t="s">
        <v>26</v>
      </c>
      <c r="C770" s="18" t="s">
        <v>21</v>
      </c>
      <c r="D770" s="19">
        <v>44750</v>
      </c>
      <c r="E770" s="20">
        <v>45378</v>
      </c>
      <c r="F770" s="21">
        <v>12388.8</v>
      </c>
      <c r="G770" s="21">
        <v>8729.6</v>
      </c>
      <c r="H770" s="21">
        <v>4217.6000000000004</v>
      </c>
      <c r="I770" s="18">
        <v>1055.76</v>
      </c>
      <c r="J770" s="18">
        <v>2076.5439999999999</v>
      </c>
      <c r="K770" s="18" t="s">
        <v>43</v>
      </c>
      <c r="L770" s="18" t="s">
        <v>31</v>
      </c>
      <c r="M770" s="18" t="s">
        <v>24</v>
      </c>
      <c r="N770" s="22">
        <f t="shared" ref="N770:N833" si="72">G770/F770</f>
        <v>0.704636445822033</v>
      </c>
      <c r="O770" s="22">
        <f t="shared" ref="O770:O833" si="73">H770/G770</f>
        <v>0.48313782991202298</v>
      </c>
      <c r="P770" s="23">
        <f t="shared" ref="P770:P833" si="74">I770/G770</f>
        <v>0.120940249266862</v>
      </c>
      <c r="Q770" s="23">
        <f t="shared" ref="Q770:Q833" si="75">I770/H770</f>
        <v>0.25032245827010602</v>
      </c>
      <c r="R770" s="22">
        <f t="shared" ref="R770:R833" si="76">(J770-I770)/I770</f>
        <v>0.96687125861938295</v>
      </c>
      <c r="S770" s="22">
        <f t="shared" ref="S770:S833" si="77">J770/I770</f>
        <v>1.9668712586193799</v>
      </c>
    </row>
    <row r="771" spans="1:19">
      <c r="A771" s="18" t="s">
        <v>810</v>
      </c>
      <c r="B771" s="18" t="s">
        <v>40</v>
      </c>
      <c r="C771" s="18" t="s">
        <v>48</v>
      </c>
      <c r="D771" s="19">
        <v>44732</v>
      </c>
      <c r="E771" s="20">
        <v>45361</v>
      </c>
      <c r="F771" s="21">
        <v>20443.2</v>
      </c>
      <c r="G771" s="21">
        <v>11905.6</v>
      </c>
      <c r="H771" s="21">
        <v>1024</v>
      </c>
      <c r="I771" s="18">
        <v>1820.7840000000001</v>
      </c>
      <c r="J771" s="18">
        <v>4006.72</v>
      </c>
      <c r="K771" s="18" t="s">
        <v>65</v>
      </c>
      <c r="L771" s="18" t="s">
        <v>31</v>
      </c>
      <c r="M771" s="18" t="s">
        <v>24</v>
      </c>
      <c r="N771" s="22">
        <f t="shared" si="72"/>
        <v>0.58237457932222003</v>
      </c>
      <c r="O771" s="22">
        <f t="shared" si="73"/>
        <v>8.6009944899879107E-2</v>
      </c>
      <c r="P771" s="23">
        <f t="shared" si="74"/>
        <v>0.15293508936970801</v>
      </c>
      <c r="Q771" s="23">
        <f t="shared" si="75"/>
        <v>1.7781093750000001</v>
      </c>
      <c r="R771" s="22">
        <f t="shared" si="76"/>
        <v>1.20054657773794</v>
      </c>
      <c r="S771" s="22">
        <f t="shared" si="77"/>
        <v>2.2005465777379398</v>
      </c>
    </row>
    <row r="772" spans="1:19">
      <c r="A772" s="18" t="s">
        <v>811</v>
      </c>
      <c r="B772" s="18" t="s">
        <v>26</v>
      </c>
      <c r="C772" s="18" t="s">
        <v>41</v>
      </c>
      <c r="D772" s="19">
        <v>44982</v>
      </c>
      <c r="E772" s="20">
        <v>45606</v>
      </c>
      <c r="F772" s="21">
        <v>69625.600000000006</v>
      </c>
      <c r="G772" s="21">
        <v>29470.400000000001</v>
      </c>
      <c r="H772" s="21">
        <v>27787.200000000001</v>
      </c>
      <c r="I772" s="18">
        <v>4444.5600000000004</v>
      </c>
      <c r="J772" s="18">
        <v>9457.2639999999992</v>
      </c>
      <c r="K772" s="18" t="s">
        <v>38</v>
      </c>
      <c r="L772" s="18" t="s">
        <v>35</v>
      </c>
      <c r="M772" s="18" t="s">
        <v>32</v>
      </c>
      <c r="N772" s="22">
        <f t="shared" si="72"/>
        <v>0.42326960198547697</v>
      </c>
      <c r="O772" s="22">
        <f t="shared" si="73"/>
        <v>0.94288506433574004</v>
      </c>
      <c r="P772" s="23">
        <f t="shared" si="74"/>
        <v>0.15081437645909099</v>
      </c>
      <c r="Q772" s="23">
        <f t="shared" si="75"/>
        <v>0.159949904992227</v>
      </c>
      <c r="R772" s="22">
        <f t="shared" si="76"/>
        <v>1.12782907644401</v>
      </c>
      <c r="S772" s="22">
        <f t="shared" si="77"/>
        <v>2.12782907644401</v>
      </c>
    </row>
    <row r="773" spans="1:19">
      <c r="A773" s="18" t="s">
        <v>812</v>
      </c>
      <c r="B773" s="18" t="s">
        <v>26</v>
      </c>
      <c r="C773" s="18" t="s">
        <v>21</v>
      </c>
      <c r="D773" s="19">
        <v>44900</v>
      </c>
      <c r="E773" s="20">
        <v>45520</v>
      </c>
      <c r="F773" s="21">
        <v>9160</v>
      </c>
      <c r="G773" s="21">
        <v>2723.2</v>
      </c>
      <c r="H773" s="21">
        <v>265.60000000000002</v>
      </c>
      <c r="I773" s="18">
        <v>1300.144</v>
      </c>
      <c r="J773" s="18">
        <v>4079.9520000000002</v>
      </c>
      <c r="K773" s="18" t="s">
        <v>43</v>
      </c>
      <c r="L773" s="18" t="s">
        <v>44</v>
      </c>
      <c r="M773" s="18" t="s">
        <v>32</v>
      </c>
      <c r="N773" s="22">
        <f t="shared" si="72"/>
        <v>0.29729257641921403</v>
      </c>
      <c r="O773" s="22">
        <f t="shared" si="73"/>
        <v>9.7532314923619301E-2</v>
      </c>
      <c r="P773" s="23">
        <f t="shared" si="74"/>
        <v>0.477432432432432</v>
      </c>
      <c r="Q773" s="23">
        <f t="shared" si="75"/>
        <v>4.8951204819277097</v>
      </c>
      <c r="R773" s="22">
        <f t="shared" si="76"/>
        <v>2.13807701300779</v>
      </c>
      <c r="S773" s="22">
        <f t="shared" si="77"/>
        <v>3.13807701300779</v>
      </c>
    </row>
    <row r="774" spans="1:19">
      <c r="A774" s="18" t="s">
        <v>813</v>
      </c>
      <c r="B774" s="18" t="s">
        <v>28</v>
      </c>
      <c r="C774" s="18" t="s">
        <v>21</v>
      </c>
      <c r="D774" s="19">
        <v>44741</v>
      </c>
      <c r="E774" s="20">
        <v>45363</v>
      </c>
      <c r="F774" s="21">
        <v>38265.599999999999</v>
      </c>
      <c r="G774" s="21">
        <v>15352</v>
      </c>
      <c r="H774" s="21">
        <v>7156.8</v>
      </c>
      <c r="I774" s="18">
        <v>3292.384</v>
      </c>
      <c r="J774" s="18">
        <v>6518.3040000000001</v>
      </c>
      <c r="K774" s="18" t="s">
        <v>30</v>
      </c>
      <c r="L774" s="18" t="s">
        <v>50</v>
      </c>
      <c r="M774" s="18" t="s">
        <v>24</v>
      </c>
      <c r="N774" s="22">
        <f t="shared" si="72"/>
        <v>0.40119585214918901</v>
      </c>
      <c r="O774" s="22">
        <f t="shared" si="73"/>
        <v>0.46618030224075002</v>
      </c>
      <c r="P774" s="23">
        <f t="shared" si="74"/>
        <v>0.214459614382491</v>
      </c>
      <c r="Q774" s="23">
        <f t="shared" si="75"/>
        <v>0.46003577017661501</v>
      </c>
      <c r="R774" s="22">
        <f t="shared" si="76"/>
        <v>0.97981280433874096</v>
      </c>
      <c r="S774" s="22">
        <f t="shared" si="77"/>
        <v>1.97981280433874</v>
      </c>
    </row>
    <row r="775" spans="1:19">
      <c r="A775" s="18" t="s">
        <v>814</v>
      </c>
      <c r="B775" s="18" t="s">
        <v>28</v>
      </c>
      <c r="C775" s="18" t="s">
        <v>48</v>
      </c>
      <c r="D775" s="19">
        <v>44700</v>
      </c>
      <c r="E775" s="20">
        <v>45318</v>
      </c>
      <c r="F775" s="21">
        <v>76537.600000000006</v>
      </c>
      <c r="G775" s="21">
        <v>40769.599999999999</v>
      </c>
      <c r="H775" s="21">
        <v>21454.400000000001</v>
      </c>
      <c r="I775" s="18">
        <v>7712.9440000000004</v>
      </c>
      <c r="J775" s="18">
        <v>15385.744000000001</v>
      </c>
      <c r="K775" s="18" t="s">
        <v>65</v>
      </c>
      <c r="L775" s="18" t="s">
        <v>31</v>
      </c>
      <c r="M775" s="18" t="s">
        <v>32</v>
      </c>
      <c r="N775" s="22">
        <f t="shared" si="72"/>
        <v>0.53267413663349805</v>
      </c>
      <c r="O775" s="22">
        <f t="shared" si="73"/>
        <v>0.52623523409599304</v>
      </c>
      <c r="P775" s="23">
        <f t="shared" si="74"/>
        <v>0.189183705506063</v>
      </c>
      <c r="Q775" s="23">
        <f t="shared" si="75"/>
        <v>0.35950406443433502</v>
      </c>
      <c r="R775" s="22">
        <f t="shared" si="76"/>
        <v>0.994795242905951</v>
      </c>
      <c r="S775" s="22">
        <f t="shared" si="77"/>
        <v>1.9947952429059499</v>
      </c>
    </row>
    <row r="776" spans="1:19">
      <c r="A776" s="18" t="s">
        <v>815</v>
      </c>
      <c r="B776" s="18" t="s">
        <v>26</v>
      </c>
      <c r="C776" s="18" t="s">
        <v>29</v>
      </c>
      <c r="D776" s="19">
        <v>44705</v>
      </c>
      <c r="E776" s="20">
        <v>45311</v>
      </c>
      <c r="F776" s="21">
        <v>62812.800000000003</v>
      </c>
      <c r="G776" s="21">
        <v>33832</v>
      </c>
      <c r="H776" s="21">
        <v>28640</v>
      </c>
      <c r="I776" s="18">
        <v>5998.2719999999999</v>
      </c>
      <c r="J776" s="18">
        <v>8060.8639999999996</v>
      </c>
      <c r="K776" s="18" t="s">
        <v>38</v>
      </c>
      <c r="L776" s="18" t="s">
        <v>44</v>
      </c>
      <c r="M776" s="18" t="s">
        <v>32</v>
      </c>
      <c r="N776" s="22">
        <f t="shared" si="72"/>
        <v>0.53861633297671796</v>
      </c>
      <c r="O776" s="22">
        <f t="shared" si="73"/>
        <v>0.84653582407188499</v>
      </c>
      <c r="P776" s="23">
        <f t="shared" si="74"/>
        <v>0.17729581461338401</v>
      </c>
      <c r="Q776" s="23">
        <f t="shared" si="75"/>
        <v>0.20943687150838</v>
      </c>
      <c r="R776" s="22">
        <f t="shared" si="76"/>
        <v>0.34386436627081901</v>
      </c>
      <c r="S776" s="22">
        <f t="shared" si="77"/>
        <v>1.3438643662708201</v>
      </c>
    </row>
    <row r="777" spans="1:19">
      <c r="A777" s="18" t="s">
        <v>816</v>
      </c>
      <c r="B777" s="18" t="s">
        <v>40</v>
      </c>
      <c r="C777" s="18" t="s">
        <v>48</v>
      </c>
      <c r="D777" s="19">
        <v>44800</v>
      </c>
      <c r="E777" s="20">
        <v>45418</v>
      </c>
      <c r="F777" s="21">
        <v>18152</v>
      </c>
      <c r="G777" s="21">
        <v>8352</v>
      </c>
      <c r="H777" s="21">
        <v>2353.6</v>
      </c>
      <c r="I777" s="18">
        <v>5101.4080000000004</v>
      </c>
      <c r="J777" s="18">
        <v>19792.48</v>
      </c>
      <c r="K777" s="18" t="s">
        <v>30</v>
      </c>
      <c r="L777" s="18" t="s">
        <v>31</v>
      </c>
      <c r="M777" s="18" t="s">
        <v>24</v>
      </c>
      <c r="N777" s="22">
        <f t="shared" si="72"/>
        <v>0.46011458792419602</v>
      </c>
      <c r="O777" s="22">
        <f t="shared" si="73"/>
        <v>0.28180076628352502</v>
      </c>
      <c r="P777" s="23">
        <f t="shared" si="74"/>
        <v>0.61080076628352498</v>
      </c>
      <c r="Q777" s="23">
        <f t="shared" si="75"/>
        <v>2.1674915023793302</v>
      </c>
      <c r="R777" s="22">
        <f t="shared" si="76"/>
        <v>2.8798073002590701</v>
      </c>
      <c r="S777" s="22">
        <f t="shared" si="77"/>
        <v>3.8798073002590598</v>
      </c>
    </row>
    <row r="778" spans="1:19">
      <c r="A778" s="18" t="s">
        <v>817</v>
      </c>
      <c r="B778" s="18" t="s">
        <v>20</v>
      </c>
      <c r="C778" s="18" t="s">
        <v>48</v>
      </c>
      <c r="D778" s="19">
        <v>44725</v>
      </c>
      <c r="E778" s="20">
        <v>45347</v>
      </c>
      <c r="F778" s="21">
        <v>27366.400000000001</v>
      </c>
      <c r="G778" s="21">
        <v>18342.400000000001</v>
      </c>
      <c r="H778" s="21">
        <v>17534.400000000001</v>
      </c>
      <c r="I778" s="18">
        <v>7120.2560000000003</v>
      </c>
      <c r="J778" s="18">
        <v>21050.799999999999</v>
      </c>
      <c r="K778" s="18" t="s">
        <v>65</v>
      </c>
      <c r="L778" s="18" t="s">
        <v>31</v>
      </c>
      <c r="M778" s="18" t="s">
        <v>32</v>
      </c>
      <c r="N778" s="22">
        <f t="shared" si="72"/>
        <v>0.67025257249766101</v>
      </c>
      <c r="O778" s="22">
        <f t="shared" si="73"/>
        <v>0.95594905792044704</v>
      </c>
      <c r="P778" s="23">
        <f t="shared" si="74"/>
        <v>0.38818562456385203</v>
      </c>
      <c r="Q778" s="23">
        <f t="shared" si="75"/>
        <v>0.40607354685646502</v>
      </c>
      <c r="R778" s="22">
        <f t="shared" si="76"/>
        <v>1.9564667337803601</v>
      </c>
      <c r="S778" s="22">
        <f t="shared" si="77"/>
        <v>2.9564667337803598</v>
      </c>
    </row>
    <row r="779" spans="1:19">
      <c r="A779" s="18" t="s">
        <v>818</v>
      </c>
      <c r="B779" s="18" t="s">
        <v>20</v>
      </c>
      <c r="C779" s="18" t="s">
        <v>41</v>
      </c>
      <c r="D779" s="19">
        <v>44748</v>
      </c>
      <c r="E779" s="20">
        <v>45371</v>
      </c>
      <c r="F779" s="21">
        <v>54232</v>
      </c>
      <c r="G779" s="21">
        <v>33707.199999999997</v>
      </c>
      <c r="H779" s="21">
        <v>29793.599999999999</v>
      </c>
      <c r="I779" s="18">
        <v>1456.672</v>
      </c>
      <c r="J779" s="18">
        <v>3634.6239999999998</v>
      </c>
      <c r="K779" s="18" t="s">
        <v>30</v>
      </c>
      <c r="L779" s="18" t="s">
        <v>31</v>
      </c>
      <c r="M779" s="18" t="s">
        <v>32</v>
      </c>
      <c r="N779" s="22">
        <f t="shared" si="72"/>
        <v>0.62153709986723704</v>
      </c>
      <c r="O779" s="22">
        <f t="shared" si="73"/>
        <v>0.88389424217971202</v>
      </c>
      <c r="P779" s="23">
        <f t="shared" si="74"/>
        <v>4.32154554516542E-2</v>
      </c>
      <c r="Q779" s="23">
        <f t="shared" si="75"/>
        <v>4.8892111057408302E-2</v>
      </c>
      <c r="R779" s="22">
        <f t="shared" si="76"/>
        <v>1.4951560818084</v>
      </c>
      <c r="S779" s="22">
        <f t="shared" si="77"/>
        <v>2.4951560818084002</v>
      </c>
    </row>
    <row r="780" spans="1:19">
      <c r="A780" s="18" t="s">
        <v>819</v>
      </c>
      <c r="B780" s="18" t="s">
        <v>20</v>
      </c>
      <c r="C780" s="18" t="s">
        <v>21</v>
      </c>
      <c r="D780" s="19">
        <v>44754</v>
      </c>
      <c r="E780" s="20">
        <v>45383</v>
      </c>
      <c r="F780" s="21">
        <v>57664</v>
      </c>
      <c r="G780" s="21">
        <v>47515.199999999997</v>
      </c>
      <c r="H780" s="21">
        <v>47408</v>
      </c>
      <c r="I780" s="18">
        <v>7679.1679999999997</v>
      </c>
      <c r="J780" s="18">
        <v>15735.616</v>
      </c>
      <c r="K780" s="18" t="s">
        <v>22</v>
      </c>
      <c r="L780" s="18" t="s">
        <v>23</v>
      </c>
      <c r="M780" s="18" t="s">
        <v>24</v>
      </c>
      <c r="N780" s="22">
        <f t="shared" si="72"/>
        <v>0.82400110987791297</v>
      </c>
      <c r="O780" s="22">
        <f t="shared" si="73"/>
        <v>0.99774387985318402</v>
      </c>
      <c r="P780" s="23">
        <f t="shared" si="74"/>
        <v>0.16161497794390001</v>
      </c>
      <c r="Q780" s="23">
        <f t="shared" si="75"/>
        <v>0.16198042524468401</v>
      </c>
      <c r="R780" s="22">
        <f t="shared" si="76"/>
        <v>1.0491303224516</v>
      </c>
      <c r="S780" s="22">
        <f t="shared" si="77"/>
        <v>2.0491303224516</v>
      </c>
    </row>
    <row r="781" spans="1:19">
      <c r="A781" s="18" t="s">
        <v>820</v>
      </c>
      <c r="B781" s="18" t="s">
        <v>34</v>
      </c>
      <c r="C781" s="18" t="s">
        <v>48</v>
      </c>
      <c r="D781" s="19">
        <v>44766</v>
      </c>
      <c r="E781" s="20">
        <v>45380</v>
      </c>
      <c r="F781" s="21">
        <v>68550.399999999994</v>
      </c>
      <c r="G781" s="21">
        <v>22480</v>
      </c>
      <c r="H781" s="21">
        <v>6676.8</v>
      </c>
      <c r="I781" s="18">
        <v>1768.4639999999999</v>
      </c>
      <c r="J781" s="18">
        <v>6623.5039999999999</v>
      </c>
      <c r="K781" s="18" t="s">
        <v>43</v>
      </c>
      <c r="L781" s="18" t="s">
        <v>35</v>
      </c>
      <c r="M781" s="18" t="s">
        <v>24</v>
      </c>
      <c r="N781" s="22">
        <f t="shared" si="72"/>
        <v>0.32793389972925002</v>
      </c>
      <c r="O781" s="22">
        <f t="shared" si="73"/>
        <v>0.297010676156584</v>
      </c>
      <c r="P781" s="23">
        <f t="shared" si="74"/>
        <v>7.8668327402135196E-2</v>
      </c>
      <c r="Q781" s="23">
        <f t="shared" si="75"/>
        <v>0.26486700215672199</v>
      </c>
      <c r="R781" s="22">
        <f t="shared" si="76"/>
        <v>2.7453428511974201</v>
      </c>
      <c r="S781" s="22">
        <f t="shared" si="77"/>
        <v>3.7453428511974201</v>
      </c>
    </row>
    <row r="782" spans="1:19">
      <c r="A782" s="18" t="s">
        <v>821</v>
      </c>
      <c r="B782" s="18" t="s">
        <v>34</v>
      </c>
      <c r="C782" s="18" t="s">
        <v>41</v>
      </c>
      <c r="D782" s="19">
        <v>44852</v>
      </c>
      <c r="E782" s="20">
        <v>45481</v>
      </c>
      <c r="F782" s="21">
        <v>4017.6</v>
      </c>
      <c r="G782" s="21">
        <v>611.20000000000005</v>
      </c>
      <c r="H782" s="21">
        <v>600</v>
      </c>
      <c r="I782" s="18">
        <v>2162.8159999999998</v>
      </c>
      <c r="J782" s="18">
        <v>3938.7040000000002</v>
      </c>
      <c r="K782" s="18" t="s">
        <v>38</v>
      </c>
      <c r="L782" s="18" t="s">
        <v>44</v>
      </c>
      <c r="M782" s="18" t="s">
        <v>24</v>
      </c>
      <c r="N782" s="22">
        <f t="shared" si="72"/>
        <v>0.152130625248905</v>
      </c>
      <c r="O782" s="22">
        <f t="shared" si="73"/>
        <v>0.98167539267015702</v>
      </c>
      <c r="P782" s="23">
        <f t="shared" si="74"/>
        <v>3.5386387434555</v>
      </c>
      <c r="Q782" s="23">
        <f t="shared" si="75"/>
        <v>3.60469333333333</v>
      </c>
      <c r="R782" s="22">
        <f t="shared" si="76"/>
        <v>0.82109989939042505</v>
      </c>
      <c r="S782" s="22">
        <f t="shared" si="77"/>
        <v>1.8210998993904199</v>
      </c>
    </row>
    <row r="783" spans="1:19">
      <c r="A783" s="18" t="s">
        <v>822</v>
      </c>
      <c r="B783" s="18" t="s">
        <v>28</v>
      </c>
      <c r="C783" s="18" t="s">
        <v>48</v>
      </c>
      <c r="D783" s="19">
        <v>44863</v>
      </c>
      <c r="E783" s="20">
        <v>45469</v>
      </c>
      <c r="F783" s="21">
        <v>40769.599999999999</v>
      </c>
      <c r="G783" s="21">
        <v>4678.3999999999996</v>
      </c>
      <c r="H783" s="21">
        <v>2457.6</v>
      </c>
      <c r="I783" s="18">
        <v>1388.6079999999999</v>
      </c>
      <c r="J783" s="18">
        <v>1815.104</v>
      </c>
      <c r="K783" s="18" t="s">
        <v>30</v>
      </c>
      <c r="L783" s="18" t="s">
        <v>23</v>
      </c>
      <c r="M783" s="18" t="s">
        <v>32</v>
      </c>
      <c r="N783" s="22">
        <f t="shared" si="72"/>
        <v>0.11475216828225</v>
      </c>
      <c r="O783" s="22">
        <f t="shared" si="73"/>
        <v>0.52530779753762002</v>
      </c>
      <c r="P783" s="23">
        <f t="shared" si="74"/>
        <v>0.296812585499316</v>
      </c>
      <c r="Q783" s="23">
        <f t="shared" si="75"/>
        <v>0.56502604166666703</v>
      </c>
      <c r="R783" s="22">
        <f t="shared" si="76"/>
        <v>0.307139235839056</v>
      </c>
      <c r="S783" s="22">
        <f t="shared" si="77"/>
        <v>1.3071392358390601</v>
      </c>
    </row>
    <row r="784" spans="1:19">
      <c r="A784" s="18" t="s">
        <v>823</v>
      </c>
      <c r="B784" s="18" t="s">
        <v>47</v>
      </c>
      <c r="C784" s="18" t="s">
        <v>29</v>
      </c>
      <c r="D784" s="19">
        <v>44750</v>
      </c>
      <c r="E784" s="20">
        <v>45366</v>
      </c>
      <c r="F784" s="21">
        <v>40521.599999999999</v>
      </c>
      <c r="G784" s="21">
        <v>30931.200000000001</v>
      </c>
      <c r="H784" s="21">
        <v>23302.400000000001</v>
      </c>
      <c r="I784" s="18">
        <v>2267.5039999999999</v>
      </c>
      <c r="J784" s="18">
        <v>4672.9920000000002</v>
      </c>
      <c r="K784" s="18" t="s">
        <v>43</v>
      </c>
      <c r="L784" s="18" t="s">
        <v>23</v>
      </c>
      <c r="M784" s="18" t="s">
        <v>24</v>
      </c>
      <c r="N784" s="22">
        <f t="shared" si="72"/>
        <v>0.76332622601279299</v>
      </c>
      <c r="O784" s="22">
        <f t="shared" si="73"/>
        <v>0.753362300848334</v>
      </c>
      <c r="P784" s="23">
        <f t="shared" si="74"/>
        <v>7.3307986757707402E-2</v>
      </c>
      <c r="Q784" s="23">
        <f t="shared" si="75"/>
        <v>9.7307745124965705E-2</v>
      </c>
      <c r="R784" s="22">
        <f t="shared" si="76"/>
        <v>1.0608528143721001</v>
      </c>
      <c r="S784" s="22">
        <f t="shared" si="77"/>
        <v>2.0608528143721001</v>
      </c>
    </row>
    <row r="785" spans="1:19">
      <c r="A785" s="18" t="s">
        <v>824</v>
      </c>
      <c r="B785" s="18" t="s">
        <v>26</v>
      </c>
      <c r="C785" s="18" t="s">
        <v>21</v>
      </c>
      <c r="D785" s="19">
        <v>44933</v>
      </c>
      <c r="E785" s="20">
        <v>45559</v>
      </c>
      <c r="F785" s="21">
        <v>7176</v>
      </c>
      <c r="G785" s="21">
        <v>6595.2</v>
      </c>
      <c r="H785" s="21">
        <v>1950.4</v>
      </c>
      <c r="I785" s="18">
        <v>5111.28</v>
      </c>
      <c r="J785" s="18">
        <v>7486.3360000000002</v>
      </c>
      <c r="K785" s="18" t="s">
        <v>43</v>
      </c>
      <c r="L785" s="18" t="s">
        <v>50</v>
      </c>
      <c r="M785" s="18" t="s">
        <v>24</v>
      </c>
      <c r="N785" s="22">
        <f t="shared" si="72"/>
        <v>0.91906354515050204</v>
      </c>
      <c r="O785" s="22">
        <f t="shared" si="73"/>
        <v>0.295730228044639</v>
      </c>
      <c r="P785" s="23">
        <f t="shared" si="74"/>
        <v>0.77500000000000002</v>
      </c>
      <c r="Q785" s="23">
        <f t="shared" si="75"/>
        <v>2.6206316652994301</v>
      </c>
      <c r="R785" s="22">
        <f t="shared" si="76"/>
        <v>0.464669515268191</v>
      </c>
      <c r="S785" s="22">
        <f t="shared" si="77"/>
        <v>1.4646695152681899</v>
      </c>
    </row>
    <row r="786" spans="1:19">
      <c r="A786" s="18" t="s">
        <v>825</v>
      </c>
      <c r="B786" s="18" t="s">
        <v>20</v>
      </c>
      <c r="C786" s="18" t="s">
        <v>48</v>
      </c>
      <c r="D786" s="19">
        <v>44939</v>
      </c>
      <c r="E786" s="20">
        <v>45549</v>
      </c>
      <c r="F786" s="21">
        <v>2281.6</v>
      </c>
      <c r="G786" s="21">
        <v>790.4</v>
      </c>
      <c r="H786" s="21">
        <v>505.6</v>
      </c>
      <c r="I786" s="18">
        <v>7838.4480000000003</v>
      </c>
      <c r="J786" s="18">
        <v>18830.815999999999</v>
      </c>
      <c r="K786" s="18" t="s">
        <v>43</v>
      </c>
      <c r="L786" s="18" t="s">
        <v>44</v>
      </c>
      <c r="M786" s="18" t="s">
        <v>24</v>
      </c>
      <c r="N786" s="22">
        <f t="shared" si="72"/>
        <v>0.34642356241234201</v>
      </c>
      <c r="O786" s="22">
        <f t="shared" si="73"/>
        <v>0.63967611336032404</v>
      </c>
      <c r="P786" s="23">
        <f t="shared" si="74"/>
        <v>9.9170647773279406</v>
      </c>
      <c r="Q786" s="23">
        <f t="shared" si="75"/>
        <v>15.5032594936709</v>
      </c>
      <c r="R786" s="22">
        <f t="shared" si="76"/>
        <v>1.4023653662051501</v>
      </c>
      <c r="S786" s="22">
        <f t="shared" si="77"/>
        <v>2.4023653662051498</v>
      </c>
    </row>
    <row r="787" spans="1:19">
      <c r="A787" s="18" t="s">
        <v>826</v>
      </c>
      <c r="B787" s="18" t="s">
        <v>40</v>
      </c>
      <c r="C787" s="18" t="s">
        <v>29</v>
      </c>
      <c r="D787" s="19">
        <v>44921</v>
      </c>
      <c r="E787" s="20">
        <v>45534</v>
      </c>
      <c r="F787" s="21">
        <v>40012.800000000003</v>
      </c>
      <c r="G787" s="21">
        <v>6720</v>
      </c>
      <c r="H787" s="21">
        <v>664</v>
      </c>
      <c r="I787" s="18">
        <v>6232.2240000000002</v>
      </c>
      <c r="J787" s="18">
        <v>14050.992</v>
      </c>
      <c r="K787" s="18" t="s">
        <v>30</v>
      </c>
      <c r="L787" s="18" t="s">
        <v>31</v>
      </c>
      <c r="M787" s="18" t="s">
        <v>24</v>
      </c>
      <c r="N787" s="22">
        <f t="shared" si="72"/>
        <v>0.16794625719769701</v>
      </c>
      <c r="O787" s="22">
        <f t="shared" si="73"/>
        <v>9.8809523809523805E-2</v>
      </c>
      <c r="P787" s="23">
        <f t="shared" si="74"/>
        <v>0.92741428571428597</v>
      </c>
      <c r="Q787" s="23">
        <f t="shared" si="75"/>
        <v>9.38587951807229</v>
      </c>
      <c r="R787" s="22">
        <f t="shared" si="76"/>
        <v>1.25457108088541</v>
      </c>
      <c r="S787" s="22">
        <f t="shared" si="77"/>
        <v>2.2545710808854098</v>
      </c>
    </row>
    <row r="788" spans="1:19">
      <c r="A788" s="18" t="s">
        <v>827</v>
      </c>
      <c r="B788" s="18" t="s">
        <v>20</v>
      </c>
      <c r="C788" s="18" t="s">
        <v>29</v>
      </c>
      <c r="D788" s="19">
        <v>44920</v>
      </c>
      <c r="E788" s="20">
        <v>45538</v>
      </c>
      <c r="F788" s="21">
        <v>29182.400000000001</v>
      </c>
      <c r="G788" s="21">
        <v>504</v>
      </c>
      <c r="H788" s="21">
        <v>372.8</v>
      </c>
      <c r="I788" s="18">
        <v>4867.84</v>
      </c>
      <c r="J788" s="18">
        <v>11349.536</v>
      </c>
      <c r="K788" s="18" t="s">
        <v>22</v>
      </c>
      <c r="L788" s="18" t="s">
        <v>31</v>
      </c>
      <c r="M788" s="18" t="s">
        <v>24</v>
      </c>
      <c r="N788" s="22">
        <f t="shared" si="72"/>
        <v>1.72706836997642E-2</v>
      </c>
      <c r="O788" s="22">
        <f t="shared" si="73"/>
        <v>0.73968253968254005</v>
      </c>
      <c r="P788" s="23">
        <f t="shared" si="74"/>
        <v>9.6584126984127003</v>
      </c>
      <c r="Q788" s="23">
        <f t="shared" si="75"/>
        <v>13.0575107296137</v>
      </c>
      <c r="R788" s="22">
        <f t="shared" si="76"/>
        <v>1.3315343150144601</v>
      </c>
      <c r="S788" s="22">
        <f t="shared" si="77"/>
        <v>2.3315343150144598</v>
      </c>
    </row>
    <row r="789" spans="1:19">
      <c r="A789" s="18" t="s">
        <v>828</v>
      </c>
      <c r="B789" s="18" t="s">
        <v>34</v>
      </c>
      <c r="C789" s="18" t="s">
        <v>48</v>
      </c>
      <c r="D789" s="19">
        <v>44928</v>
      </c>
      <c r="E789" s="20">
        <v>45541</v>
      </c>
      <c r="F789" s="21">
        <v>12036.8</v>
      </c>
      <c r="G789" s="21">
        <v>11430.4</v>
      </c>
      <c r="H789" s="21">
        <v>4801.6000000000004</v>
      </c>
      <c r="I789" s="18">
        <v>7838.7839999999997</v>
      </c>
      <c r="J789" s="18">
        <v>24021.84</v>
      </c>
      <c r="K789" s="18" t="s">
        <v>43</v>
      </c>
      <c r="L789" s="18" t="s">
        <v>31</v>
      </c>
      <c r="M789" s="18" t="s">
        <v>24</v>
      </c>
      <c r="N789" s="22">
        <f t="shared" si="72"/>
        <v>0.94962116177056999</v>
      </c>
      <c r="O789" s="22">
        <f t="shared" si="73"/>
        <v>0.42007278835386302</v>
      </c>
      <c r="P789" s="23">
        <f t="shared" si="74"/>
        <v>0.68578387458006695</v>
      </c>
      <c r="Q789" s="23">
        <f t="shared" si="75"/>
        <v>1.63253582139287</v>
      </c>
      <c r="R789" s="22">
        <f t="shared" si="76"/>
        <v>2.0644855120385999</v>
      </c>
      <c r="S789" s="22">
        <f t="shared" si="77"/>
        <v>3.0644855120385999</v>
      </c>
    </row>
    <row r="790" spans="1:19">
      <c r="A790" s="18" t="s">
        <v>829</v>
      </c>
      <c r="B790" s="18" t="s">
        <v>20</v>
      </c>
      <c r="C790" s="18" t="s">
        <v>48</v>
      </c>
      <c r="D790" s="19">
        <v>44849</v>
      </c>
      <c r="E790" s="20">
        <v>45456</v>
      </c>
      <c r="F790" s="21">
        <v>72310.399999999994</v>
      </c>
      <c r="G790" s="21">
        <v>70876.800000000003</v>
      </c>
      <c r="H790" s="21">
        <v>40068.800000000003</v>
      </c>
      <c r="I790" s="18">
        <v>3616</v>
      </c>
      <c r="J790" s="18">
        <v>4864.6400000000003</v>
      </c>
      <c r="K790" s="18" t="s">
        <v>65</v>
      </c>
      <c r="L790" s="18" t="s">
        <v>50</v>
      </c>
      <c r="M790" s="18" t="s">
        <v>24</v>
      </c>
      <c r="N790" s="22">
        <f t="shared" si="72"/>
        <v>0.98017435942824305</v>
      </c>
      <c r="O790" s="22">
        <f t="shared" si="73"/>
        <v>0.56533026321730095</v>
      </c>
      <c r="P790" s="23">
        <f t="shared" si="74"/>
        <v>5.10181046548377E-2</v>
      </c>
      <c r="Q790" s="23">
        <f t="shared" si="75"/>
        <v>9.0244778980154094E-2</v>
      </c>
      <c r="R790" s="22">
        <f t="shared" si="76"/>
        <v>0.34530973451327401</v>
      </c>
      <c r="S790" s="22">
        <f t="shared" si="77"/>
        <v>1.3453097345132701</v>
      </c>
    </row>
    <row r="791" spans="1:19">
      <c r="A791" s="18" t="s">
        <v>830</v>
      </c>
      <c r="B791" s="18" t="s">
        <v>28</v>
      </c>
      <c r="C791" s="18" t="s">
        <v>41</v>
      </c>
      <c r="D791" s="19">
        <v>44704</v>
      </c>
      <c r="E791" s="20">
        <v>45323</v>
      </c>
      <c r="F791" s="21">
        <v>15377.6</v>
      </c>
      <c r="G791" s="21">
        <v>10241.6</v>
      </c>
      <c r="H791" s="21">
        <v>9502.4</v>
      </c>
      <c r="I791" s="18">
        <v>2285.0239999999999</v>
      </c>
      <c r="J791" s="18">
        <v>7491.1840000000002</v>
      </c>
      <c r="K791" s="18" t="s">
        <v>22</v>
      </c>
      <c r="L791" s="18" t="s">
        <v>23</v>
      </c>
      <c r="M791" s="18" t="s">
        <v>24</v>
      </c>
      <c r="N791" s="22">
        <f t="shared" si="72"/>
        <v>0.66600769951097705</v>
      </c>
      <c r="O791" s="22">
        <f t="shared" si="73"/>
        <v>0.92782377753475997</v>
      </c>
      <c r="P791" s="23">
        <f t="shared" si="74"/>
        <v>0.223112013747852</v>
      </c>
      <c r="Q791" s="23">
        <f t="shared" si="75"/>
        <v>0.24046809227142599</v>
      </c>
      <c r="R791" s="22">
        <f t="shared" si="76"/>
        <v>2.2783830716876499</v>
      </c>
      <c r="S791" s="22">
        <f t="shared" si="77"/>
        <v>3.2783830716876499</v>
      </c>
    </row>
    <row r="792" spans="1:19">
      <c r="A792" s="18" t="s">
        <v>831</v>
      </c>
      <c r="B792" s="18" t="s">
        <v>40</v>
      </c>
      <c r="C792" s="18" t="s">
        <v>41</v>
      </c>
      <c r="D792" s="19">
        <v>44857</v>
      </c>
      <c r="E792" s="20">
        <v>45477</v>
      </c>
      <c r="F792" s="21">
        <v>68876.800000000003</v>
      </c>
      <c r="G792" s="21">
        <v>57577.599999999999</v>
      </c>
      <c r="H792" s="21">
        <v>3451.2</v>
      </c>
      <c r="I792" s="18">
        <v>3789.7759999999998</v>
      </c>
      <c r="J792" s="18">
        <v>5432.6239999999998</v>
      </c>
      <c r="K792" s="18" t="s">
        <v>38</v>
      </c>
      <c r="L792" s="18" t="s">
        <v>50</v>
      </c>
      <c r="M792" s="18" t="s">
        <v>32</v>
      </c>
      <c r="N792" s="22">
        <f t="shared" si="72"/>
        <v>0.83595056680914304</v>
      </c>
      <c r="O792" s="22">
        <f t="shared" si="73"/>
        <v>5.99399766575891E-2</v>
      </c>
      <c r="P792" s="23">
        <f t="shared" si="74"/>
        <v>6.5820319012949505E-2</v>
      </c>
      <c r="Q792" s="23">
        <f t="shared" si="75"/>
        <v>1.09810384793695</v>
      </c>
      <c r="R792" s="22">
        <f t="shared" si="76"/>
        <v>0.43349475008549299</v>
      </c>
      <c r="S792" s="22">
        <f t="shared" si="77"/>
        <v>1.43349475008549</v>
      </c>
    </row>
    <row r="793" spans="1:19">
      <c r="A793" s="18" t="s">
        <v>832</v>
      </c>
      <c r="B793" s="18" t="s">
        <v>28</v>
      </c>
      <c r="C793" s="18" t="s">
        <v>48</v>
      </c>
      <c r="D793" s="19">
        <v>44733</v>
      </c>
      <c r="E793" s="20">
        <v>45353</v>
      </c>
      <c r="F793" s="21">
        <v>18083.2</v>
      </c>
      <c r="G793" s="21">
        <v>1531.2</v>
      </c>
      <c r="H793" s="21">
        <v>737.6</v>
      </c>
      <c r="I793" s="18">
        <v>291.72800000000001</v>
      </c>
      <c r="J793" s="18">
        <v>583.10400000000004</v>
      </c>
      <c r="K793" s="18" t="s">
        <v>22</v>
      </c>
      <c r="L793" s="18" t="s">
        <v>44</v>
      </c>
      <c r="M793" s="18" t="s">
        <v>32</v>
      </c>
      <c r="N793" s="22">
        <f t="shared" si="72"/>
        <v>8.4675278711732402E-2</v>
      </c>
      <c r="O793" s="22">
        <f t="shared" si="73"/>
        <v>0.48171368861024</v>
      </c>
      <c r="P793" s="23">
        <f t="shared" si="74"/>
        <v>0.19052246603970699</v>
      </c>
      <c r="Q793" s="23">
        <f t="shared" si="75"/>
        <v>0.39550976138828597</v>
      </c>
      <c r="R793" s="22">
        <f t="shared" si="76"/>
        <v>0.998793396588603</v>
      </c>
      <c r="S793" s="22">
        <f t="shared" si="77"/>
        <v>1.9987933965886</v>
      </c>
    </row>
    <row r="794" spans="1:19">
      <c r="A794" s="18" t="s">
        <v>833</v>
      </c>
      <c r="B794" s="18" t="s">
        <v>20</v>
      </c>
      <c r="C794" s="18" t="s">
        <v>41</v>
      </c>
      <c r="D794" s="19">
        <v>44834</v>
      </c>
      <c r="E794" s="20">
        <v>45441</v>
      </c>
      <c r="F794" s="21">
        <v>19230.400000000001</v>
      </c>
      <c r="G794" s="21">
        <v>2932.8</v>
      </c>
      <c r="H794" s="21">
        <v>1316.8</v>
      </c>
      <c r="I794" s="18">
        <v>3714.5120000000002</v>
      </c>
      <c r="J794" s="18">
        <v>11088.4</v>
      </c>
      <c r="K794" s="18" t="s">
        <v>38</v>
      </c>
      <c r="L794" s="18" t="s">
        <v>35</v>
      </c>
      <c r="M794" s="18" t="s">
        <v>24</v>
      </c>
      <c r="N794" s="22">
        <f t="shared" si="72"/>
        <v>0.152508528163741</v>
      </c>
      <c r="O794" s="22">
        <f t="shared" si="73"/>
        <v>0.44899072558647002</v>
      </c>
      <c r="P794" s="23">
        <f t="shared" si="74"/>
        <v>1.2665411893071501</v>
      </c>
      <c r="Q794" s="23">
        <f t="shared" si="75"/>
        <v>2.8208626974483599</v>
      </c>
      <c r="R794" s="22">
        <f t="shared" si="76"/>
        <v>1.9851565966135001</v>
      </c>
      <c r="S794" s="22">
        <f t="shared" si="77"/>
        <v>2.9851565966134999</v>
      </c>
    </row>
    <row r="795" spans="1:19">
      <c r="A795" s="18" t="s">
        <v>834</v>
      </c>
      <c r="B795" s="18" t="s">
        <v>26</v>
      </c>
      <c r="C795" s="18" t="s">
        <v>41</v>
      </c>
      <c r="D795" s="19">
        <v>44727</v>
      </c>
      <c r="E795" s="20">
        <v>45349</v>
      </c>
      <c r="F795" s="21">
        <v>70667.199999999997</v>
      </c>
      <c r="G795" s="21">
        <v>59484.800000000003</v>
      </c>
      <c r="H795" s="21">
        <v>40822.400000000001</v>
      </c>
      <c r="I795" s="18">
        <v>5932.5119999999997</v>
      </c>
      <c r="J795" s="18">
        <v>17098.736000000001</v>
      </c>
      <c r="K795" s="18" t="s">
        <v>38</v>
      </c>
      <c r="L795" s="18" t="s">
        <v>31</v>
      </c>
      <c r="M795" s="18" t="s">
        <v>24</v>
      </c>
      <c r="N795" s="22">
        <f t="shared" si="72"/>
        <v>0.84175968483256702</v>
      </c>
      <c r="O795" s="22">
        <f t="shared" si="73"/>
        <v>0.68626607133250805</v>
      </c>
      <c r="P795" s="23">
        <f t="shared" si="74"/>
        <v>9.97315616762601E-2</v>
      </c>
      <c r="Q795" s="23">
        <f t="shared" si="75"/>
        <v>0.14532491965195601</v>
      </c>
      <c r="R795" s="22">
        <f t="shared" si="76"/>
        <v>1.8822084135691599</v>
      </c>
      <c r="S795" s="22">
        <f t="shared" si="77"/>
        <v>2.8822084135691601</v>
      </c>
    </row>
    <row r="796" spans="1:19">
      <c r="A796" s="18" t="s">
        <v>835</v>
      </c>
      <c r="B796" s="18" t="s">
        <v>28</v>
      </c>
      <c r="C796" s="18" t="s">
        <v>41</v>
      </c>
      <c r="D796" s="19">
        <v>44780</v>
      </c>
      <c r="E796" s="20">
        <v>45395</v>
      </c>
      <c r="F796" s="21">
        <v>52204.800000000003</v>
      </c>
      <c r="G796" s="21">
        <v>3726.4</v>
      </c>
      <c r="H796" s="21">
        <v>3304</v>
      </c>
      <c r="I796" s="18">
        <v>3426.6880000000001</v>
      </c>
      <c r="J796" s="18">
        <v>13127.216</v>
      </c>
      <c r="K796" s="18" t="s">
        <v>30</v>
      </c>
      <c r="L796" s="18" t="s">
        <v>31</v>
      </c>
      <c r="M796" s="18" t="s">
        <v>32</v>
      </c>
      <c r="N796" s="22">
        <f t="shared" si="72"/>
        <v>7.13804094642638E-2</v>
      </c>
      <c r="O796" s="22">
        <f t="shared" si="73"/>
        <v>0.88664662945470196</v>
      </c>
      <c r="P796" s="23">
        <f t="shared" si="74"/>
        <v>0.91957063117217697</v>
      </c>
      <c r="Q796" s="23">
        <f t="shared" si="75"/>
        <v>1.0371331719128301</v>
      </c>
      <c r="R796" s="22">
        <f t="shared" si="76"/>
        <v>2.8308757610847599</v>
      </c>
      <c r="S796" s="22">
        <f t="shared" si="77"/>
        <v>3.8308757610847599</v>
      </c>
    </row>
    <row r="797" spans="1:19">
      <c r="A797" s="18" t="s">
        <v>836</v>
      </c>
      <c r="B797" s="18" t="s">
        <v>28</v>
      </c>
      <c r="C797" s="18" t="s">
        <v>21</v>
      </c>
      <c r="D797" s="19">
        <v>44847</v>
      </c>
      <c r="E797" s="20">
        <v>45476</v>
      </c>
      <c r="F797" s="21">
        <v>25401.599999999999</v>
      </c>
      <c r="G797" s="21">
        <v>14724.8</v>
      </c>
      <c r="H797" s="21">
        <v>4044.8</v>
      </c>
      <c r="I797" s="18">
        <v>1218.4960000000001</v>
      </c>
      <c r="J797" s="18">
        <v>3897.2959999999998</v>
      </c>
      <c r="K797" s="18" t="s">
        <v>30</v>
      </c>
      <c r="L797" s="18" t="s">
        <v>31</v>
      </c>
      <c r="M797" s="18" t="s">
        <v>32</v>
      </c>
      <c r="N797" s="22">
        <f t="shared" si="72"/>
        <v>0.57968002015621101</v>
      </c>
      <c r="O797" s="22">
        <f t="shared" si="73"/>
        <v>0.27469303487993002</v>
      </c>
      <c r="P797" s="23">
        <f t="shared" si="74"/>
        <v>8.2751276757579095E-2</v>
      </c>
      <c r="Q797" s="23">
        <f t="shared" si="75"/>
        <v>0.30125000000000002</v>
      </c>
      <c r="R797" s="22">
        <f t="shared" si="76"/>
        <v>2.19844792268501</v>
      </c>
      <c r="S797" s="22">
        <f t="shared" si="77"/>
        <v>3.19844792268501</v>
      </c>
    </row>
    <row r="798" spans="1:19">
      <c r="A798" s="18" t="s">
        <v>837</v>
      </c>
      <c r="B798" s="18" t="s">
        <v>26</v>
      </c>
      <c r="C798" s="18" t="s">
        <v>21</v>
      </c>
      <c r="D798" s="19">
        <v>44825</v>
      </c>
      <c r="E798" s="20">
        <v>45439</v>
      </c>
      <c r="F798" s="21">
        <v>61952</v>
      </c>
      <c r="G798" s="21">
        <v>36849.599999999999</v>
      </c>
      <c r="H798" s="21">
        <v>153.6</v>
      </c>
      <c r="I798" s="18">
        <v>4822.5119999999997</v>
      </c>
      <c r="J798" s="18">
        <v>8414.7999999999993</v>
      </c>
      <c r="K798" s="18" t="s">
        <v>30</v>
      </c>
      <c r="L798" s="18" t="s">
        <v>35</v>
      </c>
      <c r="M798" s="18" t="s">
        <v>24</v>
      </c>
      <c r="N798" s="22">
        <f t="shared" si="72"/>
        <v>0.59480888429752099</v>
      </c>
      <c r="O798" s="22">
        <f t="shared" si="73"/>
        <v>4.1682949068646601E-3</v>
      </c>
      <c r="P798" s="23">
        <f t="shared" si="74"/>
        <v>0.13087013156180799</v>
      </c>
      <c r="Q798" s="23">
        <f t="shared" si="75"/>
        <v>31.396562500000002</v>
      </c>
      <c r="R798" s="22">
        <f t="shared" si="76"/>
        <v>0.74489975348946802</v>
      </c>
      <c r="S798" s="22">
        <f t="shared" si="77"/>
        <v>1.7448997534894699</v>
      </c>
    </row>
    <row r="799" spans="1:19">
      <c r="A799" s="18" t="s">
        <v>838</v>
      </c>
      <c r="B799" s="18" t="s">
        <v>34</v>
      </c>
      <c r="C799" s="18" t="s">
        <v>29</v>
      </c>
      <c r="D799" s="19">
        <v>44862</v>
      </c>
      <c r="E799" s="20">
        <v>45489</v>
      </c>
      <c r="F799" s="21">
        <v>3398.4</v>
      </c>
      <c r="G799" s="21">
        <v>865.6</v>
      </c>
      <c r="H799" s="21">
        <v>467.2</v>
      </c>
      <c r="I799" s="18">
        <v>3016.7359999999999</v>
      </c>
      <c r="J799" s="18">
        <v>4440.2719999999999</v>
      </c>
      <c r="K799" s="18" t="s">
        <v>65</v>
      </c>
      <c r="L799" s="18" t="s">
        <v>50</v>
      </c>
      <c r="M799" s="18" t="s">
        <v>24</v>
      </c>
      <c r="N799" s="22">
        <f t="shared" si="72"/>
        <v>0.25470809792843702</v>
      </c>
      <c r="O799" s="22">
        <f t="shared" si="73"/>
        <v>0.53974121996303104</v>
      </c>
      <c r="P799" s="23">
        <f t="shared" si="74"/>
        <v>3.4851386321626601</v>
      </c>
      <c r="Q799" s="23">
        <f t="shared" si="75"/>
        <v>6.4570547945205501</v>
      </c>
      <c r="R799" s="22">
        <f t="shared" si="76"/>
        <v>0.47187954133208898</v>
      </c>
      <c r="S799" s="22">
        <f t="shared" si="77"/>
        <v>1.47187954133209</v>
      </c>
    </row>
    <row r="800" spans="1:19">
      <c r="A800" s="18" t="s">
        <v>839</v>
      </c>
      <c r="B800" s="18" t="s">
        <v>40</v>
      </c>
      <c r="C800" s="18" t="s">
        <v>21</v>
      </c>
      <c r="D800" s="19">
        <v>44905</v>
      </c>
      <c r="E800" s="20">
        <v>45511</v>
      </c>
      <c r="F800" s="21">
        <v>46744</v>
      </c>
      <c r="G800" s="21">
        <v>12020.8</v>
      </c>
      <c r="H800" s="21">
        <v>5043.2</v>
      </c>
      <c r="I800" s="18">
        <v>276.08</v>
      </c>
      <c r="J800" s="18">
        <v>454.96</v>
      </c>
      <c r="K800" s="18" t="s">
        <v>43</v>
      </c>
      <c r="L800" s="18" t="s">
        <v>44</v>
      </c>
      <c r="M800" s="18" t="s">
        <v>24</v>
      </c>
      <c r="N800" s="22">
        <f t="shared" si="72"/>
        <v>0.25716241656683198</v>
      </c>
      <c r="O800" s="22">
        <f t="shared" si="73"/>
        <v>0.41953946492745903</v>
      </c>
      <c r="P800" s="23">
        <f t="shared" si="74"/>
        <v>2.2966857447091701E-2</v>
      </c>
      <c r="Q800" s="23">
        <f t="shared" si="75"/>
        <v>5.4743020304568499E-2</v>
      </c>
      <c r="R800" s="22">
        <f t="shared" si="76"/>
        <v>0.64792813677195005</v>
      </c>
      <c r="S800" s="22">
        <f t="shared" si="77"/>
        <v>1.64792813677195</v>
      </c>
    </row>
    <row r="801" spans="1:19">
      <c r="A801" s="18" t="s">
        <v>840</v>
      </c>
      <c r="B801" s="18" t="s">
        <v>28</v>
      </c>
      <c r="C801" s="18" t="s">
        <v>41</v>
      </c>
      <c r="D801" s="19">
        <v>44727</v>
      </c>
      <c r="E801" s="20">
        <v>45354</v>
      </c>
      <c r="F801" s="21">
        <v>35884.800000000003</v>
      </c>
      <c r="G801" s="21">
        <v>1836.8</v>
      </c>
      <c r="H801" s="21">
        <v>1012.8</v>
      </c>
      <c r="I801" s="18">
        <v>3212.768</v>
      </c>
      <c r="J801" s="18">
        <v>5981.4560000000001</v>
      </c>
      <c r="K801" s="18" t="s">
        <v>22</v>
      </c>
      <c r="L801" s="18" t="s">
        <v>23</v>
      </c>
      <c r="M801" s="18" t="s">
        <v>32</v>
      </c>
      <c r="N801" s="22">
        <f t="shared" si="72"/>
        <v>5.1186017478152303E-2</v>
      </c>
      <c r="O801" s="22">
        <f t="shared" si="73"/>
        <v>0.55139372822299604</v>
      </c>
      <c r="P801" s="23">
        <f t="shared" si="74"/>
        <v>1.74911149825784</v>
      </c>
      <c r="Q801" s="23">
        <f t="shared" si="75"/>
        <v>3.1721642969984201</v>
      </c>
      <c r="R801" s="22">
        <f t="shared" si="76"/>
        <v>0.86177651171824399</v>
      </c>
      <c r="S801" s="22">
        <f t="shared" si="77"/>
        <v>1.8617765117182401</v>
      </c>
    </row>
    <row r="802" spans="1:19">
      <c r="A802" s="18" t="s">
        <v>841</v>
      </c>
      <c r="B802" s="18" t="s">
        <v>47</v>
      </c>
      <c r="C802" s="18" t="s">
        <v>48</v>
      </c>
      <c r="D802" s="19">
        <v>44764</v>
      </c>
      <c r="E802" s="20">
        <v>45387</v>
      </c>
      <c r="F802" s="21">
        <v>29980.799999999999</v>
      </c>
      <c r="G802" s="21">
        <v>27758.400000000001</v>
      </c>
      <c r="H802" s="21">
        <v>2563.1999999999998</v>
      </c>
      <c r="I802" s="18">
        <v>3193.68</v>
      </c>
      <c r="J802" s="18">
        <v>4146.1120000000001</v>
      </c>
      <c r="K802" s="18" t="s">
        <v>65</v>
      </c>
      <c r="L802" s="18" t="s">
        <v>44</v>
      </c>
      <c r="M802" s="18" t="s">
        <v>32</v>
      </c>
      <c r="N802" s="22">
        <f t="shared" si="72"/>
        <v>0.92587255843740002</v>
      </c>
      <c r="O802" s="22">
        <f t="shared" si="73"/>
        <v>9.23396161162027E-2</v>
      </c>
      <c r="P802" s="23">
        <f t="shared" si="74"/>
        <v>0.115052740791976</v>
      </c>
      <c r="Q802" s="23">
        <f t="shared" si="75"/>
        <v>1.24597378277154</v>
      </c>
      <c r="R802" s="22">
        <f t="shared" si="76"/>
        <v>0.29822399238496</v>
      </c>
      <c r="S802" s="22">
        <f t="shared" si="77"/>
        <v>1.2982239923849599</v>
      </c>
    </row>
    <row r="803" spans="1:19">
      <c r="A803" s="18" t="s">
        <v>842</v>
      </c>
      <c r="B803" s="18" t="s">
        <v>28</v>
      </c>
      <c r="C803" s="18" t="s">
        <v>21</v>
      </c>
      <c r="D803" s="19">
        <v>44739</v>
      </c>
      <c r="E803" s="20">
        <v>45359</v>
      </c>
      <c r="F803" s="21">
        <v>41924.800000000003</v>
      </c>
      <c r="G803" s="21">
        <v>22284.799999999999</v>
      </c>
      <c r="H803" s="21">
        <v>716.8</v>
      </c>
      <c r="I803" s="18">
        <v>4810.192</v>
      </c>
      <c r="J803" s="18">
        <v>10506.736000000001</v>
      </c>
      <c r="K803" s="18" t="s">
        <v>22</v>
      </c>
      <c r="L803" s="18" t="s">
        <v>50</v>
      </c>
      <c r="M803" s="18" t="s">
        <v>24</v>
      </c>
      <c r="N803" s="22">
        <f t="shared" si="72"/>
        <v>0.53154218982559198</v>
      </c>
      <c r="O803" s="22">
        <f t="shared" si="73"/>
        <v>3.2165422171165997E-2</v>
      </c>
      <c r="P803" s="23">
        <f t="shared" si="74"/>
        <v>0.21585080413555399</v>
      </c>
      <c r="Q803" s="23">
        <f t="shared" si="75"/>
        <v>6.7106473214285698</v>
      </c>
      <c r="R803" s="22">
        <f t="shared" si="76"/>
        <v>1.1842654097798999</v>
      </c>
      <c r="S803" s="22">
        <f t="shared" si="77"/>
        <v>2.1842654097799001</v>
      </c>
    </row>
    <row r="804" spans="1:19">
      <c r="A804" s="18" t="s">
        <v>843</v>
      </c>
      <c r="B804" s="18" t="s">
        <v>34</v>
      </c>
      <c r="C804" s="18" t="s">
        <v>41</v>
      </c>
      <c r="D804" s="19">
        <v>44977</v>
      </c>
      <c r="E804" s="20">
        <v>45595</v>
      </c>
      <c r="F804" s="21">
        <v>57960</v>
      </c>
      <c r="G804" s="21">
        <v>47531.199999999997</v>
      </c>
      <c r="H804" s="21">
        <v>17844.8</v>
      </c>
      <c r="I804" s="18">
        <v>4840.4639999999999</v>
      </c>
      <c r="J804" s="18">
        <v>8190.32</v>
      </c>
      <c r="K804" s="18" t="s">
        <v>65</v>
      </c>
      <c r="L804" s="18" t="s">
        <v>31</v>
      </c>
      <c r="M804" s="18" t="s">
        <v>32</v>
      </c>
      <c r="N804" s="22">
        <f t="shared" si="72"/>
        <v>0.82006901311249103</v>
      </c>
      <c r="O804" s="22">
        <f t="shared" si="73"/>
        <v>0.37543339953546301</v>
      </c>
      <c r="P804" s="23">
        <f t="shared" si="74"/>
        <v>0.101837614030363</v>
      </c>
      <c r="Q804" s="23">
        <f t="shared" si="75"/>
        <v>0.27125347440150599</v>
      </c>
      <c r="R804" s="22">
        <f t="shared" si="76"/>
        <v>0.69205266271993804</v>
      </c>
      <c r="S804" s="22">
        <f t="shared" si="77"/>
        <v>1.6920526627199399</v>
      </c>
    </row>
    <row r="805" spans="1:19">
      <c r="A805" s="18" t="s">
        <v>844</v>
      </c>
      <c r="B805" s="18" t="s">
        <v>28</v>
      </c>
      <c r="C805" s="18" t="s">
        <v>29</v>
      </c>
      <c r="D805" s="19">
        <v>44891</v>
      </c>
      <c r="E805" s="20">
        <v>45495</v>
      </c>
      <c r="F805" s="21">
        <v>71390.399999999994</v>
      </c>
      <c r="G805" s="21">
        <v>34820.800000000003</v>
      </c>
      <c r="H805" s="21">
        <v>136</v>
      </c>
      <c r="I805" s="18">
        <v>4412.1279999999997</v>
      </c>
      <c r="J805" s="18">
        <v>17189.135999999999</v>
      </c>
      <c r="K805" s="18" t="s">
        <v>65</v>
      </c>
      <c r="L805" s="18" t="s">
        <v>50</v>
      </c>
      <c r="M805" s="18" t="s">
        <v>32</v>
      </c>
      <c r="N805" s="22">
        <f t="shared" si="72"/>
        <v>0.48775185459109399</v>
      </c>
      <c r="O805" s="22">
        <f t="shared" si="73"/>
        <v>3.90571152874144E-3</v>
      </c>
      <c r="P805" s="23">
        <f t="shared" si="74"/>
        <v>0.12670955291090399</v>
      </c>
      <c r="Q805" s="23">
        <f t="shared" si="75"/>
        <v>32.442117647058801</v>
      </c>
      <c r="R805" s="22">
        <f t="shared" si="76"/>
        <v>2.8958833469926502</v>
      </c>
      <c r="S805" s="22">
        <f t="shared" si="77"/>
        <v>3.8958833469926502</v>
      </c>
    </row>
    <row r="806" spans="1:19">
      <c r="A806" s="18" t="s">
        <v>845</v>
      </c>
      <c r="B806" s="18" t="s">
        <v>47</v>
      </c>
      <c r="C806" s="18" t="s">
        <v>29</v>
      </c>
      <c r="D806" s="19">
        <v>44886</v>
      </c>
      <c r="E806" s="20">
        <v>45496</v>
      </c>
      <c r="F806" s="21">
        <v>37070.400000000001</v>
      </c>
      <c r="G806" s="21">
        <v>10262.4</v>
      </c>
      <c r="H806" s="21">
        <v>611.20000000000005</v>
      </c>
      <c r="I806" s="18">
        <v>2936.9119999999998</v>
      </c>
      <c r="J806" s="18">
        <v>7309.2</v>
      </c>
      <c r="K806" s="18" t="s">
        <v>30</v>
      </c>
      <c r="L806" s="18" t="s">
        <v>23</v>
      </c>
      <c r="M806" s="18" t="s">
        <v>32</v>
      </c>
      <c r="N806" s="22">
        <f t="shared" si="72"/>
        <v>0.27683542664767602</v>
      </c>
      <c r="O806" s="22">
        <f t="shared" si="73"/>
        <v>5.9557218584346698E-2</v>
      </c>
      <c r="P806" s="23">
        <f t="shared" si="74"/>
        <v>0.28618178983473702</v>
      </c>
      <c r="Q806" s="23">
        <f t="shared" si="75"/>
        <v>4.8051570680628304</v>
      </c>
      <c r="R806" s="22">
        <f t="shared" si="76"/>
        <v>1.48873646878081</v>
      </c>
      <c r="S806" s="22">
        <f t="shared" si="77"/>
        <v>2.48873646878081</v>
      </c>
    </row>
    <row r="807" spans="1:19">
      <c r="A807" s="18" t="s">
        <v>846</v>
      </c>
      <c r="B807" s="18" t="s">
        <v>20</v>
      </c>
      <c r="C807" s="18" t="s">
        <v>48</v>
      </c>
      <c r="D807" s="19">
        <v>44884</v>
      </c>
      <c r="E807" s="20">
        <v>45496</v>
      </c>
      <c r="F807" s="21">
        <v>31902.400000000001</v>
      </c>
      <c r="G807" s="21">
        <v>12780.8</v>
      </c>
      <c r="H807" s="21">
        <v>2254.4</v>
      </c>
      <c r="I807" s="18">
        <v>7489.7759999999998</v>
      </c>
      <c r="J807" s="18">
        <v>10210.175999999999</v>
      </c>
      <c r="K807" s="18" t="s">
        <v>30</v>
      </c>
      <c r="L807" s="18" t="s">
        <v>31</v>
      </c>
      <c r="M807" s="18" t="s">
        <v>24</v>
      </c>
      <c r="N807" s="22">
        <f t="shared" si="72"/>
        <v>0.400621896785195</v>
      </c>
      <c r="O807" s="22">
        <f t="shared" si="73"/>
        <v>0.17638958437656499</v>
      </c>
      <c r="P807" s="23">
        <f t="shared" si="74"/>
        <v>0.58601777666499799</v>
      </c>
      <c r="Q807" s="23">
        <f t="shared" si="75"/>
        <v>3.3222924059616701</v>
      </c>
      <c r="R807" s="22">
        <f t="shared" si="76"/>
        <v>0.36321513487185703</v>
      </c>
      <c r="S807" s="22">
        <f t="shared" si="77"/>
        <v>1.36321513487186</v>
      </c>
    </row>
    <row r="808" spans="1:19">
      <c r="A808" s="18" t="s">
        <v>847</v>
      </c>
      <c r="B808" s="18" t="s">
        <v>28</v>
      </c>
      <c r="C808" s="18" t="s">
        <v>21</v>
      </c>
      <c r="D808" s="19">
        <v>44742</v>
      </c>
      <c r="E808" s="20">
        <v>45349</v>
      </c>
      <c r="F808" s="21">
        <v>15635.2</v>
      </c>
      <c r="G808" s="21">
        <v>1192</v>
      </c>
      <c r="H808" s="21">
        <v>636.79999999999995</v>
      </c>
      <c r="I808" s="18">
        <v>5956.48</v>
      </c>
      <c r="J808" s="18">
        <v>9423.152</v>
      </c>
      <c r="K808" s="18" t="s">
        <v>38</v>
      </c>
      <c r="L808" s="18" t="s">
        <v>31</v>
      </c>
      <c r="M808" s="18" t="s">
        <v>24</v>
      </c>
      <c r="N808" s="22">
        <f t="shared" si="72"/>
        <v>7.6238231682357799E-2</v>
      </c>
      <c r="O808" s="22">
        <f t="shared" si="73"/>
        <v>0.53422818791946303</v>
      </c>
      <c r="P808" s="23">
        <f t="shared" si="74"/>
        <v>4.99704697986577</v>
      </c>
      <c r="Q808" s="23">
        <f t="shared" si="75"/>
        <v>9.3537688442211095</v>
      </c>
      <c r="R808" s="22">
        <f t="shared" si="76"/>
        <v>0.58200010744600805</v>
      </c>
      <c r="S808" s="22">
        <f t="shared" si="77"/>
        <v>1.5820001074460099</v>
      </c>
    </row>
    <row r="809" spans="1:19">
      <c r="A809" s="18" t="s">
        <v>848</v>
      </c>
      <c r="B809" s="18" t="s">
        <v>40</v>
      </c>
      <c r="C809" s="18" t="s">
        <v>21</v>
      </c>
      <c r="D809" s="19">
        <v>44704</v>
      </c>
      <c r="E809" s="20">
        <v>45315</v>
      </c>
      <c r="F809" s="21">
        <v>68316.800000000003</v>
      </c>
      <c r="G809" s="21">
        <v>39644.800000000003</v>
      </c>
      <c r="H809" s="21">
        <v>33323.199999999997</v>
      </c>
      <c r="I809" s="18">
        <v>2511.9679999999998</v>
      </c>
      <c r="J809" s="18">
        <v>4654.9920000000002</v>
      </c>
      <c r="K809" s="18" t="s">
        <v>65</v>
      </c>
      <c r="L809" s="18" t="s">
        <v>35</v>
      </c>
      <c r="M809" s="18" t="s">
        <v>24</v>
      </c>
      <c r="N809" s="22">
        <f t="shared" si="72"/>
        <v>0.58030821115743103</v>
      </c>
      <c r="O809" s="22">
        <f t="shared" si="73"/>
        <v>0.840544030995238</v>
      </c>
      <c r="P809" s="23">
        <f t="shared" si="74"/>
        <v>6.3361853256921494E-2</v>
      </c>
      <c r="Q809" s="23">
        <f t="shared" si="75"/>
        <v>7.5381956114658893E-2</v>
      </c>
      <c r="R809" s="22">
        <f t="shared" si="76"/>
        <v>0.85312551752251597</v>
      </c>
      <c r="S809" s="22">
        <f t="shared" si="77"/>
        <v>1.8531255175225201</v>
      </c>
    </row>
    <row r="810" spans="1:19">
      <c r="A810" s="18" t="s">
        <v>849</v>
      </c>
      <c r="B810" s="18" t="s">
        <v>26</v>
      </c>
      <c r="C810" s="18" t="s">
        <v>29</v>
      </c>
      <c r="D810" s="19">
        <v>44839</v>
      </c>
      <c r="E810" s="20">
        <v>45457</v>
      </c>
      <c r="F810" s="21">
        <v>55089.599999999999</v>
      </c>
      <c r="G810" s="21">
        <v>40065.599999999999</v>
      </c>
      <c r="H810" s="21">
        <v>2809.6</v>
      </c>
      <c r="I810" s="18">
        <v>976.52800000000002</v>
      </c>
      <c r="J810" s="18">
        <v>2831.7280000000001</v>
      </c>
      <c r="K810" s="18" t="s">
        <v>43</v>
      </c>
      <c r="L810" s="18" t="s">
        <v>50</v>
      </c>
      <c r="M810" s="18" t="s">
        <v>24</v>
      </c>
      <c r="N810" s="22">
        <f t="shared" si="72"/>
        <v>0.72728064825302796</v>
      </c>
      <c r="O810" s="22">
        <f t="shared" si="73"/>
        <v>7.01249950081866E-2</v>
      </c>
      <c r="P810" s="23">
        <f t="shared" si="74"/>
        <v>2.4373227906233801E-2</v>
      </c>
      <c r="Q810" s="23">
        <f t="shared" si="75"/>
        <v>0.34756833712984098</v>
      </c>
      <c r="R810" s="22">
        <f t="shared" si="76"/>
        <v>1.8997919158487999</v>
      </c>
      <c r="S810" s="22">
        <f t="shared" si="77"/>
        <v>2.8997919158487999</v>
      </c>
    </row>
    <row r="811" spans="1:19">
      <c r="A811" s="18" t="s">
        <v>850</v>
      </c>
      <c r="B811" s="18" t="s">
        <v>26</v>
      </c>
      <c r="C811" s="18" t="s">
        <v>21</v>
      </c>
      <c r="D811" s="19">
        <v>44941</v>
      </c>
      <c r="E811" s="20">
        <v>45562</v>
      </c>
      <c r="F811" s="21">
        <v>48219.199999999997</v>
      </c>
      <c r="G811" s="21">
        <v>30609.599999999999</v>
      </c>
      <c r="H811" s="21">
        <v>11811.2</v>
      </c>
      <c r="I811" s="18">
        <v>5745.0079999999998</v>
      </c>
      <c r="J811" s="18">
        <v>15225.92</v>
      </c>
      <c r="K811" s="18" t="s">
        <v>22</v>
      </c>
      <c r="L811" s="18" t="s">
        <v>50</v>
      </c>
      <c r="M811" s="18" t="s">
        <v>24</v>
      </c>
      <c r="N811" s="22">
        <f t="shared" si="72"/>
        <v>0.63480107509042005</v>
      </c>
      <c r="O811" s="22">
        <f t="shared" si="73"/>
        <v>0.38586587214468698</v>
      </c>
      <c r="P811" s="23">
        <f t="shared" si="74"/>
        <v>0.18768647744498501</v>
      </c>
      <c r="Q811" s="23">
        <f t="shared" si="75"/>
        <v>0.48640341370902201</v>
      </c>
      <c r="R811" s="22">
        <f t="shared" si="76"/>
        <v>1.6502869969893901</v>
      </c>
      <c r="S811" s="22">
        <f t="shared" si="77"/>
        <v>2.6502869969893901</v>
      </c>
    </row>
    <row r="812" spans="1:19">
      <c r="A812" s="18" t="s">
        <v>851</v>
      </c>
      <c r="B812" s="18" t="s">
        <v>26</v>
      </c>
      <c r="C812" s="18" t="s">
        <v>21</v>
      </c>
      <c r="D812" s="19">
        <v>44717</v>
      </c>
      <c r="E812" s="20">
        <v>45323</v>
      </c>
      <c r="F812" s="21">
        <v>19932.8</v>
      </c>
      <c r="G812" s="21">
        <v>11516.8</v>
      </c>
      <c r="H812" s="21">
        <v>9078.4</v>
      </c>
      <c r="I812" s="18">
        <v>2938.1439999999998</v>
      </c>
      <c r="J812" s="18">
        <v>6449.1679999999997</v>
      </c>
      <c r="K812" s="18" t="s">
        <v>65</v>
      </c>
      <c r="L812" s="18" t="s">
        <v>35</v>
      </c>
      <c r="M812" s="18" t="s">
        <v>32</v>
      </c>
      <c r="N812" s="22">
        <f t="shared" si="72"/>
        <v>0.57778134532027603</v>
      </c>
      <c r="O812" s="22">
        <f t="shared" si="73"/>
        <v>0.78827452070019499</v>
      </c>
      <c r="P812" s="23">
        <f t="shared" si="74"/>
        <v>0.25511808835787703</v>
      </c>
      <c r="Q812" s="23">
        <f t="shared" si="75"/>
        <v>0.32364117025026401</v>
      </c>
      <c r="R812" s="22">
        <f t="shared" si="76"/>
        <v>1.1949802324188299</v>
      </c>
      <c r="S812" s="22">
        <f t="shared" si="77"/>
        <v>2.1949802324188301</v>
      </c>
    </row>
    <row r="813" spans="1:19">
      <c r="A813" s="18" t="s">
        <v>852</v>
      </c>
      <c r="B813" s="18" t="s">
        <v>26</v>
      </c>
      <c r="C813" s="18" t="s">
        <v>21</v>
      </c>
      <c r="D813" s="19">
        <v>44937</v>
      </c>
      <c r="E813" s="20">
        <v>45538</v>
      </c>
      <c r="F813" s="21">
        <v>65787.199999999997</v>
      </c>
      <c r="G813" s="21">
        <v>27601.599999999999</v>
      </c>
      <c r="H813" s="21">
        <v>25440</v>
      </c>
      <c r="I813" s="18">
        <v>2224.7040000000002</v>
      </c>
      <c r="J813" s="18">
        <v>5772.3040000000001</v>
      </c>
      <c r="K813" s="18" t="s">
        <v>22</v>
      </c>
      <c r="L813" s="18" t="s">
        <v>23</v>
      </c>
      <c r="M813" s="18" t="s">
        <v>24</v>
      </c>
      <c r="N813" s="22">
        <f t="shared" si="72"/>
        <v>0.41955881995281802</v>
      </c>
      <c r="O813" s="22">
        <f t="shared" si="73"/>
        <v>0.92168569937974598</v>
      </c>
      <c r="P813" s="23">
        <f t="shared" si="74"/>
        <v>8.0600544895948104E-2</v>
      </c>
      <c r="Q813" s="23">
        <f t="shared" si="75"/>
        <v>8.7449056603773598E-2</v>
      </c>
      <c r="R813" s="22">
        <f t="shared" si="76"/>
        <v>1.5946391070452499</v>
      </c>
      <c r="S813" s="22">
        <f t="shared" si="77"/>
        <v>2.5946391070452499</v>
      </c>
    </row>
    <row r="814" spans="1:19">
      <c r="A814" s="18" t="s">
        <v>853</v>
      </c>
      <c r="B814" s="18" t="s">
        <v>34</v>
      </c>
      <c r="C814" s="18" t="s">
        <v>21</v>
      </c>
      <c r="D814" s="19">
        <v>44785</v>
      </c>
      <c r="E814" s="20">
        <v>45406</v>
      </c>
      <c r="F814" s="21">
        <v>60107.199999999997</v>
      </c>
      <c r="G814" s="21">
        <v>28500.799999999999</v>
      </c>
      <c r="H814" s="21">
        <v>10523.2</v>
      </c>
      <c r="I814" s="18">
        <v>1000.336</v>
      </c>
      <c r="J814" s="18">
        <v>1543.2</v>
      </c>
      <c r="K814" s="18" t="s">
        <v>43</v>
      </c>
      <c r="L814" s="18" t="s">
        <v>50</v>
      </c>
      <c r="M814" s="18" t="s">
        <v>32</v>
      </c>
      <c r="N814" s="22">
        <f t="shared" si="72"/>
        <v>0.47416615646711202</v>
      </c>
      <c r="O814" s="22">
        <f t="shared" si="73"/>
        <v>0.36922472351653302</v>
      </c>
      <c r="P814" s="23">
        <f t="shared" si="74"/>
        <v>3.5098523550216101E-2</v>
      </c>
      <c r="Q814" s="23">
        <f t="shared" si="75"/>
        <v>9.5060057777101997E-2</v>
      </c>
      <c r="R814" s="22">
        <f t="shared" si="76"/>
        <v>0.54268165896258902</v>
      </c>
      <c r="S814" s="22">
        <f t="shared" si="77"/>
        <v>1.54268165896259</v>
      </c>
    </row>
    <row r="815" spans="1:19">
      <c r="A815" s="18" t="s">
        <v>854</v>
      </c>
      <c r="B815" s="18" t="s">
        <v>47</v>
      </c>
      <c r="C815" s="18" t="s">
        <v>29</v>
      </c>
      <c r="D815" s="19">
        <v>44868</v>
      </c>
      <c r="E815" s="20">
        <v>45475</v>
      </c>
      <c r="F815" s="21">
        <v>8454.4</v>
      </c>
      <c r="G815" s="21">
        <v>5096</v>
      </c>
      <c r="H815" s="21">
        <v>486.4</v>
      </c>
      <c r="I815" s="18">
        <v>6871.2479999999996</v>
      </c>
      <c r="J815" s="18">
        <v>9592.4159999999993</v>
      </c>
      <c r="K815" s="18" t="s">
        <v>38</v>
      </c>
      <c r="L815" s="18" t="s">
        <v>44</v>
      </c>
      <c r="M815" s="18" t="s">
        <v>24</v>
      </c>
      <c r="N815" s="22">
        <f t="shared" si="72"/>
        <v>0.60276305828917498</v>
      </c>
      <c r="O815" s="22">
        <f t="shared" si="73"/>
        <v>9.5447409733124003E-2</v>
      </c>
      <c r="P815" s="23">
        <f t="shared" si="74"/>
        <v>1.3483610675039199</v>
      </c>
      <c r="Q815" s="23">
        <f t="shared" si="75"/>
        <v>14.1267434210526</v>
      </c>
      <c r="R815" s="22">
        <f t="shared" si="76"/>
        <v>0.39602238196030798</v>
      </c>
      <c r="S815" s="22">
        <f t="shared" si="77"/>
        <v>1.3960223819603099</v>
      </c>
    </row>
    <row r="816" spans="1:19">
      <c r="A816" s="18" t="s">
        <v>855</v>
      </c>
      <c r="B816" s="18" t="s">
        <v>20</v>
      </c>
      <c r="C816" s="18" t="s">
        <v>41</v>
      </c>
      <c r="D816" s="19">
        <v>44704</v>
      </c>
      <c r="E816" s="20">
        <v>45314</v>
      </c>
      <c r="F816" s="21">
        <v>23619.200000000001</v>
      </c>
      <c r="G816" s="21">
        <v>8985.6</v>
      </c>
      <c r="H816" s="21">
        <v>5715.2</v>
      </c>
      <c r="I816" s="18">
        <v>3309.68</v>
      </c>
      <c r="J816" s="18">
        <v>5187.232</v>
      </c>
      <c r="K816" s="18" t="s">
        <v>43</v>
      </c>
      <c r="L816" s="18" t="s">
        <v>35</v>
      </c>
      <c r="M816" s="18" t="s">
        <v>24</v>
      </c>
      <c r="N816" s="22">
        <f t="shared" si="72"/>
        <v>0.38043625524996599</v>
      </c>
      <c r="O816" s="22">
        <f t="shared" si="73"/>
        <v>0.63603988603988604</v>
      </c>
      <c r="P816" s="23">
        <f t="shared" si="74"/>
        <v>0.36833155270655299</v>
      </c>
      <c r="Q816" s="23">
        <f t="shared" si="75"/>
        <v>0.579101343784994</v>
      </c>
      <c r="R816" s="22">
        <f t="shared" si="76"/>
        <v>0.56729109762877405</v>
      </c>
      <c r="S816" s="22">
        <f t="shared" si="77"/>
        <v>1.5672910976287699</v>
      </c>
    </row>
    <row r="817" spans="1:19">
      <c r="A817" s="18" t="s">
        <v>856</v>
      </c>
      <c r="B817" s="18" t="s">
        <v>28</v>
      </c>
      <c r="C817" s="18" t="s">
        <v>41</v>
      </c>
      <c r="D817" s="19">
        <v>44758</v>
      </c>
      <c r="E817" s="20">
        <v>45382</v>
      </c>
      <c r="F817" s="21">
        <v>69222.399999999994</v>
      </c>
      <c r="G817" s="21">
        <v>50801.599999999999</v>
      </c>
      <c r="H817" s="21">
        <v>10222.4</v>
      </c>
      <c r="I817" s="18">
        <v>6855.44</v>
      </c>
      <c r="J817" s="18">
        <v>23116.031999999999</v>
      </c>
      <c r="K817" s="18" t="s">
        <v>65</v>
      </c>
      <c r="L817" s="18" t="s">
        <v>50</v>
      </c>
      <c r="M817" s="18" t="s">
        <v>24</v>
      </c>
      <c r="N817" s="22">
        <f t="shared" si="72"/>
        <v>0.73388960798816605</v>
      </c>
      <c r="O817" s="22">
        <f t="shared" si="73"/>
        <v>0.20122200875563001</v>
      </c>
      <c r="P817" s="23">
        <f t="shared" si="74"/>
        <v>0.13494535605177799</v>
      </c>
      <c r="Q817" s="23">
        <f t="shared" si="75"/>
        <v>0.67062920644858304</v>
      </c>
      <c r="R817" s="22">
        <f t="shared" si="76"/>
        <v>2.37192536146476</v>
      </c>
      <c r="S817" s="22">
        <f t="shared" si="77"/>
        <v>3.37192536146476</v>
      </c>
    </row>
    <row r="818" spans="1:19">
      <c r="A818" s="18" t="s">
        <v>857</v>
      </c>
      <c r="B818" s="18" t="s">
        <v>26</v>
      </c>
      <c r="C818" s="18" t="s">
        <v>21</v>
      </c>
      <c r="D818" s="19">
        <v>44726</v>
      </c>
      <c r="E818" s="20">
        <v>45329</v>
      </c>
      <c r="F818" s="21">
        <v>69852.800000000003</v>
      </c>
      <c r="G818" s="21">
        <v>62340.800000000003</v>
      </c>
      <c r="H818" s="21">
        <v>62064</v>
      </c>
      <c r="I818" s="18">
        <v>6342.1120000000001</v>
      </c>
      <c r="J818" s="18">
        <v>13597.312</v>
      </c>
      <c r="K818" s="18" t="s">
        <v>65</v>
      </c>
      <c r="L818" s="18" t="s">
        <v>50</v>
      </c>
      <c r="M818" s="18" t="s">
        <v>32</v>
      </c>
      <c r="N818" s="22">
        <f t="shared" si="72"/>
        <v>0.89245957212881899</v>
      </c>
      <c r="O818" s="22">
        <f t="shared" si="73"/>
        <v>0.99555989015219604</v>
      </c>
      <c r="P818" s="23">
        <f t="shared" si="74"/>
        <v>0.101732926109386</v>
      </c>
      <c r="Q818" s="23">
        <f t="shared" si="75"/>
        <v>0.102186646042795</v>
      </c>
      <c r="R818" s="22">
        <f t="shared" si="76"/>
        <v>1.1439722288095799</v>
      </c>
      <c r="S818" s="22">
        <f t="shared" si="77"/>
        <v>2.1439722288095799</v>
      </c>
    </row>
    <row r="819" spans="1:19">
      <c r="A819" s="18" t="s">
        <v>858</v>
      </c>
      <c r="B819" s="18" t="s">
        <v>47</v>
      </c>
      <c r="C819" s="18" t="s">
        <v>21</v>
      </c>
      <c r="D819" s="19">
        <v>44767</v>
      </c>
      <c r="E819" s="20">
        <v>45383</v>
      </c>
      <c r="F819" s="21">
        <v>64849.599999999999</v>
      </c>
      <c r="G819" s="21">
        <v>64811.199999999997</v>
      </c>
      <c r="H819" s="21">
        <v>11169.6</v>
      </c>
      <c r="I819" s="18">
        <v>2509.9679999999998</v>
      </c>
      <c r="J819" s="18">
        <v>5977.9520000000002</v>
      </c>
      <c r="K819" s="18" t="s">
        <v>38</v>
      </c>
      <c r="L819" s="18" t="s">
        <v>44</v>
      </c>
      <c r="M819" s="18" t="s">
        <v>32</v>
      </c>
      <c r="N819" s="22">
        <f t="shared" si="72"/>
        <v>0.99940786064987297</v>
      </c>
      <c r="O819" s="22">
        <f t="shared" si="73"/>
        <v>0.172340583109092</v>
      </c>
      <c r="P819" s="23">
        <f t="shared" si="74"/>
        <v>3.8727380452761299E-2</v>
      </c>
      <c r="Q819" s="23">
        <f t="shared" si="75"/>
        <v>0.22471422432316299</v>
      </c>
      <c r="R819" s="22">
        <f t="shared" si="76"/>
        <v>1.38168454737272</v>
      </c>
      <c r="S819" s="22">
        <f t="shared" si="77"/>
        <v>2.38168454737272</v>
      </c>
    </row>
    <row r="820" spans="1:19">
      <c r="A820" s="18" t="s">
        <v>859</v>
      </c>
      <c r="B820" s="18" t="s">
        <v>20</v>
      </c>
      <c r="C820" s="18" t="s">
        <v>29</v>
      </c>
      <c r="D820" s="19">
        <v>44784</v>
      </c>
      <c r="E820" s="20">
        <v>45406</v>
      </c>
      <c r="F820" s="21">
        <v>52958.400000000001</v>
      </c>
      <c r="G820" s="21">
        <v>41883.199999999997</v>
      </c>
      <c r="H820" s="21">
        <v>37916.800000000003</v>
      </c>
      <c r="I820" s="18">
        <v>1535.152</v>
      </c>
      <c r="J820" s="18">
        <v>2840.3679999999999</v>
      </c>
      <c r="K820" s="18" t="s">
        <v>43</v>
      </c>
      <c r="L820" s="18" t="s">
        <v>35</v>
      </c>
      <c r="M820" s="18" t="s">
        <v>24</v>
      </c>
      <c r="N820" s="22">
        <f t="shared" si="72"/>
        <v>0.79086981479802998</v>
      </c>
      <c r="O820" s="22">
        <f t="shared" si="73"/>
        <v>0.90529854452381897</v>
      </c>
      <c r="P820" s="23">
        <f t="shared" si="74"/>
        <v>3.66531688123162E-2</v>
      </c>
      <c r="Q820" s="23">
        <f t="shared" si="75"/>
        <v>4.0487382901510702E-2</v>
      </c>
      <c r="R820" s="22">
        <f t="shared" si="76"/>
        <v>0.85021939195597596</v>
      </c>
      <c r="S820" s="22">
        <f t="shared" si="77"/>
        <v>1.85021939195598</v>
      </c>
    </row>
    <row r="821" spans="1:19">
      <c r="A821" s="18" t="s">
        <v>860</v>
      </c>
      <c r="B821" s="18" t="s">
        <v>26</v>
      </c>
      <c r="C821" s="18" t="s">
        <v>48</v>
      </c>
      <c r="D821" s="19">
        <v>44955</v>
      </c>
      <c r="E821" s="20">
        <v>45568</v>
      </c>
      <c r="F821" s="21">
        <v>48352</v>
      </c>
      <c r="G821" s="21">
        <v>43364.800000000003</v>
      </c>
      <c r="H821" s="21">
        <v>40126.400000000001</v>
      </c>
      <c r="I821" s="18">
        <v>4466.5919999999996</v>
      </c>
      <c r="J821" s="18">
        <v>7075.0559999999996</v>
      </c>
      <c r="K821" s="18" t="s">
        <v>22</v>
      </c>
      <c r="L821" s="18" t="s">
        <v>50</v>
      </c>
      <c r="M821" s="18" t="s">
        <v>32</v>
      </c>
      <c r="N821" s="22">
        <f t="shared" si="72"/>
        <v>0.89685638649900701</v>
      </c>
      <c r="O821" s="22">
        <f t="shared" si="73"/>
        <v>0.92532192008264802</v>
      </c>
      <c r="P821" s="23">
        <f t="shared" si="74"/>
        <v>0.10300040585913001</v>
      </c>
      <c r="Q821" s="23">
        <f t="shared" si="75"/>
        <v>0.1113130507596</v>
      </c>
      <c r="R821" s="22">
        <f t="shared" si="76"/>
        <v>0.58399423990371202</v>
      </c>
      <c r="S821" s="22">
        <f t="shared" si="77"/>
        <v>1.5839942399037099</v>
      </c>
    </row>
    <row r="822" spans="1:19">
      <c r="A822" s="18" t="s">
        <v>861</v>
      </c>
      <c r="B822" s="18" t="s">
        <v>34</v>
      </c>
      <c r="C822" s="18" t="s">
        <v>29</v>
      </c>
      <c r="D822" s="19">
        <v>44948</v>
      </c>
      <c r="E822" s="20">
        <v>45567</v>
      </c>
      <c r="F822" s="21">
        <v>38779.199999999997</v>
      </c>
      <c r="G822" s="21">
        <v>13376</v>
      </c>
      <c r="H822" s="21">
        <v>8217.6</v>
      </c>
      <c r="I822" s="18">
        <v>6265.5680000000002</v>
      </c>
      <c r="J822" s="18">
        <v>22922.288</v>
      </c>
      <c r="K822" s="18" t="s">
        <v>22</v>
      </c>
      <c r="L822" s="18" t="s">
        <v>50</v>
      </c>
      <c r="M822" s="18" t="s">
        <v>24</v>
      </c>
      <c r="N822" s="22">
        <f t="shared" si="72"/>
        <v>0.34492717745595602</v>
      </c>
      <c r="O822" s="22">
        <f t="shared" si="73"/>
        <v>0.61435406698564599</v>
      </c>
      <c r="P822" s="23">
        <f t="shared" si="74"/>
        <v>0.46841866028708101</v>
      </c>
      <c r="Q822" s="23">
        <f t="shared" si="75"/>
        <v>0.76245716510903405</v>
      </c>
      <c r="R822" s="22">
        <f t="shared" si="76"/>
        <v>2.6584533118146698</v>
      </c>
      <c r="S822" s="22">
        <f t="shared" si="77"/>
        <v>3.6584533118146698</v>
      </c>
    </row>
    <row r="823" spans="1:19">
      <c r="A823" s="18" t="s">
        <v>862</v>
      </c>
      <c r="B823" s="18" t="s">
        <v>28</v>
      </c>
      <c r="C823" s="18" t="s">
        <v>29</v>
      </c>
      <c r="D823" s="19">
        <v>44726</v>
      </c>
      <c r="E823" s="20">
        <v>45339</v>
      </c>
      <c r="F823" s="21">
        <v>33435.199999999997</v>
      </c>
      <c r="G823" s="21">
        <v>12560</v>
      </c>
      <c r="H823" s="21">
        <v>3124.8</v>
      </c>
      <c r="I823" s="18">
        <v>2517.3919999999998</v>
      </c>
      <c r="J823" s="18">
        <v>8250.1280000000006</v>
      </c>
      <c r="K823" s="18" t="s">
        <v>22</v>
      </c>
      <c r="L823" s="18" t="s">
        <v>31</v>
      </c>
      <c r="M823" s="18" t="s">
        <v>24</v>
      </c>
      <c r="N823" s="22">
        <f t="shared" si="72"/>
        <v>0.37565200746518601</v>
      </c>
      <c r="O823" s="22">
        <f t="shared" si="73"/>
        <v>0.24878980891719699</v>
      </c>
      <c r="P823" s="23">
        <f t="shared" si="74"/>
        <v>0.20042929936305701</v>
      </c>
      <c r="Q823" s="23">
        <f t="shared" si="75"/>
        <v>0.80561699948796694</v>
      </c>
      <c r="R823" s="22">
        <f t="shared" si="76"/>
        <v>2.2772520131946101</v>
      </c>
      <c r="S823" s="22">
        <f t="shared" si="77"/>
        <v>3.2772520131946101</v>
      </c>
    </row>
    <row r="824" spans="1:19">
      <c r="A824" s="18" t="s">
        <v>863</v>
      </c>
      <c r="B824" s="18" t="s">
        <v>47</v>
      </c>
      <c r="C824" s="18" t="s">
        <v>48</v>
      </c>
      <c r="D824" s="19">
        <v>44736</v>
      </c>
      <c r="E824" s="20">
        <v>45361</v>
      </c>
      <c r="F824" s="21">
        <v>36142.400000000001</v>
      </c>
      <c r="G824" s="21">
        <v>29339.200000000001</v>
      </c>
      <c r="H824" s="21">
        <v>17620.8</v>
      </c>
      <c r="I824" s="18">
        <v>4664.2240000000002</v>
      </c>
      <c r="J824" s="18">
        <v>11586.096</v>
      </c>
      <c r="K824" s="18" t="s">
        <v>30</v>
      </c>
      <c r="L824" s="18" t="s">
        <v>50</v>
      </c>
      <c r="M824" s="18" t="s">
        <v>24</v>
      </c>
      <c r="N824" s="22">
        <f t="shared" si="72"/>
        <v>0.81176678914515898</v>
      </c>
      <c r="O824" s="22">
        <f t="shared" si="73"/>
        <v>0.60058897311446802</v>
      </c>
      <c r="P824" s="23">
        <f t="shared" si="74"/>
        <v>0.15897584119539701</v>
      </c>
      <c r="Q824" s="23">
        <f t="shared" si="75"/>
        <v>0.26469990011804201</v>
      </c>
      <c r="R824" s="22">
        <f t="shared" si="76"/>
        <v>1.4840350720720099</v>
      </c>
      <c r="S824" s="22">
        <f t="shared" si="77"/>
        <v>2.4840350720720101</v>
      </c>
    </row>
    <row r="825" spans="1:19">
      <c r="A825" s="18" t="s">
        <v>864</v>
      </c>
      <c r="B825" s="18" t="s">
        <v>20</v>
      </c>
      <c r="C825" s="18" t="s">
        <v>41</v>
      </c>
      <c r="D825" s="19">
        <v>44983</v>
      </c>
      <c r="E825" s="20">
        <v>45611</v>
      </c>
      <c r="F825" s="21">
        <v>51742.400000000001</v>
      </c>
      <c r="G825" s="21">
        <v>13825.6</v>
      </c>
      <c r="H825" s="21">
        <v>4144</v>
      </c>
      <c r="I825" s="18">
        <v>6940.6239999999998</v>
      </c>
      <c r="J825" s="18">
        <v>21143.472000000002</v>
      </c>
      <c r="K825" s="18" t="s">
        <v>38</v>
      </c>
      <c r="L825" s="18" t="s">
        <v>35</v>
      </c>
      <c r="M825" s="18" t="s">
        <v>24</v>
      </c>
      <c r="N825" s="22">
        <f t="shared" si="72"/>
        <v>0.26720059371038102</v>
      </c>
      <c r="O825" s="22">
        <f t="shared" si="73"/>
        <v>0.29973382710334501</v>
      </c>
      <c r="P825" s="23">
        <f t="shared" si="74"/>
        <v>0.50201249855340802</v>
      </c>
      <c r="Q825" s="23">
        <f t="shared" si="75"/>
        <v>1.6748610038609999</v>
      </c>
      <c r="R825" s="22">
        <f t="shared" si="76"/>
        <v>2.0463358914126499</v>
      </c>
      <c r="S825" s="22">
        <f t="shared" si="77"/>
        <v>3.0463358914126499</v>
      </c>
    </row>
    <row r="826" spans="1:19">
      <c r="A826" s="18" t="s">
        <v>865</v>
      </c>
      <c r="B826" s="18" t="s">
        <v>47</v>
      </c>
      <c r="C826" s="18" t="s">
        <v>48</v>
      </c>
      <c r="D826" s="19">
        <v>44952</v>
      </c>
      <c r="E826" s="20">
        <v>45554</v>
      </c>
      <c r="F826" s="21">
        <v>9816</v>
      </c>
      <c r="G826" s="21">
        <v>1937.6</v>
      </c>
      <c r="H826" s="21">
        <v>1166.4000000000001</v>
      </c>
      <c r="I826" s="18">
        <v>1475.568</v>
      </c>
      <c r="J826" s="18">
        <v>5185.92</v>
      </c>
      <c r="K826" s="18" t="s">
        <v>22</v>
      </c>
      <c r="L826" s="18" t="s">
        <v>50</v>
      </c>
      <c r="M826" s="18" t="s">
        <v>24</v>
      </c>
      <c r="N826" s="22">
        <f t="shared" si="72"/>
        <v>0.197392013039935</v>
      </c>
      <c r="O826" s="22">
        <f t="shared" si="73"/>
        <v>0.60198183319570597</v>
      </c>
      <c r="P826" s="23">
        <f t="shared" si="74"/>
        <v>0.761544178364988</v>
      </c>
      <c r="Q826" s="23">
        <f t="shared" si="75"/>
        <v>1.26506172839506</v>
      </c>
      <c r="R826" s="22">
        <f t="shared" si="76"/>
        <v>2.5145245762987498</v>
      </c>
      <c r="S826" s="22">
        <f t="shared" si="77"/>
        <v>3.5145245762987498</v>
      </c>
    </row>
    <row r="827" spans="1:19">
      <c r="A827" s="18" t="s">
        <v>866</v>
      </c>
      <c r="B827" s="18" t="s">
        <v>34</v>
      </c>
      <c r="C827" s="18" t="s">
        <v>48</v>
      </c>
      <c r="D827" s="19">
        <v>44956</v>
      </c>
      <c r="E827" s="20">
        <v>45563</v>
      </c>
      <c r="F827" s="21">
        <v>49329.599999999999</v>
      </c>
      <c r="G827" s="21">
        <v>10414.4</v>
      </c>
      <c r="H827" s="21">
        <v>862.4</v>
      </c>
      <c r="I827" s="18">
        <v>4028.6559999999999</v>
      </c>
      <c r="J827" s="18">
        <v>7578.16</v>
      </c>
      <c r="K827" s="18" t="s">
        <v>38</v>
      </c>
      <c r="L827" s="18" t="s">
        <v>23</v>
      </c>
      <c r="M827" s="18" t="s">
        <v>24</v>
      </c>
      <c r="N827" s="22">
        <f t="shared" si="72"/>
        <v>0.21111867925140301</v>
      </c>
      <c r="O827" s="22">
        <f t="shared" si="73"/>
        <v>8.2808419111998793E-2</v>
      </c>
      <c r="P827" s="23">
        <f t="shared" si="74"/>
        <v>0.38683515132892898</v>
      </c>
      <c r="Q827" s="23">
        <f t="shared" si="75"/>
        <v>4.6714471243042697</v>
      </c>
      <c r="R827" s="22">
        <f t="shared" si="76"/>
        <v>0.88106405709497204</v>
      </c>
      <c r="S827" s="22">
        <f t="shared" si="77"/>
        <v>1.8810640570949699</v>
      </c>
    </row>
    <row r="828" spans="1:19">
      <c r="A828" s="18" t="s">
        <v>867</v>
      </c>
      <c r="B828" s="18" t="s">
        <v>34</v>
      </c>
      <c r="C828" s="18" t="s">
        <v>21</v>
      </c>
      <c r="D828" s="19">
        <v>44817</v>
      </c>
      <c r="E828" s="20">
        <v>45444</v>
      </c>
      <c r="F828" s="21">
        <v>59564.800000000003</v>
      </c>
      <c r="G828" s="21">
        <v>53470.400000000001</v>
      </c>
      <c r="H828" s="21">
        <v>19892.8</v>
      </c>
      <c r="I828" s="18">
        <v>1721.808</v>
      </c>
      <c r="J828" s="18">
        <v>4897.7920000000004</v>
      </c>
      <c r="K828" s="18" t="s">
        <v>22</v>
      </c>
      <c r="L828" s="18" t="s">
        <v>23</v>
      </c>
      <c r="M828" s="18" t="s">
        <v>24</v>
      </c>
      <c r="N828" s="22">
        <f t="shared" si="72"/>
        <v>0.897684538519394</v>
      </c>
      <c r="O828" s="22">
        <f t="shared" si="73"/>
        <v>0.37203387294652701</v>
      </c>
      <c r="P828" s="23">
        <f t="shared" si="74"/>
        <v>3.2201143062329803E-2</v>
      </c>
      <c r="Q828" s="23">
        <f t="shared" si="75"/>
        <v>8.6554331215314098E-2</v>
      </c>
      <c r="R828" s="22">
        <f t="shared" si="76"/>
        <v>1.8445633891816</v>
      </c>
      <c r="S828" s="22">
        <f t="shared" si="77"/>
        <v>2.8445633891815998</v>
      </c>
    </row>
    <row r="829" spans="1:19">
      <c r="A829" s="18" t="s">
        <v>868</v>
      </c>
      <c r="B829" s="18" t="s">
        <v>20</v>
      </c>
      <c r="C829" s="18" t="s">
        <v>29</v>
      </c>
      <c r="D829" s="19">
        <v>44985</v>
      </c>
      <c r="E829" s="20">
        <v>45609</v>
      </c>
      <c r="F829" s="21">
        <v>57934.400000000001</v>
      </c>
      <c r="G829" s="21">
        <v>43116.800000000003</v>
      </c>
      <c r="H829" s="21">
        <v>35584</v>
      </c>
      <c r="I829" s="18">
        <v>3618.2719999999999</v>
      </c>
      <c r="J829" s="18">
        <v>5776.5280000000002</v>
      </c>
      <c r="K829" s="18" t="s">
        <v>43</v>
      </c>
      <c r="L829" s="18" t="s">
        <v>35</v>
      </c>
      <c r="M829" s="18" t="s">
        <v>24</v>
      </c>
      <c r="N829" s="22">
        <f t="shared" si="72"/>
        <v>0.74423485873677797</v>
      </c>
      <c r="O829" s="22">
        <f t="shared" si="73"/>
        <v>0.82529315719162799</v>
      </c>
      <c r="P829" s="23">
        <f t="shared" si="74"/>
        <v>8.3917915986344099E-2</v>
      </c>
      <c r="Q829" s="23">
        <f t="shared" si="75"/>
        <v>0.101682553956835</v>
      </c>
      <c r="R829" s="22">
        <f t="shared" si="76"/>
        <v>0.59648804733309202</v>
      </c>
      <c r="S829" s="22">
        <f t="shared" si="77"/>
        <v>1.59648804733309</v>
      </c>
    </row>
    <row r="830" spans="1:19">
      <c r="A830" s="18" t="s">
        <v>869</v>
      </c>
      <c r="B830" s="18" t="s">
        <v>34</v>
      </c>
      <c r="C830" s="18" t="s">
        <v>41</v>
      </c>
      <c r="D830" s="19">
        <v>44776</v>
      </c>
      <c r="E830" s="20">
        <v>45394</v>
      </c>
      <c r="F830" s="21">
        <v>15259.2</v>
      </c>
      <c r="G830" s="21">
        <v>5400</v>
      </c>
      <c r="H830" s="21">
        <v>2238.4</v>
      </c>
      <c r="I830" s="18">
        <v>3221.28</v>
      </c>
      <c r="J830" s="18">
        <v>4740.24</v>
      </c>
      <c r="K830" s="18" t="s">
        <v>43</v>
      </c>
      <c r="L830" s="18" t="s">
        <v>35</v>
      </c>
      <c r="M830" s="18" t="s">
        <v>24</v>
      </c>
      <c r="N830" s="22">
        <f t="shared" si="72"/>
        <v>0.353884869455804</v>
      </c>
      <c r="O830" s="22">
        <f t="shared" si="73"/>
        <v>0.41451851851851901</v>
      </c>
      <c r="P830" s="23">
        <f t="shared" si="74"/>
        <v>0.59653333333333303</v>
      </c>
      <c r="Q830" s="23">
        <f t="shared" si="75"/>
        <v>1.4390993566833501</v>
      </c>
      <c r="R830" s="22">
        <f t="shared" si="76"/>
        <v>0.47153926389509698</v>
      </c>
      <c r="S830" s="22">
        <f t="shared" si="77"/>
        <v>1.4715392638950999</v>
      </c>
    </row>
    <row r="831" spans="1:19">
      <c r="A831" s="18" t="s">
        <v>870</v>
      </c>
      <c r="B831" s="18" t="s">
        <v>34</v>
      </c>
      <c r="C831" s="18" t="s">
        <v>21</v>
      </c>
      <c r="D831" s="19">
        <v>44756</v>
      </c>
      <c r="E831" s="20">
        <v>45366</v>
      </c>
      <c r="F831" s="21">
        <v>79547.199999999997</v>
      </c>
      <c r="G831" s="21">
        <v>41008</v>
      </c>
      <c r="H831" s="21">
        <v>23940.799999999999</v>
      </c>
      <c r="I831" s="18">
        <v>7726.848</v>
      </c>
      <c r="J831" s="18">
        <v>26044.704000000002</v>
      </c>
      <c r="K831" s="18" t="s">
        <v>30</v>
      </c>
      <c r="L831" s="18" t="s">
        <v>35</v>
      </c>
      <c r="M831" s="18" t="s">
        <v>32</v>
      </c>
      <c r="N831" s="22">
        <f t="shared" si="72"/>
        <v>0.51551783092302395</v>
      </c>
      <c r="O831" s="22">
        <f t="shared" si="73"/>
        <v>0.58380803745610599</v>
      </c>
      <c r="P831" s="23">
        <f t="shared" si="74"/>
        <v>0.188422941865002</v>
      </c>
      <c r="Q831" s="23">
        <f t="shared" si="75"/>
        <v>0.322748112009624</v>
      </c>
      <c r="R831" s="22">
        <f t="shared" si="76"/>
        <v>2.3706763741178798</v>
      </c>
      <c r="S831" s="22">
        <f t="shared" si="77"/>
        <v>3.3706763741178798</v>
      </c>
    </row>
    <row r="832" spans="1:19">
      <c r="A832" s="18" t="s">
        <v>871</v>
      </c>
      <c r="B832" s="18" t="s">
        <v>28</v>
      </c>
      <c r="C832" s="18" t="s">
        <v>21</v>
      </c>
      <c r="D832" s="19">
        <v>44876</v>
      </c>
      <c r="E832" s="20">
        <v>45493</v>
      </c>
      <c r="F832" s="21">
        <v>69576</v>
      </c>
      <c r="G832" s="21">
        <v>2329.6</v>
      </c>
      <c r="H832" s="21">
        <v>2308.8000000000002</v>
      </c>
      <c r="I832" s="18">
        <v>5317.7920000000004</v>
      </c>
      <c r="J832" s="18">
        <v>12666.544</v>
      </c>
      <c r="K832" s="18" t="s">
        <v>65</v>
      </c>
      <c r="L832" s="18" t="s">
        <v>44</v>
      </c>
      <c r="M832" s="18" t="s">
        <v>24</v>
      </c>
      <c r="N832" s="22">
        <f t="shared" si="72"/>
        <v>3.3482810164424497E-2</v>
      </c>
      <c r="O832" s="22">
        <f t="shared" si="73"/>
        <v>0.99107142857142905</v>
      </c>
      <c r="P832" s="23">
        <f t="shared" si="74"/>
        <v>2.2827060439560398</v>
      </c>
      <c r="Q832" s="23">
        <f t="shared" si="75"/>
        <v>2.3032709632709598</v>
      </c>
      <c r="R832" s="22">
        <f t="shared" si="76"/>
        <v>1.3819179087861999</v>
      </c>
      <c r="S832" s="22">
        <f t="shared" si="77"/>
        <v>2.3819179087862001</v>
      </c>
    </row>
    <row r="833" spans="1:19">
      <c r="A833" s="18" t="s">
        <v>872</v>
      </c>
      <c r="B833" s="18" t="s">
        <v>34</v>
      </c>
      <c r="C833" s="18" t="s">
        <v>48</v>
      </c>
      <c r="D833" s="19">
        <v>44784</v>
      </c>
      <c r="E833" s="20">
        <v>45402</v>
      </c>
      <c r="F833" s="21">
        <v>37260.800000000003</v>
      </c>
      <c r="G833" s="21">
        <v>1747.2</v>
      </c>
      <c r="H833" s="21">
        <v>843.2</v>
      </c>
      <c r="I833" s="18">
        <v>7045.3440000000001</v>
      </c>
      <c r="J833" s="18">
        <v>25314.031999999999</v>
      </c>
      <c r="K833" s="18" t="s">
        <v>22</v>
      </c>
      <c r="L833" s="18" t="s">
        <v>35</v>
      </c>
      <c r="M833" s="18" t="s">
        <v>24</v>
      </c>
      <c r="N833" s="22">
        <f t="shared" si="72"/>
        <v>4.6891102713844002E-2</v>
      </c>
      <c r="O833" s="22">
        <f t="shared" si="73"/>
        <v>0.482600732600733</v>
      </c>
      <c r="P833" s="23">
        <f t="shared" si="74"/>
        <v>4.03236263736264</v>
      </c>
      <c r="Q833" s="23">
        <f t="shared" si="75"/>
        <v>8.3554838709677401</v>
      </c>
      <c r="R833" s="22">
        <f t="shared" si="76"/>
        <v>2.5930157562214098</v>
      </c>
      <c r="S833" s="22">
        <f t="shared" si="77"/>
        <v>3.5930157562214098</v>
      </c>
    </row>
    <row r="834" spans="1:19">
      <c r="A834" s="18" t="s">
        <v>873</v>
      </c>
      <c r="B834" s="18" t="s">
        <v>34</v>
      </c>
      <c r="C834" s="18" t="s">
        <v>41</v>
      </c>
      <c r="D834" s="19">
        <v>44728</v>
      </c>
      <c r="E834" s="20">
        <v>45357</v>
      </c>
      <c r="F834" s="21">
        <v>77289.600000000006</v>
      </c>
      <c r="G834" s="21">
        <v>51428.800000000003</v>
      </c>
      <c r="H834" s="21">
        <v>31556.799999999999</v>
      </c>
      <c r="I834" s="18">
        <v>2435.36</v>
      </c>
      <c r="J834" s="18">
        <v>3449.6</v>
      </c>
      <c r="K834" s="18" t="s">
        <v>38</v>
      </c>
      <c r="L834" s="18" t="s">
        <v>35</v>
      </c>
      <c r="M834" s="18" t="s">
        <v>32</v>
      </c>
      <c r="N834" s="22">
        <f t="shared" ref="N834:N897" si="78">G834/F834</f>
        <v>0.66540388357553903</v>
      </c>
      <c r="O834" s="22">
        <f t="shared" ref="O834:O897" si="79">H834/G834</f>
        <v>0.61360171732570101</v>
      </c>
      <c r="P834" s="23">
        <f t="shared" ref="P834:P897" si="80">I834/G834</f>
        <v>4.7354011759947703E-2</v>
      </c>
      <c r="Q834" s="23">
        <f t="shared" ref="Q834:Q897" si="81">I834/H834</f>
        <v>7.7173857932363199E-2</v>
      </c>
      <c r="R834" s="22">
        <f t="shared" ref="R834:R897" si="82">(J834-I834)/I834</f>
        <v>0.41646409565731501</v>
      </c>
      <c r="S834" s="22">
        <f t="shared" ref="S834:S897" si="83">J834/I834</f>
        <v>1.41646409565732</v>
      </c>
    </row>
    <row r="835" spans="1:19">
      <c r="A835" s="18" t="s">
        <v>874</v>
      </c>
      <c r="B835" s="18" t="s">
        <v>28</v>
      </c>
      <c r="C835" s="18" t="s">
        <v>41</v>
      </c>
      <c r="D835" s="19">
        <v>44727</v>
      </c>
      <c r="E835" s="20">
        <v>45347</v>
      </c>
      <c r="F835" s="21">
        <v>57457.599999999999</v>
      </c>
      <c r="G835" s="21">
        <v>49086.400000000001</v>
      </c>
      <c r="H835" s="21">
        <v>45684.800000000003</v>
      </c>
      <c r="I835" s="18">
        <v>3368.848</v>
      </c>
      <c r="J835" s="18">
        <v>5298.7839999999997</v>
      </c>
      <c r="K835" s="18" t="s">
        <v>38</v>
      </c>
      <c r="L835" s="18" t="s">
        <v>23</v>
      </c>
      <c r="M835" s="18" t="s">
        <v>24</v>
      </c>
      <c r="N835" s="22">
        <f t="shared" si="78"/>
        <v>0.85430647990866304</v>
      </c>
      <c r="O835" s="22">
        <f t="shared" si="79"/>
        <v>0.93070178297858497</v>
      </c>
      <c r="P835" s="23">
        <f t="shared" si="80"/>
        <v>6.8630985364581606E-2</v>
      </c>
      <c r="Q835" s="23">
        <f t="shared" si="81"/>
        <v>7.3741113017896501E-2</v>
      </c>
      <c r="R835" s="22">
        <f t="shared" si="82"/>
        <v>0.57287713782278105</v>
      </c>
      <c r="S835" s="22">
        <f t="shared" si="83"/>
        <v>1.5728771378227799</v>
      </c>
    </row>
    <row r="836" spans="1:19">
      <c r="A836" s="18" t="s">
        <v>875</v>
      </c>
      <c r="B836" s="18" t="s">
        <v>26</v>
      </c>
      <c r="C836" s="18" t="s">
        <v>21</v>
      </c>
      <c r="D836" s="19">
        <v>44875</v>
      </c>
      <c r="E836" s="20">
        <v>45502</v>
      </c>
      <c r="F836" s="21">
        <v>24784</v>
      </c>
      <c r="G836" s="21">
        <v>10576</v>
      </c>
      <c r="H836" s="21">
        <v>5427.2</v>
      </c>
      <c r="I836" s="18">
        <v>657.96799999999996</v>
      </c>
      <c r="J836" s="18">
        <v>1485.8720000000001</v>
      </c>
      <c r="K836" s="18" t="s">
        <v>65</v>
      </c>
      <c r="L836" s="18" t="s">
        <v>31</v>
      </c>
      <c r="M836" s="18" t="s">
        <v>24</v>
      </c>
      <c r="N836" s="22">
        <f t="shared" si="78"/>
        <v>0.42672692059393202</v>
      </c>
      <c r="O836" s="22">
        <f t="shared" si="79"/>
        <v>0.51316187594553697</v>
      </c>
      <c r="P836" s="23">
        <f t="shared" si="80"/>
        <v>6.2213313161875901E-2</v>
      </c>
      <c r="Q836" s="23">
        <f t="shared" si="81"/>
        <v>0.121235259433962</v>
      </c>
      <c r="R836" s="22">
        <f t="shared" si="82"/>
        <v>1.25827395861197</v>
      </c>
      <c r="S836" s="22">
        <f t="shared" si="83"/>
        <v>2.2582739586119698</v>
      </c>
    </row>
    <row r="837" spans="1:19">
      <c r="A837" s="18" t="s">
        <v>876</v>
      </c>
      <c r="B837" s="18" t="s">
        <v>34</v>
      </c>
      <c r="C837" s="18" t="s">
        <v>29</v>
      </c>
      <c r="D837" s="19">
        <v>44950</v>
      </c>
      <c r="E837" s="20">
        <v>45571</v>
      </c>
      <c r="F837" s="21">
        <v>26374.400000000001</v>
      </c>
      <c r="G837" s="21">
        <v>5380.8</v>
      </c>
      <c r="H837" s="21">
        <v>3840</v>
      </c>
      <c r="I837" s="18">
        <v>4946.2560000000003</v>
      </c>
      <c r="J837" s="18">
        <v>7507.8720000000003</v>
      </c>
      <c r="K837" s="18" t="s">
        <v>38</v>
      </c>
      <c r="L837" s="18" t="s">
        <v>44</v>
      </c>
      <c r="M837" s="18" t="s">
        <v>24</v>
      </c>
      <c r="N837" s="22">
        <f t="shared" si="78"/>
        <v>0.20401601553021101</v>
      </c>
      <c r="O837" s="22">
        <f t="shared" si="79"/>
        <v>0.71364852809991097</v>
      </c>
      <c r="P837" s="23">
        <f t="shared" si="80"/>
        <v>0.91924174843889395</v>
      </c>
      <c r="Q837" s="23">
        <f t="shared" si="81"/>
        <v>1.2880875000000001</v>
      </c>
      <c r="R837" s="22">
        <f t="shared" si="82"/>
        <v>0.51788989490232595</v>
      </c>
      <c r="S837" s="22">
        <f t="shared" si="83"/>
        <v>1.5178898949023301</v>
      </c>
    </row>
    <row r="838" spans="1:19">
      <c r="A838" s="18" t="s">
        <v>877</v>
      </c>
      <c r="B838" s="18" t="s">
        <v>34</v>
      </c>
      <c r="C838" s="18" t="s">
        <v>21</v>
      </c>
      <c r="D838" s="19">
        <v>44813</v>
      </c>
      <c r="E838" s="20">
        <v>45416</v>
      </c>
      <c r="F838" s="21">
        <v>47936</v>
      </c>
      <c r="G838" s="21">
        <v>27852.799999999999</v>
      </c>
      <c r="H838" s="21">
        <v>3894.4</v>
      </c>
      <c r="I838" s="18">
        <v>3304.9119999999998</v>
      </c>
      <c r="J838" s="18">
        <v>12242.031999999999</v>
      </c>
      <c r="K838" s="18" t="s">
        <v>30</v>
      </c>
      <c r="L838" s="18" t="s">
        <v>50</v>
      </c>
      <c r="M838" s="18" t="s">
        <v>32</v>
      </c>
      <c r="N838" s="22">
        <f t="shared" si="78"/>
        <v>0.581041388518024</v>
      </c>
      <c r="O838" s="22">
        <f t="shared" si="79"/>
        <v>0.13982077205882401</v>
      </c>
      <c r="P838" s="23">
        <f t="shared" si="80"/>
        <v>0.118656364889706</v>
      </c>
      <c r="Q838" s="23">
        <f t="shared" si="81"/>
        <v>0.84863188167625303</v>
      </c>
      <c r="R838" s="22">
        <f t="shared" si="82"/>
        <v>2.7041930314634701</v>
      </c>
      <c r="S838" s="22">
        <f t="shared" si="83"/>
        <v>3.7041930314634701</v>
      </c>
    </row>
    <row r="839" spans="1:19">
      <c r="A839" s="18" t="s">
        <v>878</v>
      </c>
      <c r="B839" s="18" t="s">
        <v>40</v>
      </c>
      <c r="C839" s="18" t="s">
        <v>41</v>
      </c>
      <c r="D839" s="19">
        <v>44725</v>
      </c>
      <c r="E839" s="20">
        <v>45330</v>
      </c>
      <c r="F839" s="21">
        <v>30928</v>
      </c>
      <c r="G839" s="21">
        <v>16974.400000000001</v>
      </c>
      <c r="H839" s="21">
        <v>2456</v>
      </c>
      <c r="I839" s="18">
        <v>707.37599999999998</v>
      </c>
      <c r="J839" s="18">
        <v>1315.088</v>
      </c>
      <c r="K839" s="18" t="s">
        <v>22</v>
      </c>
      <c r="L839" s="18" t="s">
        <v>35</v>
      </c>
      <c r="M839" s="18" t="s">
        <v>32</v>
      </c>
      <c r="N839" s="22">
        <f t="shared" si="78"/>
        <v>0.54883600620796702</v>
      </c>
      <c r="O839" s="22">
        <f t="shared" si="79"/>
        <v>0.144688472052031</v>
      </c>
      <c r="P839" s="23">
        <f t="shared" si="80"/>
        <v>4.1673107738712398E-2</v>
      </c>
      <c r="Q839" s="23">
        <f t="shared" si="81"/>
        <v>0.28801954397394097</v>
      </c>
      <c r="R839" s="22">
        <f t="shared" si="82"/>
        <v>0.85910746194386001</v>
      </c>
      <c r="S839" s="22">
        <f t="shared" si="83"/>
        <v>1.8591074619438599</v>
      </c>
    </row>
    <row r="840" spans="1:19">
      <c r="A840" s="18" t="s">
        <v>879</v>
      </c>
      <c r="B840" s="18" t="s">
        <v>28</v>
      </c>
      <c r="C840" s="18" t="s">
        <v>48</v>
      </c>
      <c r="D840" s="19">
        <v>44735</v>
      </c>
      <c r="E840" s="20">
        <v>45360</v>
      </c>
      <c r="F840" s="21">
        <v>76873.600000000006</v>
      </c>
      <c r="G840" s="21">
        <v>29540.799999999999</v>
      </c>
      <c r="H840" s="21">
        <v>5769.6</v>
      </c>
      <c r="I840" s="18">
        <v>3014.2719999999999</v>
      </c>
      <c r="J840" s="18">
        <v>6954.7839999999997</v>
      </c>
      <c r="K840" s="18" t="s">
        <v>30</v>
      </c>
      <c r="L840" s="18" t="s">
        <v>35</v>
      </c>
      <c r="M840" s="18" t="s">
        <v>32</v>
      </c>
      <c r="N840" s="22">
        <f t="shared" si="78"/>
        <v>0.38427756733130702</v>
      </c>
      <c r="O840" s="22">
        <f t="shared" si="79"/>
        <v>0.19530953799490899</v>
      </c>
      <c r="P840" s="23">
        <f t="shared" si="80"/>
        <v>0.10203758869089501</v>
      </c>
      <c r="Q840" s="23">
        <f t="shared" si="81"/>
        <v>0.522440377149196</v>
      </c>
      <c r="R840" s="22">
        <f t="shared" si="82"/>
        <v>1.30728481039535</v>
      </c>
      <c r="S840" s="22">
        <f t="shared" si="83"/>
        <v>2.30728481039535</v>
      </c>
    </row>
    <row r="841" spans="1:19">
      <c r="A841" s="18" t="s">
        <v>880</v>
      </c>
      <c r="B841" s="18" t="s">
        <v>20</v>
      </c>
      <c r="C841" s="18" t="s">
        <v>48</v>
      </c>
      <c r="D841" s="19">
        <v>44693</v>
      </c>
      <c r="E841" s="20">
        <v>45320</v>
      </c>
      <c r="F841" s="21">
        <v>7204.8</v>
      </c>
      <c r="G841" s="21">
        <v>1355.2</v>
      </c>
      <c r="H841" s="21">
        <v>403.2</v>
      </c>
      <c r="I841" s="18">
        <v>5632.96</v>
      </c>
      <c r="J841" s="18">
        <v>10993.008</v>
      </c>
      <c r="K841" s="18" t="s">
        <v>43</v>
      </c>
      <c r="L841" s="18" t="s">
        <v>31</v>
      </c>
      <c r="M841" s="18" t="s">
        <v>24</v>
      </c>
      <c r="N841" s="22">
        <f t="shared" si="78"/>
        <v>0.18809682433932901</v>
      </c>
      <c r="O841" s="22">
        <f t="shared" si="79"/>
        <v>0.29752066115702502</v>
      </c>
      <c r="P841" s="23">
        <f t="shared" si="80"/>
        <v>4.15655253837072</v>
      </c>
      <c r="Q841" s="23">
        <f t="shared" si="81"/>
        <v>13.9706349206349</v>
      </c>
      <c r="R841" s="22">
        <f t="shared" si="82"/>
        <v>0.95155087201045296</v>
      </c>
      <c r="S841" s="22">
        <f t="shared" si="83"/>
        <v>1.95155087201045</v>
      </c>
    </row>
    <row r="842" spans="1:19">
      <c r="A842" s="18" t="s">
        <v>881</v>
      </c>
      <c r="B842" s="18" t="s">
        <v>26</v>
      </c>
      <c r="C842" s="18" t="s">
        <v>48</v>
      </c>
      <c r="D842" s="19">
        <v>44978</v>
      </c>
      <c r="E842" s="20">
        <v>45581</v>
      </c>
      <c r="F842" s="21">
        <v>46788.800000000003</v>
      </c>
      <c r="G842" s="21">
        <v>30422.400000000001</v>
      </c>
      <c r="H842" s="21">
        <v>4280</v>
      </c>
      <c r="I842" s="18">
        <v>260.57600000000002</v>
      </c>
      <c r="J842" s="18">
        <v>555.77599999999995</v>
      </c>
      <c r="K842" s="18" t="s">
        <v>43</v>
      </c>
      <c r="L842" s="18" t="s">
        <v>50</v>
      </c>
      <c r="M842" s="18" t="s">
        <v>24</v>
      </c>
      <c r="N842" s="22">
        <f t="shared" si="78"/>
        <v>0.650206887118285</v>
      </c>
      <c r="O842" s="22">
        <f t="shared" si="79"/>
        <v>0.140685810455454</v>
      </c>
      <c r="P842" s="23">
        <f t="shared" si="80"/>
        <v>8.5652676974860599E-3</v>
      </c>
      <c r="Q842" s="23">
        <f t="shared" si="81"/>
        <v>6.0882242990654201E-2</v>
      </c>
      <c r="R842" s="22">
        <f t="shared" si="82"/>
        <v>1.1328748618445299</v>
      </c>
      <c r="S842" s="22">
        <f t="shared" si="83"/>
        <v>2.1328748618445301</v>
      </c>
    </row>
    <row r="843" spans="1:19">
      <c r="A843" s="18" t="s">
        <v>882</v>
      </c>
      <c r="B843" s="18" t="s">
        <v>28</v>
      </c>
      <c r="C843" s="18" t="s">
        <v>21</v>
      </c>
      <c r="D843" s="19">
        <v>44874</v>
      </c>
      <c r="E843" s="20">
        <v>45478</v>
      </c>
      <c r="F843" s="21">
        <v>47657.599999999999</v>
      </c>
      <c r="G843" s="21">
        <v>22732.799999999999</v>
      </c>
      <c r="H843" s="21">
        <v>15324.8</v>
      </c>
      <c r="I843" s="18">
        <v>5931.3119999999999</v>
      </c>
      <c r="J843" s="18">
        <v>7324.576</v>
      </c>
      <c r="K843" s="18" t="s">
        <v>30</v>
      </c>
      <c r="L843" s="18" t="s">
        <v>50</v>
      </c>
      <c r="M843" s="18" t="s">
        <v>24</v>
      </c>
      <c r="N843" s="22">
        <f t="shared" si="78"/>
        <v>0.477002618679917</v>
      </c>
      <c r="O843" s="22">
        <f t="shared" si="79"/>
        <v>0.67412725225225201</v>
      </c>
      <c r="P843" s="23">
        <f t="shared" si="80"/>
        <v>0.260914273648649</v>
      </c>
      <c r="Q843" s="23">
        <f t="shared" si="81"/>
        <v>0.38704009187721899</v>
      </c>
      <c r="R843" s="22">
        <f t="shared" si="82"/>
        <v>0.234899799572169</v>
      </c>
      <c r="S843" s="22">
        <f t="shared" si="83"/>
        <v>1.23489979957217</v>
      </c>
    </row>
    <row r="844" spans="1:19">
      <c r="A844" s="18" t="s">
        <v>883</v>
      </c>
      <c r="B844" s="18" t="s">
        <v>47</v>
      </c>
      <c r="C844" s="18" t="s">
        <v>29</v>
      </c>
      <c r="D844" s="19">
        <v>44950</v>
      </c>
      <c r="E844" s="20">
        <v>45573</v>
      </c>
      <c r="F844" s="21">
        <v>51848</v>
      </c>
      <c r="G844" s="21">
        <v>19328</v>
      </c>
      <c r="H844" s="21">
        <v>3945.6</v>
      </c>
      <c r="I844" s="18">
        <v>4632.3680000000004</v>
      </c>
      <c r="J844" s="18">
        <v>7432.5119999999997</v>
      </c>
      <c r="K844" s="18" t="s">
        <v>43</v>
      </c>
      <c r="L844" s="18" t="s">
        <v>44</v>
      </c>
      <c r="M844" s="18" t="s">
        <v>24</v>
      </c>
      <c r="N844" s="22">
        <f t="shared" si="78"/>
        <v>0.37278197808980101</v>
      </c>
      <c r="O844" s="22">
        <f t="shared" si="79"/>
        <v>0.20413907284768201</v>
      </c>
      <c r="P844" s="23">
        <f t="shared" si="80"/>
        <v>0.239671357615894</v>
      </c>
      <c r="Q844" s="23">
        <f t="shared" si="81"/>
        <v>1.17405920519059</v>
      </c>
      <c r="R844" s="22">
        <f t="shared" si="82"/>
        <v>0.60447356513990202</v>
      </c>
      <c r="S844" s="22">
        <f t="shared" si="83"/>
        <v>1.6044735651399</v>
      </c>
    </row>
    <row r="845" spans="1:19">
      <c r="A845" s="18" t="s">
        <v>884</v>
      </c>
      <c r="B845" s="18" t="s">
        <v>28</v>
      </c>
      <c r="C845" s="18" t="s">
        <v>21</v>
      </c>
      <c r="D845" s="19">
        <v>44856</v>
      </c>
      <c r="E845" s="20">
        <v>45461</v>
      </c>
      <c r="F845" s="21">
        <v>18419.2</v>
      </c>
      <c r="G845" s="21">
        <v>10809.6</v>
      </c>
      <c r="H845" s="21">
        <v>792</v>
      </c>
      <c r="I845" s="18">
        <v>2720.944</v>
      </c>
      <c r="J845" s="18">
        <v>9389.5519999999997</v>
      </c>
      <c r="K845" s="18" t="s">
        <v>43</v>
      </c>
      <c r="L845" s="18" t="s">
        <v>50</v>
      </c>
      <c r="M845" s="18" t="s">
        <v>24</v>
      </c>
      <c r="N845" s="22">
        <f t="shared" si="78"/>
        <v>0.58686587908269605</v>
      </c>
      <c r="O845" s="22">
        <f t="shared" si="79"/>
        <v>7.3268206039076397E-2</v>
      </c>
      <c r="P845" s="23">
        <f t="shared" si="80"/>
        <v>0.25171551213735899</v>
      </c>
      <c r="Q845" s="23">
        <f t="shared" si="81"/>
        <v>3.4355353535353501</v>
      </c>
      <c r="R845" s="22">
        <f t="shared" si="82"/>
        <v>2.4508435307746099</v>
      </c>
      <c r="S845" s="22">
        <f t="shared" si="83"/>
        <v>3.4508435307746099</v>
      </c>
    </row>
    <row r="846" spans="1:19">
      <c r="A846" s="18" t="s">
        <v>885</v>
      </c>
      <c r="B846" s="18" t="s">
        <v>40</v>
      </c>
      <c r="C846" s="18" t="s">
        <v>21</v>
      </c>
      <c r="D846" s="19">
        <v>44766</v>
      </c>
      <c r="E846" s="20">
        <v>45372</v>
      </c>
      <c r="F846" s="21">
        <v>56867.199999999997</v>
      </c>
      <c r="G846" s="21">
        <v>52812.800000000003</v>
      </c>
      <c r="H846" s="21">
        <v>7715.2</v>
      </c>
      <c r="I846" s="18">
        <v>232.83199999999999</v>
      </c>
      <c r="J846" s="18">
        <v>743.66399999999999</v>
      </c>
      <c r="K846" s="18" t="s">
        <v>22</v>
      </c>
      <c r="L846" s="18" t="s">
        <v>50</v>
      </c>
      <c r="M846" s="18" t="s">
        <v>24</v>
      </c>
      <c r="N846" s="22">
        <f t="shared" si="78"/>
        <v>0.92870406842608799</v>
      </c>
      <c r="O846" s="22">
        <f t="shared" si="79"/>
        <v>0.146085797382453</v>
      </c>
      <c r="P846" s="23">
        <f t="shared" si="80"/>
        <v>4.4086282113426998E-3</v>
      </c>
      <c r="Q846" s="23">
        <f t="shared" si="81"/>
        <v>3.0178349232683501E-2</v>
      </c>
      <c r="R846" s="22">
        <f t="shared" si="82"/>
        <v>2.1939939527212799</v>
      </c>
      <c r="S846" s="22">
        <f t="shared" si="83"/>
        <v>3.1939939527212799</v>
      </c>
    </row>
    <row r="847" spans="1:19">
      <c r="A847" s="18" t="s">
        <v>886</v>
      </c>
      <c r="B847" s="18" t="s">
        <v>28</v>
      </c>
      <c r="C847" s="18" t="s">
        <v>21</v>
      </c>
      <c r="D847" s="19">
        <v>44885</v>
      </c>
      <c r="E847" s="20">
        <v>45498</v>
      </c>
      <c r="F847" s="21">
        <v>33780.800000000003</v>
      </c>
      <c r="G847" s="21">
        <v>5326.4</v>
      </c>
      <c r="H847" s="21">
        <v>4320</v>
      </c>
      <c r="I847" s="18">
        <v>6299.0559999999996</v>
      </c>
      <c r="J847" s="18">
        <v>16787.504000000001</v>
      </c>
      <c r="K847" s="18" t="s">
        <v>43</v>
      </c>
      <c r="L847" s="18" t="s">
        <v>50</v>
      </c>
      <c r="M847" s="18" t="s">
        <v>24</v>
      </c>
      <c r="N847" s="22">
        <f t="shared" si="78"/>
        <v>0.15767536588831499</v>
      </c>
      <c r="O847" s="22">
        <f t="shared" si="79"/>
        <v>0.81105437068188602</v>
      </c>
      <c r="P847" s="23">
        <f t="shared" si="80"/>
        <v>1.1826103935115699</v>
      </c>
      <c r="Q847" s="23">
        <f t="shared" si="81"/>
        <v>1.45811481481481</v>
      </c>
      <c r="R847" s="22">
        <f t="shared" si="82"/>
        <v>1.6650825139512999</v>
      </c>
      <c r="S847" s="22">
        <f t="shared" si="83"/>
        <v>2.6650825139513001</v>
      </c>
    </row>
    <row r="848" spans="1:19">
      <c r="A848" s="18" t="s">
        <v>887</v>
      </c>
      <c r="B848" s="18" t="s">
        <v>47</v>
      </c>
      <c r="C848" s="18" t="s">
        <v>21</v>
      </c>
      <c r="D848" s="19">
        <v>44870</v>
      </c>
      <c r="E848" s="20">
        <v>45491</v>
      </c>
      <c r="F848" s="21">
        <v>39164.800000000003</v>
      </c>
      <c r="G848" s="21">
        <v>8056</v>
      </c>
      <c r="H848" s="21">
        <v>5361.6</v>
      </c>
      <c r="I848" s="18">
        <v>537.6</v>
      </c>
      <c r="J848" s="18">
        <v>1744.704</v>
      </c>
      <c r="K848" s="18" t="s">
        <v>38</v>
      </c>
      <c r="L848" s="18" t="s">
        <v>44</v>
      </c>
      <c r="M848" s="18" t="s">
        <v>24</v>
      </c>
      <c r="N848" s="22">
        <f t="shared" si="78"/>
        <v>0.205694909714846</v>
      </c>
      <c r="O848" s="22">
        <f t="shared" si="79"/>
        <v>0.66554121151936496</v>
      </c>
      <c r="P848" s="23">
        <f t="shared" si="80"/>
        <v>6.6732869910625603E-2</v>
      </c>
      <c r="Q848" s="23">
        <f t="shared" si="81"/>
        <v>0.10026857654431499</v>
      </c>
      <c r="R848" s="22">
        <f t="shared" si="82"/>
        <v>2.2453571428571402</v>
      </c>
      <c r="S848" s="22">
        <f t="shared" si="83"/>
        <v>3.2453571428571402</v>
      </c>
    </row>
    <row r="849" spans="1:19">
      <c r="A849" s="18" t="s">
        <v>888</v>
      </c>
      <c r="B849" s="18" t="s">
        <v>28</v>
      </c>
      <c r="C849" s="18" t="s">
        <v>21</v>
      </c>
      <c r="D849" s="19">
        <v>44866</v>
      </c>
      <c r="E849" s="20">
        <v>45479</v>
      </c>
      <c r="F849" s="21">
        <v>15819.2</v>
      </c>
      <c r="G849" s="21">
        <v>9755.2000000000007</v>
      </c>
      <c r="H849" s="21">
        <v>4961.6000000000004</v>
      </c>
      <c r="I849" s="18">
        <v>3540.24</v>
      </c>
      <c r="J849" s="18">
        <v>10748.415999999999</v>
      </c>
      <c r="K849" s="18" t="s">
        <v>38</v>
      </c>
      <c r="L849" s="18" t="s">
        <v>50</v>
      </c>
      <c r="M849" s="18" t="s">
        <v>24</v>
      </c>
      <c r="N849" s="22">
        <f t="shared" si="78"/>
        <v>0.61666835238191597</v>
      </c>
      <c r="O849" s="22">
        <f t="shared" si="79"/>
        <v>0.50861079219288197</v>
      </c>
      <c r="P849" s="23">
        <f t="shared" si="80"/>
        <v>0.36290798753485298</v>
      </c>
      <c r="Q849" s="23">
        <f t="shared" si="81"/>
        <v>0.71352789422766805</v>
      </c>
      <c r="R849" s="22">
        <f t="shared" si="82"/>
        <v>2.0360698709691998</v>
      </c>
      <c r="S849" s="22">
        <f t="shared" si="83"/>
        <v>3.0360698709691998</v>
      </c>
    </row>
    <row r="850" spans="1:19">
      <c r="A850" s="18" t="s">
        <v>889</v>
      </c>
      <c r="B850" s="18" t="s">
        <v>20</v>
      </c>
      <c r="C850" s="18" t="s">
        <v>21</v>
      </c>
      <c r="D850" s="19">
        <v>44944</v>
      </c>
      <c r="E850" s="20">
        <v>45548</v>
      </c>
      <c r="F850" s="21">
        <v>8528</v>
      </c>
      <c r="G850" s="21">
        <v>8249.6</v>
      </c>
      <c r="H850" s="21">
        <v>2976</v>
      </c>
      <c r="I850" s="18">
        <v>6164.48</v>
      </c>
      <c r="J850" s="18">
        <v>15199.727999999999</v>
      </c>
      <c r="K850" s="18" t="s">
        <v>65</v>
      </c>
      <c r="L850" s="18" t="s">
        <v>44</v>
      </c>
      <c r="M850" s="18" t="s">
        <v>24</v>
      </c>
      <c r="N850" s="22">
        <f t="shared" si="78"/>
        <v>0.96735459662288903</v>
      </c>
      <c r="O850" s="22">
        <f t="shared" si="79"/>
        <v>0.36074476338246703</v>
      </c>
      <c r="P850" s="23">
        <f t="shared" si="80"/>
        <v>0.74724592707525195</v>
      </c>
      <c r="Q850" s="23">
        <f t="shared" si="81"/>
        <v>2.0713978494623699</v>
      </c>
      <c r="R850" s="22">
        <f t="shared" si="82"/>
        <v>1.46569507890365</v>
      </c>
      <c r="S850" s="22">
        <f t="shared" si="83"/>
        <v>2.46569507890365</v>
      </c>
    </row>
    <row r="851" spans="1:19">
      <c r="A851" s="18" t="s">
        <v>890</v>
      </c>
      <c r="B851" s="18" t="s">
        <v>20</v>
      </c>
      <c r="C851" s="18" t="s">
        <v>29</v>
      </c>
      <c r="D851" s="19">
        <v>44842</v>
      </c>
      <c r="E851" s="20">
        <v>45451</v>
      </c>
      <c r="F851" s="21">
        <v>64244.800000000003</v>
      </c>
      <c r="G851" s="21">
        <v>31208</v>
      </c>
      <c r="H851" s="21">
        <v>9633.6</v>
      </c>
      <c r="I851" s="18">
        <v>4346.5280000000002</v>
      </c>
      <c r="J851" s="18">
        <v>11950.688</v>
      </c>
      <c r="K851" s="18" t="s">
        <v>22</v>
      </c>
      <c r="L851" s="18" t="s">
        <v>31</v>
      </c>
      <c r="M851" s="18" t="s">
        <v>24</v>
      </c>
      <c r="N851" s="22">
        <f t="shared" si="78"/>
        <v>0.48576694144895799</v>
      </c>
      <c r="O851" s="22">
        <f t="shared" si="79"/>
        <v>0.30869007946680299</v>
      </c>
      <c r="P851" s="23">
        <f t="shared" si="80"/>
        <v>0.139276083055627</v>
      </c>
      <c r="Q851" s="23">
        <f t="shared" si="81"/>
        <v>0.45118418867297799</v>
      </c>
      <c r="R851" s="22">
        <f t="shared" si="82"/>
        <v>1.7494791244874099</v>
      </c>
      <c r="S851" s="22">
        <f t="shared" si="83"/>
        <v>2.7494791244874102</v>
      </c>
    </row>
    <row r="852" spans="1:19">
      <c r="A852" s="18" t="s">
        <v>891</v>
      </c>
      <c r="B852" s="18" t="s">
        <v>26</v>
      </c>
      <c r="C852" s="18" t="s">
        <v>48</v>
      </c>
      <c r="D852" s="19">
        <v>44743</v>
      </c>
      <c r="E852" s="20">
        <v>45359</v>
      </c>
      <c r="F852" s="21">
        <v>2955.2</v>
      </c>
      <c r="G852" s="21">
        <v>915.2</v>
      </c>
      <c r="H852" s="21">
        <v>574.4</v>
      </c>
      <c r="I852" s="18">
        <v>1349.9839999999999</v>
      </c>
      <c r="J852" s="18">
        <v>2160.096</v>
      </c>
      <c r="K852" s="18" t="s">
        <v>43</v>
      </c>
      <c r="L852" s="18" t="s">
        <v>44</v>
      </c>
      <c r="M852" s="18" t="s">
        <v>24</v>
      </c>
      <c r="N852" s="22">
        <f t="shared" si="78"/>
        <v>0.30969139144558699</v>
      </c>
      <c r="O852" s="22">
        <f t="shared" si="79"/>
        <v>0.62762237762237805</v>
      </c>
      <c r="P852" s="23">
        <f t="shared" si="80"/>
        <v>1.4750699300699299</v>
      </c>
      <c r="Q852" s="23">
        <f t="shared" si="81"/>
        <v>2.3502506963788301</v>
      </c>
      <c r="R852" s="22">
        <f t="shared" si="82"/>
        <v>0.60009007514163104</v>
      </c>
      <c r="S852" s="22">
        <f t="shared" si="83"/>
        <v>1.60009007514163</v>
      </c>
    </row>
    <row r="853" spans="1:19">
      <c r="A853" s="18" t="s">
        <v>892</v>
      </c>
      <c r="B853" s="18" t="s">
        <v>28</v>
      </c>
      <c r="C853" s="18" t="s">
        <v>48</v>
      </c>
      <c r="D853" s="19">
        <v>44955</v>
      </c>
      <c r="E853" s="20">
        <v>45560</v>
      </c>
      <c r="F853" s="21">
        <v>26934.400000000001</v>
      </c>
      <c r="G853" s="21">
        <v>21772.799999999999</v>
      </c>
      <c r="H853" s="21">
        <v>19625.599999999999</v>
      </c>
      <c r="I853" s="18">
        <v>3544.3679999999999</v>
      </c>
      <c r="J853" s="18">
        <v>8307.1039999999994</v>
      </c>
      <c r="K853" s="18" t="s">
        <v>65</v>
      </c>
      <c r="L853" s="18" t="s">
        <v>31</v>
      </c>
      <c r="M853" s="18" t="s">
        <v>24</v>
      </c>
      <c r="N853" s="22">
        <f t="shared" si="78"/>
        <v>0.80836402518712103</v>
      </c>
      <c r="O853" s="22">
        <f t="shared" si="79"/>
        <v>0.90138154027042905</v>
      </c>
      <c r="P853" s="23">
        <f t="shared" si="80"/>
        <v>0.162788800705467</v>
      </c>
      <c r="Q853" s="23">
        <f t="shared" si="81"/>
        <v>0.18059921734876899</v>
      </c>
      <c r="R853" s="22">
        <f t="shared" si="82"/>
        <v>1.3437476018291601</v>
      </c>
      <c r="S853" s="22">
        <f t="shared" si="83"/>
        <v>2.3437476018291599</v>
      </c>
    </row>
    <row r="854" spans="1:19">
      <c r="A854" s="18" t="s">
        <v>893</v>
      </c>
      <c r="B854" s="18" t="s">
        <v>28</v>
      </c>
      <c r="C854" s="18" t="s">
        <v>21</v>
      </c>
      <c r="D854" s="19">
        <v>44813</v>
      </c>
      <c r="E854" s="20">
        <v>45429</v>
      </c>
      <c r="F854" s="21">
        <v>70646.399999999994</v>
      </c>
      <c r="G854" s="21">
        <v>30521.599999999999</v>
      </c>
      <c r="H854" s="21">
        <v>681.6</v>
      </c>
      <c r="I854" s="18">
        <v>3513.616</v>
      </c>
      <c r="J854" s="18">
        <v>9632.1280000000006</v>
      </c>
      <c r="K854" s="18" t="s">
        <v>38</v>
      </c>
      <c r="L854" s="18" t="s">
        <v>23</v>
      </c>
      <c r="M854" s="18" t="s">
        <v>24</v>
      </c>
      <c r="N854" s="22">
        <f t="shared" si="78"/>
        <v>0.43203333786293402</v>
      </c>
      <c r="O854" s="22">
        <f t="shared" si="79"/>
        <v>2.2331725728664299E-2</v>
      </c>
      <c r="P854" s="23">
        <f t="shared" si="80"/>
        <v>0.115118997693437</v>
      </c>
      <c r="Q854" s="23">
        <f t="shared" si="81"/>
        <v>5.1549530516431901</v>
      </c>
      <c r="R854" s="22">
        <f t="shared" si="82"/>
        <v>1.74137185167645</v>
      </c>
      <c r="S854" s="22">
        <f t="shared" si="83"/>
        <v>2.7413718516764498</v>
      </c>
    </row>
    <row r="855" spans="1:19">
      <c r="A855" s="18" t="s">
        <v>894</v>
      </c>
      <c r="B855" s="18" t="s">
        <v>40</v>
      </c>
      <c r="C855" s="18" t="s">
        <v>41</v>
      </c>
      <c r="D855" s="19">
        <v>44747</v>
      </c>
      <c r="E855" s="20">
        <v>45365</v>
      </c>
      <c r="F855" s="21">
        <v>33587.199999999997</v>
      </c>
      <c r="G855" s="21">
        <v>25576</v>
      </c>
      <c r="H855" s="21">
        <v>14324.8</v>
      </c>
      <c r="I855" s="18">
        <v>5498</v>
      </c>
      <c r="J855" s="18">
        <v>14459.712</v>
      </c>
      <c r="K855" s="18" t="s">
        <v>30</v>
      </c>
      <c r="L855" s="18" t="s">
        <v>31</v>
      </c>
      <c r="M855" s="18" t="s">
        <v>24</v>
      </c>
      <c r="N855" s="22">
        <f t="shared" si="78"/>
        <v>0.76148056402439002</v>
      </c>
      <c r="O855" s="22">
        <f t="shared" si="79"/>
        <v>0.56008758210822596</v>
      </c>
      <c r="P855" s="23">
        <f t="shared" si="80"/>
        <v>0.21496715670941499</v>
      </c>
      <c r="Q855" s="23">
        <f t="shared" si="81"/>
        <v>0.38380989612420402</v>
      </c>
      <c r="R855" s="22">
        <f t="shared" si="82"/>
        <v>1.6299949072390001</v>
      </c>
      <c r="S855" s="22">
        <f t="shared" si="83"/>
        <v>2.6299949072389999</v>
      </c>
    </row>
    <row r="856" spans="1:19">
      <c r="A856" s="18" t="s">
        <v>895</v>
      </c>
      <c r="B856" s="18" t="s">
        <v>20</v>
      </c>
      <c r="C856" s="18" t="s">
        <v>29</v>
      </c>
      <c r="D856" s="19">
        <v>44702</v>
      </c>
      <c r="E856" s="20">
        <v>45305</v>
      </c>
      <c r="F856" s="21">
        <v>66057.600000000006</v>
      </c>
      <c r="G856" s="21">
        <v>23148.799999999999</v>
      </c>
      <c r="H856" s="21">
        <v>363.2</v>
      </c>
      <c r="I856" s="18">
        <v>3514.6880000000001</v>
      </c>
      <c r="J856" s="18">
        <v>12246.8</v>
      </c>
      <c r="K856" s="18" t="s">
        <v>65</v>
      </c>
      <c r="L856" s="18" t="s">
        <v>23</v>
      </c>
      <c r="M856" s="18" t="s">
        <v>32</v>
      </c>
      <c r="N856" s="22">
        <f t="shared" si="78"/>
        <v>0.35043356101341899</v>
      </c>
      <c r="O856" s="22">
        <f t="shared" si="79"/>
        <v>1.56897981752834E-2</v>
      </c>
      <c r="P856" s="23">
        <f t="shared" si="80"/>
        <v>0.15183024606027101</v>
      </c>
      <c r="Q856" s="23">
        <f t="shared" si="81"/>
        <v>9.6770044052863398</v>
      </c>
      <c r="R856" s="22">
        <f t="shared" si="82"/>
        <v>2.4844629167652998</v>
      </c>
      <c r="S856" s="22">
        <f t="shared" si="83"/>
        <v>3.4844629167652998</v>
      </c>
    </row>
    <row r="857" spans="1:19">
      <c r="A857" s="18" t="s">
        <v>896</v>
      </c>
      <c r="B857" s="18" t="s">
        <v>40</v>
      </c>
      <c r="C857" s="18" t="s">
        <v>41</v>
      </c>
      <c r="D857" s="19">
        <v>44813</v>
      </c>
      <c r="E857" s="20">
        <v>45436</v>
      </c>
      <c r="F857" s="21">
        <v>32196.799999999999</v>
      </c>
      <c r="G857" s="21">
        <v>23459.200000000001</v>
      </c>
      <c r="H857" s="21">
        <v>1731.2</v>
      </c>
      <c r="I857" s="18">
        <v>5680.64</v>
      </c>
      <c r="J857" s="18">
        <v>10940.592000000001</v>
      </c>
      <c r="K857" s="18" t="s">
        <v>30</v>
      </c>
      <c r="L857" s="18" t="s">
        <v>44</v>
      </c>
      <c r="M857" s="18" t="s">
        <v>24</v>
      </c>
      <c r="N857" s="22">
        <f t="shared" si="78"/>
        <v>0.72861899319186996</v>
      </c>
      <c r="O857" s="22">
        <f t="shared" si="79"/>
        <v>7.3796207884326795E-2</v>
      </c>
      <c r="P857" s="23">
        <f t="shared" si="80"/>
        <v>0.24214977492838599</v>
      </c>
      <c r="Q857" s="23">
        <f t="shared" si="81"/>
        <v>3.2813308687615499</v>
      </c>
      <c r="R857" s="22">
        <f t="shared" si="82"/>
        <v>0.92594355565570097</v>
      </c>
      <c r="S857" s="22">
        <f t="shared" si="83"/>
        <v>1.9259435556557001</v>
      </c>
    </row>
    <row r="858" spans="1:19">
      <c r="A858" s="18" t="s">
        <v>897</v>
      </c>
      <c r="B858" s="18" t="s">
        <v>26</v>
      </c>
      <c r="C858" s="18" t="s">
        <v>21</v>
      </c>
      <c r="D858" s="19">
        <v>44751</v>
      </c>
      <c r="E858" s="20">
        <v>45378</v>
      </c>
      <c r="F858" s="21">
        <v>22403.200000000001</v>
      </c>
      <c r="G858" s="21">
        <v>19076.8</v>
      </c>
      <c r="H858" s="21">
        <v>9539.2000000000007</v>
      </c>
      <c r="I858" s="18">
        <v>3977.9679999999998</v>
      </c>
      <c r="J858" s="18">
        <v>11821.968000000001</v>
      </c>
      <c r="K858" s="18" t="s">
        <v>43</v>
      </c>
      <c r="L858" s="18" t="s">
        <v>50</v>
      </c>
      <c r="M858" s="18" t="s">
        <v>32</v>
      </c>
      <c r="N858" s="22">
        <f t="shared" si="78"/>
        <v>0.85152121125553504</v>
      </c>
      <c r="O858" s="22">
        <f t="shared" si="79"/>
        <v>0.50004193575442402</v>
      </c>
      <c r="P858" s="23">
        <f t="shared" si="80"/>
        <v>0.20852386144426699</v>
      </c>
      <c r="Q858" s="23">
        <f t="shared" si="81"/>
        <v>0.417012747400201</v>
      </c>
      <c r="R858" s="22">
        <f t="shared" si="82"/>
        <v>1.9718610104455301</v>
      </c>
      <c r="S858" s="22">
        <f t="shared" si="83"/>
        <v>2.9718610104455299</v>
      </c>
    </row>
    <row r="859" spans="1:19">
      <c r="A859" s="18" t="s">
        <v>898</v>
      </c>
      <c r="B859" s="18" t="s">
        <v>28</v>
      </c>
      <c r="C859" s="18" t="s">
        <v>48</v>
      </c>
      <c r="D859" s="19">
        <v>44917</v>
      </c>
      <c r="E859" s="20">
        <v>45542</v>
      </c>
      <c r="F859" s="21">
        <v>44163.199999999997</v>
      </c>
      <c r="G859" s="21">
        <v>18724.8</v>
      </c>
      <c r="H859" s="21">
        <v>13960</v>
      </c>
      <c r="I859" s="18">
        <v>5607.28</v>
      </c>
      <c r="J859" s="18">
        <v>8013.0879999999997</v>
      </c>
      <c r="K859" s="18" t="s">
        <v>30</v>
      </c>
      <c r="L859" s="18" t="s">
        <v>35</v>
      </c>
      <c r="M859" s="18" t="s">
        <v>24</v>
      </c>
      <c r="N859" s="22">
        <f t="shared" si="78"/>
        <v>0.42399101514382997</v>
      </c>
      <c r="O859" s="22">
        <f t="shared" si="79"/>
        <v>0.74553533282064399</v>
      </c>
      <c r="P859" s="23">
        <f t="shared" si="80"/>
        <v>0.29945740408442301</v>
      </c>
      <c r="Q859" s="23">
        <f t="shared" si="81"/>
        <v>0.401667621776504</v>
      </c>
      <c r="R859" s="22">
        <f t="shared" si="82"/>
        <v>0.42905080538157497</v>
      </c>
      <c r="S859" s="22">
        <f t="shared" si="83"/>
        <v>1.42905080538158</v>
      </c>
    </row>
    <row r="860" spans="1:19">
      <c r="A860" s="18" t="s">
        <v>899</v>
      </c>
      <c r="B860" s="18" t="s">
        <v>20</v>
      </c>
      <c r="C860" s="18" t="s">
        <v>29</v>
      </c>
      <c r="D860" s="19">
        <v>44725</v>
      </c>
      <c r="E860" s="20">
        <v>45331</v>
      </c>
      <c r="F860" s="21">
        <v>23601.599999999999</v>
      </c>
      <c r="G860" s="21">
        <v>5580.8</v>
      </c>
      <c r="H860" s="21">
        <v>561.6</v>
      </c>
      <c r="I860" s="18">
        <v>2549.3919999999998</v>
      </c>
      <c r="J860" s="18">
        <v>9526.8639999999996</v>
      </c>
      <c r="K860" s="18" t="s">
        <v>38</v>
      </c>
      <c r="L860" s="18" t="s">
        <v>44</v>
      </c>
      <c r="M860" s="18" t="s">
        <v>32</v>
      </c>
      <c r="N860" s="22">
        <f t="shared" si="78"/>
        <v>0.236458545183377</v>
      </c>
      <c r="O860" s="22">
        <f t="shared" si="79"/>
        <v>0.100630733944954</v>
      </c>
      <c r="P860" s="23">
        <f t="shared" si="80"/>
        <v>0.45681479357798199</v>
      </c>
      <c r="Q860" s="23">
        <f t="shared" si="81"/>
        <v>4.5395156695156702</v>
      </c>
      <c r="R860" s="22">
        <f t="shared" si="82"/>
        <v>2.7369160960731</v>
      </c>
      <c r="S860" s="22">
        <f t="shared" si="83"/>
        <v>3.7369160960731</v>
      </c>
    </row>
    <row r="861" spans="1:19">
      <c r="A861" s="18" t="s">
        <v>900</v>
      </c>
      <c r="B861" s="18" t="s">
        <v>40</v>
      </c>
      <c r="C861" s="18" t="s">
        <v>21</v>
      </c>
      <c r="D861" s="19">
        <v>44876</v>
      </c>
      <c r="E861" s="20">
        <v>45485</v>
      </c>
      <c r="F861" s="21">
        <v>67172.800000000003</v>
      </c>
      <c r="G861" s="21">
        <v>24398.400000000001</v>
      </c>
      <c r="H861" s="21">
        <v>24049.599999999999</v>
      </c>
      <c r="I861" s="18">
        <v>4478.9279999999999</v>
      </c>
      <c r="J861" s="18">
        <v>8558.848</v>
      </c>
      <c r="K861" s="18" t="s">
        <v>30</v>
      </c>
      <c r="L861" s="18" t="s">
        <v>35</v>
      </c>
      <c r="M861" s="18" t="s">
        <v>24</v>
      </c>
      <c r="N861" s="22">
        <f t="shared" si="78"/>
        <v>0.36321844556129901</v>
      </c>
      <c r="O861" s="22">
        <f t="shared" si="79"/>
        <v>0.98570398058889097</v>
      </c>
      <c r="P861" s="23">
        <f t="shared" si="80"/>
        <v>0.18357466063348399</v>
      </c>
      <c r="Q861" s="23">
        <f t="shared" si="81"/>
        <v>0.186237109972723</v>
      </c>
      <c r="R861" s="22">
        <f t="shared" si="82"/>
        <v>0.91091439737365698</v>
      </c>
      <c r="S861" s="22">
        <f t="shared" si="83"/>
        <v>1.91091439737366</v>
      </c>
    </row>
    <row r="862" spans="1:19">
      <c r="A862" s="18" t="s">
        <v>901</v>
      </c>
      <c r="B862" s="18" t="s">
        <v>34</v>
      </c>
      <c r="C862" s="18" t="s">
        <v>21</v>
      </c>
      <c r="D862" s="19">
        <v>44774</v>
      </c>
      <c r="E862" s="20">
        <v>45382</v>
      </c>
      <c r="F862" s="21">
        <v>67419.199999999997</v>
      </c>
      <c r="G862" s="21">
        <v>4100.8</v>
      </c>
      <c r="H862" s="21">
        <v>3265.6</v>
      </c>
      <c r="I862" s="18">
        <v>173.96799999999999</v>
      </c>
      <c r="J862" s="18">
        <v>341.47199999999998</v>
      </c>
      <c r="K862" s="18" t="s">
        <v>30</v>
      </c>
      <c r="L862" s="18" t="s">
        <v>44</v>
      </c>
      <c r="M862" s="18" t="s">
        <v>24</v>
      </c>
      <c r="N862" s="22">
        <f t="shared" si="78"/>
        <v>6.0825402852599901E-2</v>
      </c>
      <c r="O862" s="22">
        <f t="shared" si="79"/>
        <v>0.79633242294186501</v>
      </c>
      <c r="P862" s="23">
        <f t="shared" si="80"/>
        <v>4.2422941865001902E-2</v>
      </c>
      <c r="Q862" s="23">
        <f t="shared" si="81"/>
        <v>5.3272905438510501E-2</v>
      </c>
      <c r="R862" s="22">
        <f t="shared" si="82"/>
        <v>0.96284374137772499</v>
      </c>
      <c r="S862" s="22">
        <f t="shared" si="83"/>
        <v>1.96284374137772</v>
      </c>
    </row>
    <row r="863" spans="1:19">
      <c r="A863" s="18" t="s">
        <v>902</v>
      </c>
      <c r="B863" s="18" t="s">
        <v>47</v>
      </c>
      <c r="C863" s="18" t="s">
        <v>41</v>
      </c>
      <c r="D863" s="19">
        <v>44799</v>
      </c>
      <c r="E863" s="20">
        <v>45427</v>
      </c>
      <c r="F863" s="21">
        <v>26985.599999999999</v>
      </c>
      <c r="G863" s="21">
        <v>11988.8</v>
      </c>
      <c r="H863" s="21">
        <v>3806.4</v>
      </c>
      <c r="I863" s="18">
        <v>4667.1040000000003</v>
      </c>
      <c r="J863" s="18">
        <v>13096.191999999999</v>
      </c>
      <c r="K863" s="18" t="s">
        <v>65</v>
      </c>
      <c r="L863" s="18" t="s">
        <v>31</v>
      </c>
      <c r="M863" s="18" t="s">
        <v>32</v>
      </c>
      <c r="N863" s="22">
        <f t="shared" si="78"/>
        <v>0.444266571801257</v>
      </c>
      <c r="O863" s="22">
        <f t="shared" si="79"/>
        <v>0.31749632990791399</v>
      </c>
      <c r="P863" s="23">
        <f t="shared" si="80"/>
        <v>0.38928866942479701</v>
      </c>
      <c r="Q863" s="23">
        <f t="shared" si="81"/>
        <v>1.2261202185792399</v>
      </c>
      <c r="R863" s="22">
        <f t="shared" si="82"/>
        <v>1.8060638888698399</v>
      </c>
      <c r="S863" s="22">
        <f t="shared" si="83"/>
        <v>2.8060638888698399</v>
      </c>
    </row>
    <row r="864" spans="1:19">
      <c r="A864" s="18" t="s">
        <v>903</v>
      </c>
      <c r="B864" s="18" t="s">
        <v>34</v>
      </c>
      <c r="C864" s="18" t="s">
        <v>29</v>
      </c>
      <c r="D864" s="19">
        <v>44957</v>
      </c>
      <c r="E864" s="20">
        <v>45563</v>
      </c>
      <c r="F864" s="21">
        <v>63638.400000000001</v>
      </c>
      <c r="G864" s="21">
        <v>28224</v>
      </c>
      <c r="H864" s="21">
        <v>23030.400000000001</v>
      </c>
      <c r="I864" s="18">
        <v>994.48</v>
      </c>
      <c r="J864" s="18">
        <v>1255.008</v>
      </c>
      <c r="K864" s="18" t="s">
        <v>43</v>
      </c>
      <c r="L864" s="18" t="s">
        <v>50</v>
      </c>
      <c r="M864" s="18" t="s">
        <v>24</v>
      </c>
      <c r="N864" s="22">
        <f t="shared" si="78"/>
        <v>0.44350580781415</v>
      </c>
      <c r="O864" s="22">
        <f t="shared" si="79"/>
        <v>0.81598639455782296</v>
      </c>
      <c r="P864" s="23">
        <f t="shared" si="80"/>
        <v>3.5235260770975101E-2</v>
      </c>
      <c r="Q864" s="23">
        <f t="shared" si="81"/>
        <v>4.3181186605530102E-2</v>
      </c>
      <c r="R864" s="22">
        <f t="shared" si="82"/>
        <v>0.26197409701552599</v>
      </c>
      <c r="S864" s="22">
        <f t="shared" si="83"/>
        <v>1.26197409701553</v>
      </c>
    </row>
    <row r="865" spans="1:19">
      <c r="A865" s="18" t="s">
        <v>904</v>
      </c>
      <c r="B865" s="18" t="s">
        <v>26</v>
      </c>
      <c r="C865" s="18" t="s">
        <v>48</v>
      </c>
      <c r="D865" s="19">
        <v>44842</v>
      </c>
      <c r="E865" s="20">
        <v>45464</v>
      </c>
      <c r="F865" s="21">
        <v>46916.800000000003</v>
      </c>
      <c r="G865" s="21">
        <v>32843.199999999997</v>
      </c>
      <c r="H865" s="21">
        <v>25726.400000000001</v>
      </c>
      <c r="I865" s="18">
        <v>3221.52</v>
      </c>
      <c r="J865" s="18">
        <v>9983.3279999999995</v>
      </c>
      <c r="K865" s="18" t="s">
        <v>43</v>
      </c>
      <c r="L865" s="18" t="s">
        <v>23</v>
      </c>
      <c r="M865" s="18" t="s">
        <v>24</v>
      </c>
      <c r="N865" s="22">
        <f t="shared" si="78"/>
        <v>0.700030692630358</v>
      </c>
      <c r="O865" s="22">
        <f t="shared" si="79"/>
        <v>0.78330978710966104</v>
      </c>
      <c r="P865" s="23">
        <f t="shared" si="80"/>
        <v>9.8087884250012206E-2</v>
      </c>
      <c r="Q865" s="23">
        <f t="shared" si="81"/>
        <v>0.12522233969774199</v>
      </c>
      <c r="R865" s="22">
        <f t="shared" si="82"/>
        <v>2.09894956418088</v>
      </c>
      <c r="S865" s="22">
        <f t="shared" si="83"/>
        <v>3.09894956418088</v>
      </c>
    </row>
    <row r="866" spans="1:19">
      <c r="A866" s="18" t="s">
        <v>905</v>
      </c>
      <c r="B866" s="18" t="s">
        <v>40</v>
      </c>
      <c r="C866" s="18" t="s">
        <v>41</v>
      </c>
      <c r="D866" s="19">
        <v>44897</v>
      </c>
      <c r="E866" s="20">
        <v>45509</v>
      </c>
      <c r="F866" s="21">
        <v>70089.600000000006</v>
      </c>
      <c r="G866" s="21">
        <v>8836.7999999999993</v>
      </c>
      <c r="H866" s="21">
        <v>6555.2</v>
      </c>
      <c r="I866" s="18">
        <v>6999.1679999999997</v>
      </c>
      <c r="J866" s="18">
        <v>25960.511999999999</v>
      </c>
      <c r="K866" s="18" t="s">
        <v>22</v>
      </c>
      <c r="L866" s="18" t="s">
        <v>31</v>
      </c>
      <c r="M866" s="18" t="s">
        <v>24</v>
      </c>
      <c r="N866" s="22">
        <f t="shared" si="78"/>
        <v>0.12607861936720999</v>
      </c>
      <c r="O866" s="22">
        <f t="shared" si="79"/>
        <v>0.74180698895527797</v>
      </c>
      <c r="P866" s="23">
        <f t="shared" si="80"/>
        <v>0.79204780010863696</v>
      </c>
      <c r="Q866" s="23">
        <f t="shared" si="81"/>
        <v>1.06772760556505</v>
      </c>
      <c r="R866" s="22">
        <f t="shared" si="82"/>
        <v>2.70908542272453</v>
      </c>
      <c r="S866" s="22">
        <f t="shared" si="83"/>
        <v>3.70908542272453</v>
      </c>
    </row>
    <row r="867" spans="1:19">
      <c r="A867" s="18" t="s">
        <v>906</v>
      </c>
      <c r="B867" s="18" t="s">
        <v>40</v>
      </c>
      <c r="C867" s="18" t="s">
        <v>41</v>
      </c>
      <c r="D867" s="19">
        <v>44694</v>
      </c>
      <c r="E867" s="20">
        <v>45298</v>
      </c>
      <c r="F867" s="21">
        <v>18710.400000000001</v>
      </c>
      <c r="G867" s="21">
        <v>9992</v>
      </c>
      <c r="H867" s="21">
        <v>1923.2</v>
      </c>
      <c r="I867" s="18">
        <v>2604.2719999999999</v>
      </c>
      <c r="J867" s="18">
        <v>4350.8639999999996</v>
      </c>
      <c r="K867" s="18" t="s">
        <v>43</v>
      </c>
      <c r="L867" s="18" t="s">
        <v>31</v>
      </c>
      <c r="M867" s="18" t="s">
        <v>24</v>
      </c>
      <c r="N867" s="22">
        <f t="shared" si="78"/>
        <v>0.53403454763126401</v>
      </c>
      <c r="O867" s="22">
        <f t="shared" si="79"/>
        <v>0.19247397918334699</v>
      </c>
      <c r="P867" s="23">
        <f t="shared" si="80"/>
        <v>0.26063570856685297</v>
      </c>
      <c r="Q867" s="23">
        <f t="shared" si="81"/>
        <v>1.35413477537438</v>
      </c>
      <c r="R867" s="22">
        <f t="shared" si="82"/>
        <v>0.67066420097439905</v>
      </c>
      <c r="S867" s="22">
        <f t="shared" si="83"/>
        <v>1.6706642009743999</v>
      </c>
    </row>
    <row r="868" spans="1:19">
      <c r="A868" s="18" t="s">
        <v>907</v>
      </c>
      <c r="B868" s="18" t="s">
        <v>47</v>
      </c>
      <c r="C868" s="18" t="s">
        <v>21</v>
      </c>
      <c r="D868" s="19">
        <v>44810</v>
      </c>
      <c r="E868" s="20">
        <v>45425</v>
      </c>
      <c r="F868" s="21">
        <v>10030.4</v>
      </c>
      <c r="G868" s="21">
        <v>5332.8</v>
      </c>
      <c r="H868" s="21">
        <v>3089.6</v>
      </c>
      <c r="I868" s="18">
        <v>7894.768</v>
      </c>
      <c r="J868" s="18">
        <v>27576.527999999998</v>
      </c>
      <c r="K868" s="18" t="s">
        <v>65</v>
      </c>
      <c r="L868" s="18" t="s">
        <v>50</v>
      </c>
      <c r="M868" s="18" t="s">
        <v>24</v>
      </c>
      <c r="N868" s="22">
        <f t="shared" si="78"/>
        <v>0.53166374222363999</v>
      </c>
      <c r="O868" s="22">
        <f t="shared" si="79"/>
        <v>0.57935793579357897</v>
      </c>
      <c r="P868" s="23">
        <f t="shared" si="80"/>
        <v>1.48041704170417</v>
      </c>
      <c r="Q868" s="23">
        <f t="shared" si="81"/>
        <v>2.5552718798549998</v>
      </c>
      <c r="R868" s="22">
        <f t="shared" si="82"/>
        <v>2.49301309424165</v>
      </c>
      <c r="S868" s="22">
        <f t="shared" si="83"/>
        <v>3.49301309424165</v>
      </c>
    </row>
    <row r="869" spans="1:19">
      <c r="A869" s="18" t="s">
        <v>908</v>
      </c>
      <c r="B869" s="18" t="s">
        <v>20</v>
      </c>
      <c r="C869" s="18" t="s">
        <v>29</v>
      </c>
      <c r="D869" s="19">
        <v>44853</v>
      </c>
      <c r="E869" s="20">
        <v>45460</v>
      </c>
      <c r="F869" s="21">
        <v>70022.399999999994</v>
      </c>
      <c r="G869" s="21">
        <v>47553.599999999999</v>
      </c>
      <c r="H869" s="21">
        <v>42571.199999999997</v>
      </c>
      <c r="I869" s="18">
        <v>1766.3679999999999</v>
      </c>
      <c r="J869" s="18">
        <v>4557.6480000000001</v>
      </c>
      <c r="K869" s="18" t="s">
        <v>30</v>
      </c>
      <c r="L869" s="18" t="s">
        <v>23</v>
      </c>
      <c r="M869" s="18" t="s">
        <v>24</v>
      </c>
      <c r="N869" s="22">
        <f t="shared" si="78"/>
        <v>0.679119824513299</v>
      </c>
      <c r="O869" s="22">
        <f t="shared" si="79"/>
        <v>0.89522559806197599</v>
      </c>
      <c r="P869" s="23">
        <f t="shared" si="80"/>
        <v>3.7144779785337E-2</v>
      </c>
      <c r="Q869" s="23">
        <f t="shared" si="81"/>
        <v>4.1492088548126402E-2</v>
      </c>
      <c r="R869" s="22">
        <f t="shared" si="82"/>
        <v>1.5802369608145099</v>
      </c>
      <c r="S869" s="22">
        <f t="shared" si="83"/>
        <v>2.5802369608145099</v>
      </c>
    </row>
    <row r="870" spans="1:19">
      <c r="A870" s="18" t="s">
        <v>909</v>
      </c>
      <c r="B870" s="18" t="s">
        <v>20</v>
      </c>
      <c r="C870" s="18" t="s">
        <v>48</v>
      </c>
      <c r="D870" s="19">
        <v>44859</v>
      </c>
      <c r="E870" s="20">
        <v>45477</v>
      </c>
      <c r="F870" s="21">
        <v>50760</v>
      </c>
      <c r="G870" s="21">
        <v>35459.199999999997</v>
      </c>
      <c r="H870" s="21">
        <v>26379.200000000001</v>
      </c>
      <c r="I870" s="18">
        <v>972.88</v>
      </c>
      <c r="J870" s="18">
        <v>3752.4160000000002</v>
      </c>
      <c r="K870" s="18" t="s">
        <v>30</v>
      </c>
      <c r="L870" s="18" t="s">
        <v>35</v>
      </c>
      <c r="M870" s="18" t="s">
        <v>32</v>
      </c>
      <c r="N870" s="22">
        <f t="shared" si="78"/>
        <v>0.69856579984239597</v>
      </c>
      <c r="O870" s="22">
        <f t="shared" si="79"/>
        <v>0.74393105315404795</v>
      </c>
      <c r="P870" s="23">
        <f t="shared" si="80"/>
        <v>2.7436603194657499E-2</v>
      </c>
      <c r="Q870" s="23">
        <f t="shared" si="81"/>
        <v>3.6880572572329698E-2</v>
      </c>
      <c r="R870" s="22">
        <f t="shared" si="82"/>
        <v>2.8570183373077902</v>
      </c>
      <c r="S870" s="22">
        <f t="shared" si="83"/>
        <v>3.8570183373077902</v>
      </c>
    </row>
    <row r="871" spans="1:19">
      <c r="A871" s="18" t="s">
        <v>910</v>
      </c>
      <c r="B871" s="18" t="s">
        <v>34</v>
      </c>
      <c r="C871" s="18" t="s">
        <v>29</v>
      </c>
      <c r="D871" s="19">
        <v>44980</v>
      </c>
      <c r="E871" s="20">
        <v>45584</v>
      </c>
      <c r="F871" s="21">
        <v>61355.199999999997</v>
      </c>
      <c r="G871" s="21">
        <v>8329.6</v>
      </c>
      <c r="H871" s="21">
        <v>6166.4</v>
      </c>
      <c r="I871" s="18">
        <v>5349.76</v>
      </c>
      <c r="J871" s="18">
        <v>13890.896000000001</v>
      </c>
      <c r="K871" s="18" t="s">
        <v>22</v>
      </c>
      <c r="L871" s="18" t="s">
        <v>35</v>
      </c>
      <c r="M871" s="18" t="s">
        <v>24</v>
      </c>
      <c r="N871" s="22">
        <f t="shared" si="78"/>
        <v>0.135760294155997</v>
      </c>
      <c r="O871" s="22">
        <f t="shared" si="79"/>
        <v>0.74029965424510202</v>
      </c>
      <c r="P871" s="23">
        <f t="shared" si="80"/>
        <v>0.64225893200153705</v>
      </c>
      <c r="Q871" s="23">
        <f t="shared" si="81"/>
        <v>0.86756616502335204</v>
      </c>
      <c r="R871" s="22">
        <f t="shared" si="82"/>
        <v>1.5965456394305499</v>
      </c>
      <c r="S871" s="22">
        <f t="shared" si="83"/>
        <v>2.5965456394305502</v>
      </c>
    </row>
    <row r="872" spans="1:19">
      <c r="A872" s="18" t="s">
        <v>911</v>
      </c>
      <c r="B872" s="18" t="s">
        <v>34</v>
      </c>
      <c r="C872" s="18" t="s">
        <v>21</v>
      </c>
      <c r="D872" s="19">
        <v>44746</v>
      </c>
      <c r="E872" s="20">
        <v>45351</v>
      </c>
      <c r="F872" s="21">
        <v>60865.599999999999</v>
      </c>
      <c r="G872" s="21">
        <v>44700.800000000003</v>
      </c>
      <c r="H872" s="21">
        <v>30028.799999999999</v>
      </c>
      <c r="I872" s="18">
        <v>7514.0959999999995</v>
      </c>
      <c r="J872" s="18">
        <v>17948.016</v>
      </c>
      <c r="K872" s="18" t="s">
        <v>22</v>
      </c>
      <c r="L872" s="18" t="s">
        <v>35</v>
      </c>
      <c r="M872" s="18" t="s">
        <v>32</v>
      </c>
      <c r="N872" s="22">
        <f t="shared" si="78"/>
        <v>0.73441812780946902</v>
      </c>
      <c r="O872" s="22">
        <f t="shared" si="79"/>
        <v>0.67177321211253505</v>
      </c>
      <c r="P872" s="23">
        <f t="shared" si="80"/>
        <v>0.168097573197795</v>
      </c>
      <c r="Q872" s="23">
        <f t="shared" si="81"/>
        <v>0.250229646206309</v>
      </c>
      <c r="R872" s="22">
        <f t="shared" si="82"/>
        <v>1.3885795443656801</v>
      </c>
      <c r="S872" s="22">
        <f t="shared" si="83"/>
        <v>2.3885795443656801</v>
      </c>
    </row>
    <row r="873" spans="1:19">
      <c r="A873" s="18" t="s">
        <v>912</v>
      </c>
      <c r="B873" s="18" t="s">
        <v>20</v>
      </c>
      <c r="C873" s="18" t="s">
        <v>21</v>
      </c>
      <c r="D873" s="19">
        <v>44810</v>
      </c>
      <c r="E873" s="20">
        <v>45437</v>
      </c>
      <c r="F873" s="21">
        <v>32723.200000000001</v>
      </c>
      <c r="G873" s="21">
        <v>19692.8</v>
      </c>
      <c r="H873" s="21">
        <v>9171.2000000000007</v>
      </c>
      <c r="I873" s="18">
        <v>206.864</v>
      </c>
      <c r="J873" s="18">
        <v>290.59199999999998</v>
      </c>
      <c r="K873" s="18" t="s">
        <v>43</v>
      </c>
      <c r="L873" s="18" t="s">
        <v>23</v>
      </c>
      <c r="M873" s="18" t="s">
        <v>24</v>
      </c>
      <c r="N873" s="22">
        <f t="shared" si="78"/>
        <v>0.60179933502835903</v>
      </c>
      <c r="O873" s="22">
        <f t="shared" si="79"/>
        <v>0.46571335716607098</v>
      </c>
      <c r="P873" s="23">
        <f t="shared" si="80"/>
        <v>1.05045498862528E-2</v>
      </c>
      <c r="Q873" s="23">
        <f t="shared" si="81"/>
        <v>2.2555826936496898E-2</v>
      </c>
      <c r="R873" s="22">
        <f t="shared" si="82"/>
        <v>0.40474901384484502</v>
      </c>
      <c r="S873" s="22">
        <f t="shared" si="83"/>
        <v>1.40474901384484</v>
      </c>
    </row>
    <row r="874" spans="1:19">
      <c r="A874" s="18" t="s">
        <v>913</v>
      </c>
      <c r="B874" s="18" t="s">
        <v>20</v>
      </c>
      <c r="C874" s="18" t="s">
        <v>41</v>
      </c>
      <c r="D874" s="19">
        <v>44927</v>
      </c>
      <c r="E874" s="20">
        <v>45529</v>
      </c>
      <c r="F874" s="21">
        <v>20475.2</v>
      </c>
      <c r="G874" s="21">
        <v>1641.6</v>
      </c>
      <c r="H874" s="21">
        <v>1504</v>
      </c>
      <c r="I874" s="18">
        <v>2546.944</v>
      </c>
      <c r="J874" s="18">
        <v>3954.9920000000002</v>
      </c>
      <c r="K874" s="18" t="s">
        <v>30</v>
      </c>
      <c r="L874" s="18" t="s">
        <v>50</v>
      </c>
      <c r="M874" s="18" t="s">
        <v>24</v>
      </c>
      <c r="N874" s="22">
        <f t="shared" si="78"/>
        <v>8.0175041025240298E-2</v>
      </c>
      <c r="O874" s="22">
        <f t="shared" si="79"/>
        <v>0.91617933723196898</v>
      </c>
      <c r="P874" s="23">
        <f t="shared" si="80"/>
        <v>1.5515009746588699</v>
      </c>
      <c r="Q874" s="23">
        <f t="shared" si="81"/>
        <v>1.69344680851064</v>
      </c>
      <c r="R874" s="22">
        <f t="shared" si="82"/>
        <v>0.55283822494723101</v>
      </c>
      <c r="S874" s="22">
        <f t="shared" si="83"/>
        <v>1.5528382249472299</v>
      </c>
    </row>
    <row r="875" spans="1:19">
      <c r="A875" s="18" t="s">
        <v>914</v>
      </c>
      <c r="B875" s="18" t="s">
        <v>26</v>
      </c>
      <c r="C875" s="18" t="s">
        <v>21</v>
      </c>
      <c r="D875" s="19">
        <v>44781</v>
      </c>
      <c r="E875" s="20">
        <v>45389</v>
      </c>
      <c r="F875" s="21">
        <v>31060.799999999999</v>
      </c>
      <c r="G875" s="21">
        <v>1756.8</v>
      </c>
      <c r="H875" s="21">
        <v>1064</v>
      </c>
      <c r="I875" s="18">
        <v>4573.5839999999998</v>
      </c>
      <c r="J875" s="18">
        <v>16095.856</v>
      </c>
      <c r="K875" s="18" t="s">
        <v>43</v>
      </c>
      <c r="L875" s="18" t="s">
        <v>31</v>
      </c>
      <c r="M875" s="18" t="s">
        <v>24</v>
      </c>
      <c r="N875" s="22">
        <f t="shared" si="78"/>
        <v>5.6560037088548898E-2</v>
      </c>
      <c r="O875" s="22">
        <f t="shared" si="79"/>
        <v>0.60564663023679399</v>
      </c>
      <c r="P875" s="23">
        <f t="shared" si="80"/>
        <v>2.6033606557377</v>
      </c>
      <c r="Q875" s="23">
        <f t="shared" si="81"/>
        <v>4.2984812030075199</v>
      </c>
      <c r="R875" s="22">
        <f t="shared" si="82"/>
        <v>2.5193091457377799</v>
      </c>
      <c r="S875" s="22">
        <f t="shared" si="83"/>
        <v>3.5193091457377799</v>
      </c>
    </row>
    <row r="876" spans="1:19">
      <c r="A876" s="18" t="s">
        <v>915</v>
      </c>
      <c r="B876" s="18" t="s">
        <v>26</v>
      </c>
      <c r="C876" s="18" t="s">
        <v>29</v>
      </c>
      <c r="D876" s="19">
        <v>44825</v>
      </c>
      <c r="E876" s="20">
        <v>45431</v>
      </c>
      <c r="F876" s="21">
        <v>28120</v>
      </c>
      <c r="G876" s="21">
        <v>2006.4</v>
      </c>
      <c r="H876" s="21">
        <v>897.6</v>
      </c>
      <c r="I876" s="18">
        <v>5209.5039999999999</v>
      </c>
      <c r="J876" s="18">
        <v>17725.12</v>
      </c>
      <c r="K876" s="18" t="s">
        <v>30</v>
      </c>
      <c r="L876" s="18" t="s">
        <v>44</v>
      </c>
      <c r="M876" s="18" t="s">
        <v>32</v>
      </c>
      <c r="N876" s="22">
        <f t="shared" si="78"/>
        <v>7.13513513513514E-2</v>
      </c>
      <c r="O876" s="22">
        <f t="shared" si="79"/>
        <v>0.44736842105263203</v>
      </c>
      <c r="P876" s="23">
        <f t="shared" si="80"/>
        <v>2.5964433811802201</v>
      </c>
      <c r="Q876" s="23">
        <f t="shared" si="81"/>
        <v>5.8038146167557896</v>
      </c>
      <c r="R876" s="22">
        <f t="shared" si="82"/>
        <v>2.4024582762581601</v>
      </c>
      <c r="S876" s="22">
        <f t="shared" si="83"/>
        <v>3.4024582762581601</v>
      </c>
    </row>
    <row r="877" spans="1:19">
      <c r="A877" s="18" t="s">
        <v>916</v>
      </c>
      <c r="B877" s="18" t="s">
        <v>26</v>
      </c>
      <c r="C877" s="18" t="s">
        <v>21</v>
      </c>
      <c r="D877" s="19">
        <v>44976</v>
      </c>
      <c r="E877" s="20">
        <v>45587</v>
      </c>
      <c r="F877" s="21">
        <v>77278.399999999994</v>
      </c>
      <c r="G877" s="21">
        <v>63281.599999999999</v>
      </c>
      <c r="H877" s="21">
        <v>57947.199999999997</v>
      </c>
      <c r="I877" s="18">
        <v>7869.1840000000002</v>
      </c>
      <c r="J877" s="18">
        <v>15696.464</v>
      </c>
      <c r="K877" s="18" t="s">
        <v>65</v>
      </c>
      <c r="L877" s="18" t="s">
        <v>50</v>
      </c>
      <c r="M877" s="18" t="s">
        <v>32</v>
      </c>
      <c r="N877" s="22">
        <f t="shared" si="78"/>
        <v>0.81887823764467205</v>
      </c>
      <c r="O877" s="22">
        <f t="shared" si="79"/>
        <v>0.91570377487294896</v>
      </c>
      <c r="P877" s="23">
        <f t="shared" si="80"/>
        <v>0.12435184951075801</v>
      </c>
      <c r="Q877" s="23">
        <f t="shared" si="81"/>
        <v>0.135799210315598</v>
      </c>
      <c r="R877" s="22">
        <f t="shared" si="82"/>
        <v>0.99467492436318705</v>
      </c>
      <c r="S877" s="22">
        <f t="shared" si="83"/>
        <v>1.99467492436319</v>
      </c>
    </row>
    <row r="878" spans="1:19">
      <c r="A878" s="18" t="s">
        <v>917</v>
      </c>
      <c r="B878" s="18" t="s">
        <v>40</v>
      </c>
      <c r="C878" s="18" t="s">
        <v>48</v>
      </c>
      <c r="D878" s="19">
        <v>44813</v>
      </c>
      <c r="E878" s="20">
        <v>45426</v>
      </c>
      <c r="F878" s="21">
        <v>44064</v>
      </c>
      <c r="G878" s="21">
        <v>25227.200000000001</v>
      </c>
      <c r="H878" s="21">
        <v>5648</v>
      </c>
      <c r="I878" s="18">
        <v>6861.5519999999997</v>
      </c>
      <c r="J878" s="18">
        <v>18501.04</v>
      </c>
      <c r="K878" s="18" t="s">
        <v>43</v>
      </c>
      <c r="L878" s="18" t="s">
        <v>44</v>
      </c>
      <c r="M878" s="18" t="s">
        <v>24</v>
      </c>
      <c r="N878" s="22">
        <f t="shared" si="78"/>
        <v>0.57251270878721905</v>
      </c>
      <c r="O878" s="22">
        <f t="shared" si="79"/>
        <v>0.223885330119871</v>
      </c>
      <c r="P878" s="23">
        <f t="shared" si="80"/>
        <v>0.27199023276463502</v>
      </c>
      <c r="Q878" s="23">
        <f t="shared" si="81"/>
        <v>1.21486402266289</v>
      </c>
      <c r="R878" s="22">
        <f t="shared" si="82"/>
        <v>1.6963345901918401</v>
      </c>
      <c r="S878" s="22">
        <f t="shared" si="83"/>
        <v>2.6963345901918401</v>
      </c>
    </row>
    <row r="879" spans="1:19">
      <c r="A879" s="18" t="s">
        <v>918</v>
      </c>
      <c r="B879" s="18" t="s">
        <v>20</v>
      </c>
      <c r="C879" s="18" t="s">
        <v>41</v>
      </c>
      <c r="D879" s="19">
        <v>44855</v>
      </c>
      <c r="E879" s="20">
        <v>45476</v>
      </c>
      <c r="F879" s="21">
        <v>24744</v>
      </c>
      <c r="G879" s="21">
        <v>20105.599999999999</v>
      </c>
      <c r="H879" s="21">
        <v>11134.4</v>
      </c>
      <c r="I879" s="18">
        <v>5649.5680000000002</v>
      </c>
      <c r="J879" s="18">
        <v>10042.768</v>
      </c>
      <c r="K879" s="18" t="s">
        <v>22</v>
      </c>
      <c r="L879" s="18" t="s">
        <v>35</v>
      </c>
      <c r="M879" s="18" t="s">
        <v>24</v>
      </c>
      <c r="N879" s="22">
        <f t="shared" si="78"/>
        <v>0.81254445522146801</v>
      </c>
      <c r="O879" s="22">
        <f t="shared" si="79"/>
        <v>0.55379595734521703</v>
      </c>
      <c r="P879" s="23">
        <f t="shared" si="80"/>
        <v>0.28099474773197503</v>
      </c>
      <c r="Q879" s="23">
        <f t="shared" si="81"/>
        <v>0.50739761459979904</v>
      </c>
      <c r="R879" s="22">
        <f t="shared" si="82"/>
        <v>0.777616978855728</v>
      </c>
      <c r="S879" s="22">
        <f t="shared" si="83"/>
        <v>1.7776169788557299</v>
      </c>
    </row>
    <row r="880" spans="1:19">
      <c r="A880" s="18" t="s">
        <v>919</v>
      </c>
      <c r="B880" s="18" t="s">
        <v>28</v>
      </c>
      <c r="C880" s="18" t="s">
        <v>41</v>
      </c>
      <c r="D880" s="19">
        <v>44890</v>
      </c>
      <c r="E880" s="20">
        <v>45496</v>
      </c>
      <c r="F880" s="21">
        <v>55148.800000000003</v>
      </c>
      <c r="G880" s="21">
        <v>21950.400000000001</v>
      </c>
      <c r="H880" s="21">
        <v>15988.8</v>
      </c>
      <c r="I880" s="18">
        <v>856.99199999999996</v>
      </c>
      <c r="J880" s="18">
        <v>1526.2719999999999</v>
      </c>
      <c r="K880" s="18" t="s">
        <v>22</v>
      </c>
      <c r="L880" s="18" t="s">
        <v>23</v>
      </c>
      <c r="M880" s="18" t="s">
        <v>32</v>
      </c>
      <c r="N880" s="22">
        <f t="shared" si="78"/>
        <v>0.398021353139144</v>
      </c>
      <c r="O880" s="22">
        <f t="shared" si="79"/>
        <v>0.72840586048545797</v>
      </c>
      <c r="P880" s="23">
        <f t="shared" si="80"/>
        <v>3.9042204242291698E-2</v>
      </c>
      <c r="Q880" s="23">
        <f t="shared" si="81"/>
        <v>5.3599519663764597E-2</v>
      </c>
      <c r="R880" s="22">
        <f t="shared" si="82"/>
        <v>0.78096411635114404</v>
      </c>
      <c r="S880" s="22">
        <f t="shared" si="83"/>
        <v>1.78096411635114</v>
      </c>
    </row>
    <row r="881" spans="1:19">
      <c r="A881" s="18" t="s">
        <v>920</v>
      </c>
      <c r="B881" s="18" t="s">
        <v>28</v>
      </c>
      <c r="C881" s="18" t="s">
        <v>29</v>
      </c>
      <c r="D881" s="19">
        <v>44752</v>
      </c>
      <c r="E881" s="20">
        <v>45382</v>
      </c>
      <c r="F881" s="21">
        <v>23462.400000000001</v>
      </c>
      <c r="G881" s="21">
        <v>4643.2</v>
      </c>
      <c r="H881" s="21">
        <v>2168</v>
      </c>
      <c r="I881" s="18">
        <v>7434.384</v>
      </c>
      <c r="J881" s="18">
        <v>16383.456</v>
      </c>
      <c r="K881" s="18" t="s">
        <v>30</v>
      </c>
      <c r="L881" s="18" t="s">
        <v>44</v>
      </c>
      <c r="M881" s="18" t="s">
        <v>24</v>
      </c>
      <c r="N881" s="22">
        <f t="shared" si="78"/>
        <v>0.19789961811238399</v>
      </c>
      <c r="O881" s="22">
        <f t="shared" si="79"/>
        <v>0.466919365954514</v>
      </c>
      <c r="P881" s="23">
        <f t="shared" si="80"/>
        <v>1.6011337008959301</v>
      </c>
      <c r="Q881" s="23">
        <f t="shared" si="81"/>
        <v>3.4291439114391098</v>
      </c>
      <c r="R881" s="22">
        <f t="shared" si="82"/>
        <v>1.20374088828341</v>
      </c>
      <c r="S881" s="22">
        <f t="shared" si="83"/>
        <v>2.2037408882834102</v>
      </c>
    </row>
    <row r="882" spans="1:19">
      <c r="A882" s="18" t="s">
        <v>921</v>
      </c>
      <c r="B882" s="18" t="s">
        <v>40</v>
      </c>
      <c r="C882" s="18" t="s">
        <v>21</v>
      </c>
      <c r="D882" s="19">
        <v>44899</v>
      </c>
      <c r="E882" s="20">
        <v>45510</v>
      </c>
      <c r="F882" s="21">
        <v>55092.800000000003</v>
      </c>
      <c r="G882" s="21">
        <v>40027.199999999997</v>
      </c>
      <c r="H882" s="21">
        <v>20627.2</v>
      </c>
      <c r="I882" s="18">
        <v>3874.5279999999998</v>
      </c>
      <c r="J882" s="18">
        <v>5021.3919999999998</v>
      </c>
      <c r="K882" s="18" t="s">
        <v>38</v>
      </c>
      <c r="L882" s="18" t="s">
        <v>50</v>
      </c>
      <c r="M882" s="18" t="s">
        <v>32</v>
      </c>
      <c r="N882" s="22">
        <f t="shared" si="78"/>
        <v>0.72654139923910199</v>
      </c>
      <c r="O882" s="22">
        <f t="shared" si="79"/>
        <v>0.51532957588839601</v>
      </c>
      <c r="P882" s="23">
        <f t="shared" si="80"/>
        <v>9.6797377783107499E-2</v>
      </c>
      <c r="Q882" s="23">
        <f t="shared" si="81"/>
        <v>0.18783586720446799</v>
      </c>
      <c r="R882" s="22">
        <f t="shared" si="82"/>
        <v>0.29600095805218102</v>
      </c>
      <c r="S882" s="22">
        <f t="shared" si="83"/>
        <v>1.2960009580521801</v>
      </c>
    </row>
    <row r="883" spans="1:19">
      <c r="A883" s="18" t="s">
        <v>922</v>
      </c>
      <c r="B883" s="18" t="s">
        <v>28</v>
      </c>
      <c r="C883" s="18" t="s">
        <v>41</v>
      </c>
      <c r="D883" s="19">
        <v>44826</v>
      </c>
      <c r="E883" s="20">
        <v>45445</v>
      </c>
      <c r="F883" s="21">
        <v>49619.199999999997</v>
      </c>
      <c r="G883" s="21">
        <v>38940.800000000003</v>
      </c>
      <c r="H883" s="21">
        <v>18172.8</v>
      </c>
      <c r="I883" s="18">
        <v>7399.8720000000003</v>
      </c>
      <c r="J883" s="18">
        <v>16451.648000000001</v>
      </c>
      <c r="K883" s="18" t="s">
        <v>22</v>
      </c>
      <c r="L883" s="18" t="s">
        <v>35</v>
      </c>
      <c r="M883" s="18" t="s">
        <v>24</v>
      </c>
      <c r="N883" s="22">
        <f t="shared" si="78"/>
        <v>0.78479298336128001</v>
      </c>
      <c r="O883" s="22">
        <f t="shared" si="79"/>
        <v>0.466677623469472</v>
      </c>
      <c r="P883" s="23">
        <f t="shared" si="80"/>
        <v>0.19002876160736301</v>
      </c>
      <c r="Q883" s="23">
        <f t="shared" si="81"/>
        <v>0.40719492868462798</v>
      </c>
      <c r="R883" s="22">
        <f t="shared" si="82"/>
        <v>1.22323413161741</v>
      </c>
      <c r="S883" s="22">
        <f t="shared" si="83"/>
        <v>2.22323413161741</v>
      </c>
    </row>
    <row r="884" spans="1:19">
      <c r="A884" s="18" t="s">
        <v>923</v>
      </c>
      <c r="B884" s="18" t="s">
        <v>20</v>
      </c>
      <c r="C884" s="18" t="s">
        <v>48</v>
      </c>
      <c r="D884" s="19">
        <v>44790</v>
      </c>
      <c r="E884" s="20">
        <v>45397</v>
      </c>
      <c r="F884" s="21">
        <v>64926.400000000001</v>
      </c>
      <c r="G884" s="21">
        <v>31467.200000000001</v>
      </c>
      <c r="H884" s="21">
        <v>25214.400000000001</v>
      </c>
      <c r="I884" s="18">
        <v>1152.56</v>
      </c>
      <c r="J884" s="18">
        <v>3314.3679999999999</v>
      </c>
      <c r="K884" s="18" t="s">
        <v>38</v>
      </c>
      <c r="L884" s="18" t="s">
        <v>44</v>
      </c>
      <c r="M884" s="18" t="s">
        <v>24</v>
      </c>
      <c r="N884" s="22">
        <f t="shared" si="78"/>
        <v>0.48465955297074798</v>
      </c>
      <c r="O884" s="22">
        <f t="shared" si="79"/>
        <v>0.80129150353383805</v>
      </c>
      <c r="P884" s="23">
        <f t="shared" si="80"/>
        <v>3.66273452992322E-2</v>
      </c>
      <c r="Q884" s="23">
        <f t="shared" si="81"/>
        <v>4.5710387714956502E-2</v>
      </c>
      <c r="R884" s="22">
        <f t="shared" si="82"/>
        <v>1.87565766641216</v>
      </c>
      <c r="S884" s="22">
        <f t="shared" si="83"/>
        <v>2.87565766641216</v>
      </c>
    </row>
    <row r="885" spans="1:19">
      <c r="A885" s="18" t="s">
        <v>924</v>
      </c>
      <c r="B885" s="18" t="s">
        <v>26</v>
      </c>
      <c r="C885" s="18" t="s">
        <v>48</v>
      </c>
      <c r="D885" s="19">
        <v>44900</v>
      </c>
      <c r="E885" s="20">
        <v>45516</v>
      </c>
      <c r="F885" s="21">
        <v>41723.199999999997</v>
      </c>
      <c r="G885" s="21">
        <v>30560</v>
      </c>
      <c r="H885" s="21">
        <v>1193.5999999999999</v>
      </c>
      <c r="I885" s="18">
        <v>6652.8959999999997</v>
      </c>
      <c r="J885" s="18">
        <v>9341.6640000000007</v>
      </c>
      <c r="K885" s="18" t="s">
        <v>22</v>
      </c>
      <c r="L885" s="18" t="s">
        <v>50</v>
      </c>
      <c r="M885" s="18" t="s">
        <v>24</v>
      </c>
      <c r="N885" s="22">
        <f t="shared" si="78"/>
        <v>0.73244621697281098</v>
      </c>
      <c r="O885" s="22">
        <f t="shared" si="79"/>
        <v>3.9057591623036597E-2</v>
      </c>
      <c r="P885" s="23">
        <f t="shared" si="80"/>
        <v>0.21769947643979101</v>
      </c>
      <c r="Q885" s="23">
        <f t="shared" si="81"/>
        <v>5.5738069705093798</v>
      </c>
      <c r="R885" s="22">
        <f t="shared" si="82"/>
        <v>0.40415001226533498</v>
      </c>
      <c r="S885" s="22">
        <f t="shared" si="83"/>
        <v>1.4041500122653401</v>
      </c>
    </row>
    <row r="886" spans="1:19">
      <c r="A886" s="18" t="s">
        <v>925</v>
      </c>
      <c r="B886" s="18" t="s">
        <v>20</v>
      </c>
      <c r="C886" s="18" t="s">
        <v>21</v>
      </c>
      <c r="D886" s="19">
        <v>44890</v>
      </c>
      <c r="E886" s="20">
        <v>45515</v>
      </c>
      <c r="F886" s="21">
        <v>48907.199999999997</v>
      </c>
      <c r="G886" s="21">
        <v>29627.200000000001</v>
      </c>
      <c r="H886" s="21">
        <v>29609.599999999999</v>
      </c>
      <c r="I886" s="18">
        <v>6494.32</v>
      </c>
      <c r="J886" s="18">
        <v>22744.944</v>
      </c>
      <c r="K886" s="18" t="s">
        <v>65</v>
      </c>
      <c r="L886" s="18" t="s">
        <v>31</v>
      </c>
      <c r="M886" s="18" t="s">
        <v>24</v>
      </c>
      <c r="N886" s="22">
        <f t="shared" si="78"/>
        <v>0.60578401544148897</v>
      </c>
      <c r="O886" s="22">
        <f t="shared" si="79"/>
        <v>0.99940595128800602</v>
      </c>
      <c r="P886" s="23">
        <f t="shared" si="80"/>
        <v>0.21920127450450899</v>
      </c>
      <c r="Q886" s="23">
        <f t="shared" si="81"/>
        <v>0.21933156814006299</v>
      </c>
      <c r="R886" s="22">
        <f t="shared" si="82"/>
        <v>2.5022826100346101</v>
      </c>
      <c r="S886" s="22">
        <f t="shared" si="83"/>
        <v>3.5022826100346101</v>
      </c>
    </row>
    <row r="887" spans="1:19">
      <c r="A887" s="18" t="s">
        <v>926</v>
      </c>
      <c r="B887" s="18" t="s">
        <v>34</v>
      </c>
      <c r="C887" s="18" t="s">
        <v>21</v>
      </c>
      <c r="D887" s="19">
        <v>44745</v>
      </c>
      <c r="E887" s="20">
        <v>45363</v>
      </c>
      <c r="F887" s="21">
        <v>46889.599999999999</v>
      </c>
      <c r="G887" s="21">
        <v>43622.400000000001</v>
      </c>
      <c r="H887" s="21">
        <v>31443.200000000001</v>
      </c>
      <c r="I887" s="18">
        <v>2031.5360000000001</v>
      </c>
      <c r="J887" s="18">
        <v>7220.848</v>
      </c>
      <c r="K887" s="18" t="s">
        <v>65</v>
      </c>
      <c r="L887" s="18" t="s">
        <v>50</v>
      </c>
      <c r="M887" s="18" t="s">
        <v>24</v>
      </c>
      <c r="N887" s="22">
        <f t="shared" si="78"/>
        <v>0.93032143588343696</v>
      </c>
      <c r="O887" s="22">
        <f t="shared" si="79"/>
        <v>0.72080399061032896</v>
      </c>
      <c r="P887" s="23">
        <f t="shared" si="80"/>
        <v>4.6570936032863899E-2</v>
      </c>
      <c r="Q887" s="23">
        <f t="shared" si="81"/>
        <v>6.4609708935477295E-2</v>
      </c>
      <c r="R887" s="22">
        <f t="shared" si="82"/>
        <v>2.5543785588835202</v>
      </c>
      <c r="S887" s="22">
        <f t="shared" si="83"/>
        <v>3.5543785588835202</v>
      </c>
    </row>
    <row r="888" spans="1:19">
      <c r="A888" s="18" t="s">
        <v>927</v>
      </c>
      <c r="B888" s="18" t="s">
        <v>40</v>
      </c>
      <c r="C888" s="18" t="s">
        <v>29</v>
      </c>
      <c r="D888" s="19">
        <v>44868</v>
      </c>
      <c r="E888" s="20">
        <v>45484</v>
      </c>
      <c r="F888" s="21">
        <v>4443.2</v>
      </c>
      <c r="G888" s="21">
        <v>1012.8</v>
      </c>
      <c r="H888" s="21">
        <v>280</v>
      </c>
      <c r="I888" s="18">
        <v>3290</v>
      </c>
      <c r="J888" s="18">
        <v>5614.9759999999997</v>
      </c>
      <c r="K888" s="18" t="s">
        <v>65</v>
      </c>
      <c r="L888" s="18" t="s">
        <v>31</v>
      </c>
      <c r="M888" s="18" t="s">
        <v>24</v>
      </c>
      <c r="N888" s="22">
        <f t="shared" si="78"/>
        <v>0.22794382427079601</v>
      </c>
      <c r="O888" s="22">
        <f t="shared" si="79"/>
        <v>0.27646129541864101</v>
      </c>
      <c r="P888" s="23">
        <f t="shared" si="80"/>
        <v>3.2484202211690398</v>
      </c>
      <c r="Q888" s="23">
        <f t="shared" si="81"/>
        <v>11.75</v>
      </c>
      <c r="R888" s="22">
        <f t="shared" si="82"/>
        <v>0.70667963525835897</v>
      </c>
      <c r="S888" s="22">
        <f t="shared" si="83"/>
        <v>1.70667963525836</v>
      </c>
    </row>
    <row r="889" spans="1:19">
      <c r="A889" s="18" t="s">
        <v>928</v>
      </c>
      <c r="B889" s="18" t="s">
        <v>40</v>
      </c>
      <c r="C889" s="18" t="s">
        <v>21</v>
      </c>
      <c r="D889" s="19">
        <v>44970</v>
      </c>
      <c r="E889" s="20">
        <v>45594</v>
      </c>
      <c r="F889" s="21">
        <v>30724.799999999999</v>
      </c>
      <c r="G889" s="21">
        <v>9656</v>
      </c>
      <c r="H889" s="21">
        <v>8366.4</v>
      </c>
      <c r="I889" s="18">
        <v>5502</v>
      </c>
      <c r="J889" s="18">
        <v>14684.368</v>
      </c>
      <c r="K889" s="18" t="s">
        <v>43</v>
      </c>
      <c r="L889" s="18" t="s">
        <v>44</v>
      </c>
      <c r="M889" s="18" t="s">
        <v>24</v>
      </c>
      <c r="N889" s="22">
        <f t="shared" si="78"/>
        <v>0.31427381138363802</v>
      </c>
      <c r="O889" s="22">
        <f t="shared" si="79"/>
        <v>0.866445733222867</v>
      </c>
      <c r="P889" s="23">
        <f t="shared" si="80"/>
        <v>0.56980115990058</v>
      </c>
      <c r="Q889" s="23">
        <f t="shared" si="81"/>
        <v>0.65763052208835304</v>
      </c>
      <c r="R889" s="22">
        <f t="shared" si="82"/>
        <v>1.6689145765176301</v>
      </c>
      <c r="S889" s="22">
        <f t="shared" si="83"/>
        <v>2.6689145765176301</v>
      </c>
    </row>
    <row r="890" spans="1:19">
      <c r="A890" s="18" t="s">
        <v>929</v>
      </c>
      <c r="B890" s="18" t="s">
        <v>40</v>
      </c>
      <c r="C890" s="18" t="s">
        <v>48</v>
      </c>
      <c r="D890" s="19">
        <v>44827</v>
      </c>
      <c r="E890" s="20">
        <v>45453</v>
      </c>
      <c r="F890" s="21">
        <v>64235.199999999997</v>
      </c>
      <c r="G890" s="21">
        <v>23489.599999999999</v>
      </c>
      <c r="H890" s="21">
        <v>4536</v>
      </c>
      <c r="I890" s="18">
        <v>961.16800000000001</v>
      </c>
      <c r="J890" s="18">
        <v>1790.6880000000001</v>
      </c>
      <c r="K890" s="18" t="s">
        <v>22</v>
      </c>
      <c r="L890" s="18" t="s">
        <v>50</v>
      </c>
      <c r="M890" s="18" t="s">
        <v>24</v>
      </c>
      <c r="N890" s="22">
        <f t="shared" si="78"/>
        <v>0.365681121877102</v>
      </c>
      <c r="O890" s="22">
        <f t="shared" si="79"/>
        <v>0.193106736598324</v>
      </c>
      <c r="P890" s="23">
        <f t="shared" si="80"/>
        <v>4.09188747360534E-2</v>
      </c>
      <c r="Q890" s="23">
        <f t="shared" si="81"/>
        <v>0.21189770723104101</v>
      </c>
      <c r="R890" s="22">
        <f t="shared" si="82"/>
        <v>0.86303330947347401</v>
      </c>
      <c r="S890" s="22">
        <f t="shared" si="83"/>
        <v>1.8630333094734699</v>
      </c>
    </row>
    <row r="891" spans="1:19">
      <c r="A891" s="18" t="s">
        <v>930</v>
      </c>
      <c r="B891" s="18" t="s">
        <v>20</v>
      </c>
      <c r="C891" s="18" t="s">
        <v>41</v>
      </c>
      <c r="D891" s="19">
        <v>44958</v>
      </c>
      <c r="E891" s="20">
        <v>45566</v>
      </c>
      <c r="F891" s="21">
        <v>9206.4</v>
      </c>
      <c r="G891" s="21">
        <v>9132.7999999999993</v>
      </c>
      <c r="H891" s="21">
        <v>6996.8</v>
      </c>
      <c r="I891" s="18">
        <v>7851.0240000000003</v>
      </c>
      <c r="J891" s="18">
        <v>17795.599999999999</v>
      </c>
      <c r="K891" s="18" t="s">
        <v>43</v>
      </c>
      <c r="L891" s="18" t="s">
        <v>44</v>
      </c>
      <c r="M891" s="18" t="s">
        <v>24</v>
      </c>
      <c r="N891" s="22">
        <f t="shared" si="78"/>
        <v>0.99200556134862705</v>
      </c>
      <c r="O891" s="22">
        <f t="shared" si="79"/>
        <v>0.76611772950245305</v>
      </c>
      <c r="P891" s="23">
        <f t="shared" si="80"/>
        <v>0.85965136650315399</v>
      </c>
      <c r="Q891" s="23">
        <f t="shared" si="81"/>
        <v>1.122087811571</v>
      </c>
      <c r="R891" s="22">
        <f t="shared" si="82"/>
        <v>1.2666597376342199</v>
      </c>
      <c r="S891" s="22">
        <f t="shared" si="83"/>
        <v>2.2666597376342201</v>
      </c>
    </row>
    <row r="892" spans="1:19">
      <c r="A892" s="18" t="s">
        <v>931</v>
      </c>
      <c r="B892" s="18" t="s">
        <v>28</v>
      </c>
      <c r="C892" s="18" t="s">
        <v>41</v>
      </c>
      <c r="D892" s="19">
        <v>44938</v>
      </c>
      <c r="E892" s="20">
        <v>45543</v>
      </c>
      <c r="F892" s="21">
        <v>12806.4</v>
      </c>
      <c r="G892" s="21">
        <v>10742.4</v>
      </c>
      <c r="H892" s="21">
        <v>3.2</v>
      </c>
      <c r="I892" s="18">
        <v>7395.0879999999997</v>
      </c>
      <c r="J892" s="18">
        <v>25683.727999999999</v>
      </c>
      <c r="K892" s="18" t="s">
        <v>38</v>
      </c>
      <c r="L892" s="18" t="s">
        <v>31</v>
      </c>
      <c r="M892" s="18" t="s">
        <v>32</v>
      </c>
      <c r="N892" s="22">
        <f t="shared" si="78"/>
        <v>0.83883058470764604</v>
      </c>
      <c r="O892" s="22">
        <f t="shared" si="79"/>
        <v>2.97885016383676E-4</v>
      </c>
      <c r="P892" s="23">
        <f t="shared" si="80"/>
        <v>0.68840184688710204</v>
      </c>
      <c r="Q892" s="23">
        <f t="shared" si="81"/>
        <v>2310.9650000000001</v>
      </c>
      <c r="R892" s="22">
        <f t="shared" si="82"/>
        <v>2.4730794278580599</v>
      </c>
      <c r="S892" s="22">
        <f t="shared" si="83"/>
        <v>3.4730794278580599</v>
      </c>
    </row>
    <row r="893" spans="1:19">
      <c r="A893" s="18" t="s">
        <v>932</v>
      </c>
      <c r="B893" s="18" t="s">
        <v>28</v>
      </c>
      <c r="C893" s="18" t="s">
        <v>29</v>
      </c>
      <c r="D893" s="19">
        <v>44917</v>
      </c>
      <c r="E893" s="20">
        <v>45520</v>
      </c>
      <c r="F893" s="21">
        <v>39728</v>
      </c>
      <c r="G893" s="21">
        <v>12387.2</v>
      </c>
      <c r="H893" s="21">
        <v>9355.2000000000007</v>
      </c>
      <c r="I893" s="18">
        <v>2443.04</v>
      </c>
      <c r="J893" s="18">
        <v>8753.9519999999993</v>
      </c>
      <c r="K893" s="18" t="s">
        <v>22</v>
      </c>
      <c r="L893" s="18" t="s">
        <v>31</v>
      </c>
      <c r="M893" s="18" t="s">
        <v>24</v>
      </c>
      <c r="N893" s="22">
        <f t="shared" si="78"/>
        <v>0.31180024164317399</v>
      </c>
      <c r="O893" s="22">
        <f t="shared" si="79"/>
        <v>0.75523120640661301</v>
      </c>
      <c r="P893" s="23">
        <f t="shared" si="80"/>
        <v>0.19722293980883501</v>
      </c>
      <c r="Q893" s="23">
        <f t="shared" si="81"/>
        <v>0.261142466221994</v>
      </c>
      <c r="R893" s="22">
        <f t="shared" si="82"/>
        <v>2.58322090510184</v>
      </c>
      <c r="S893" s="22">
        <f t="shared" si="83"/>
        <v>3.58322090510184</v>
      </c>
    </row>
    <row r="894" spans="1:19">
      <c r="A894" s="18" t="s">
        <v>933</v>
      </c>
      <c r="B894" s="18" t="s">
        <v>28</v>
      </c>
      <c r="C894" s="18" t="s">
        <v>41</v>
      </c>
      <c r="D894" s="19">
        <v>44769</v>
      </c>
      <c r="E894" s="20">
        <v>45371</v>
      </c>
      <c r="F894" s="21">
        <v>8964.7999999999993</v>
      </c>
      <c r="G894" s="21">
        <v>1182.4000000000001</v>
      </c>
      <c r="H894" s="21">
        <v>228.8</v>
      </c>
      <c r="I894" s="18">
        <v>6042.768</v>
      </c>
      <c r="J894" s="18">
        <v>17824.240000000002</v>
      </c>
      <c r="K894" s="18" t="s">
        <v>30</v>
      </c>
      <c r="L894" s="18" t="s">
        <v>23</v>
      </c>
      <c r="M894" s="18" t="s">
        <v>24</v>
      </c>
      <c r="N894" s="22">
        <f t="shared" si="78"/>
        <v>0.13189362841335001</v>
      </c>
      <c r="O894" s="22">
        <f t="shared" si="79"/>
        <v>0.19350473612990499</v>
      </c>
      <c r="P894" s="23">
        <f t="shared" si="80"/>
        <v>5.1105953991880897</v>
      </c>
      <c r="Q894" s="23">
        <f t="shared" si="81"/>
        <v>26.410699300699299</v>
      </c>
      <c r="R894" s="22">
        <f t="shared" si="82"/>
        <v>1.9496813380887701</v>
      </c>
      <c r="S894" s="22">
        <f t="shared" si="83"/>
        <v>2.9496813380887699</v>
      </c>
    </row>
    <row r="895" spans="1:19">
      <c r="A895" s="18" t="s">
        <v>934</v>
      </c>
      <c r="B895" s="18" t="s">
        <v>28</v>
      </c>
      <c r="C895" s="18" t="s">
        <v>21</v>
      </c>
      <c r="D895" s="19">
        <v>44858</v>
      </c>
      <c r="E895" s="20">
        <v>45463</v>
      </c>
      <c r="F895" s="21">
        <v>75297.600000000006</v>
      </c>
      <c r="G895" s="21">
        <v>25339.200000000001</v>
      </c>
      <c r="H895" s="21">
        <v>6724.8</v>
      </c>
      <c r="I895" s="18">
        <v>1528.2239999999999</v>
      </c>
      <c r="J895" s="18">
        <v>2930</v>
      </c>
      <c r="K895" s="18" t="s">
        <v>22</v>
      </c>
      <c r="L895" s="18" t="s">
        <v>23</v>
      </c>
      <c r="M895" s="18" t="s">
        <v>32</v>
      </c>
      <c r="N895" s="22">
        <f t="shared" si="78"/>
        <v>0.336520685918276</v>
      </c>
      <c r="O895" s="22">
        <f t="shared" si="79"/>
        <v>0.26539117257056299</v>
      </c>
      <c r="P895" s="23">
        <f t="shared" si="80"/>
        <v>6.0310664898654998E-2</v>
      </c>
      <c r="Q895" s="23">
        <f t="shared" si="81"/>
        <v>0.22725196288365501</v>
      </c>
      <c r="R895" s="22">
        <f t="shared" si="82"/>
        <v>0.91725820298594996</v>
      </c>
      <c r="S895" s="22">
        <f t="shared" si="83"/>
        <v>1.91725820298595</v>
      </c>
    </row>
    <row r="896" spans="1:19">
      <c r="A896" s="18" t="s">
        <v>935</v>
      </c>
      <c r="B896" s="18" t="s">
        <v>20</v>
      </c>
      <c r="C896" s="18" t="s">
        <v>29</v>
      </c>
      <c r="D896" s="19">
        <v>44886</v>
      </c>
      <c r="E896" s="20">
        <v>45508</v>
      </c>
      <c r="F896" s="21">
        <v>8905.6</v>
      </c>
      <c r="G896" s="21">
        <v>5633.6</v>
      </c>
      <c r="H896" s="21">
        <v>4094.4</v>
      </c>
      <c r="I896" s="18">
        <v>6020.0320000000002</v>
      </c>
      <c r="J896" s="18">
        <v>15268.752</v>
      </c>
      <c r="K896" s="18" t="s">
        <v>38</v>
      </c>
      <c r="L896" s="18" t="s">
        <v>31</v>
      </c>
      <c r="M896" s="18" t="s">
        <v>32</v>
      </c>
      <c r="N896" s="22">
        <f t="shared" si="78"/>
        <v>0.632590729428674</v>
      </c>
      <c r="O896" s="22">
        <f t="shared" si="79"/>
        <v>0.72678216415790997</v>
      </c>
      <c r="P896" s="23">
        <f t="shared" si="80"/>
        <v>1.06859414938938</v>
      </c>
      <c r="Q896" s="23">
        <f t="shared" si="81"/>
        <v>1.4703087143415401</v>
      </c>
      <c r="R896" s="22">
        <f t="shared" si="82"/>
        <v>1.53632405940699</v>
      </c>
      <c r="S896" s="22">
        <f t="shared" si="83"/>
        <v>2.53632405940699</v>
      </c>
    </row>
    <row r="897" spans="1:19">
      <c r="A897" s="18" t="s">
        <v>936</v>
      </c>
      <c r="B897" s="18" t="s">
        <v>34</v>
      </c>
      <c r="C897" s="18" t="s">
        <v>48</v>
      </c>
      <c r="D897" s="19">
        <v>44940</v>
      </c>
      <c r="E897" s="20">
        <v>45569</v>
      </c>
      <c r="F897" s="21">
        <v>17748.8</v>
      </c>
      <c r="G897" s="21">
        <v>13156.8</v>
      </c>
      <c r="H897" s="21">
        <v>11166.4</v>
      </c>
      <c r="I897" s="18">
        <v>7110.2240000000002</v>
      </c>
      <c r="J897" s="18">
        <v>19861.583999999999</v>
      </c>
      <c r="K897" s="18" t="s">
        <v>22</v>
      </c>
      <c r="L897" s="18" t="s">
        <v>23</v>
      </c>
      <c r="M897" s="18" t="s">
        <v>24</v>
      </c>
      <c r="N897" s="22">
        <f t="shared" si="78"/>
        <v>0.74127828360227199</v>
      </c>
      <c r="O897" s="22">
        <f t="shared" si="79"/>
        <v>0.84871701325550297</v>
      </c>
      <c r="P897" s="23">
        <f t="shared" si="80"/>
        <v>0.54042198710932798</v>
      </c>
      <c r="Q897" s="23">
        <f t="shared" si="81"/>
        <v>0.63675168362229595</v>
      </c>
      <c r="R897" s="22">
        <f t="shared" si="82"/>
        <v>1.79338372461965</v>
      </c>
      <c r="S897" s="22">
        <f t="shared" si="83"/>
        <v>2.79338372461965</v>
      </c>
    </row>
    <row r="898" spans="1:19">
      <c r="A898" s="18" t="s">
        <v>937</v>
      </c>
      <c r="B898" s="18" t="s">
        <v>40</v>
      </c>
      <c r="C898" s="18" t="s">
        <v>48</v>
      </c>
      <c r="D898" s="19">
        <v>44951</v>
      </c>
      <c r="E898" s="20">
        <v>45568</v>
      </c>
      <c r="F898" s="21">
        <v>61040</v>
      </c>
      <c r="G898" s="21">
        <v>59059.199999999997</v>
      </c>
      <c r="H898" s="21">
        <v>33902.400000000001</v>
      </c>
      <c r="I898" s="18">
        <v>2774.3519999999999</v>
      </c>
      <c r="J898" s="18">
        <v>6283.04</v>
      </c>
      <c r="K898" s="18" t="s">
        <v>22</v>
      </c>
      <c r="L898" s="18" t="s">
        <v>31</v>
      </c>
      <c r="M898" s="18" t="s">
        <v>24</v>
      </c>
      <c r="N898" s="22">
        <f t="shared" ref="N898:N961" si="84">G898/F898</f>
        <v>0.96754914809960701</v>
      </c>
      <c r="O898" s="22">
        <f t="shared" ref="O898:O961" si="85">H898/G898</f>
        <v>0.57404096228868695</v>
      </c>
      <c r="P898" s="23">
        <f t="shared" ref="P898:P961" si="86">I898/G898</f>
        <v>4.6975780234070202E-2</v>
      </c>
      <c r="Q898" s="23">
        <f t="shared" ref="Q898:Q961" si="87">I898/H898</f>
        <v>8.1833498513379593E-2</v>
      </c>
      <c r="R898" s="22">
        <f t="shared" ref="R898:R961" si="88">(J898-I898)/I898</f>
        <v>1.2646873936688601</v>
      </c>
      <c r="S898" s="22">
        <f t="shared" ref="S898:S961" si="89">J898/I898</f>
        <v>2.2646873936688601</v>
      </c>
    </row>
    <row r="899" spans="1:19">
      <c r="A899" s="18" t="s">
        <v>938</v>
      </c>
      <c r="B899" s="18" t="s">
        <v>47</v>
      </c>
      <c r="C899" s="18" t="s">
        <v>48</v>
      </c>
      <c r="D899" s="19">
        <v>44698</v>
      </c>
      <c r="E899" s="20">
        <v>45322</v>
      </c>
      <c r="F899" s="21">
        <v>66475.199999999997</v>
      </c>
      <c r="G899" s="21">
        <v>36988.800000000003</v>
      </c>
      <c r="H899" s="21">
        <v>33891.199999999997</v>
      </c>
      <c r="I899" s="18">
        <v>1967.904</v>
      </c>
      <c r="J899" s="18">
        <v>4724.0479999999998</v>
      </c>
      <c r="K899" s="18" t="s">
        <v>30</v>
      </c>
      <c r="L899" s="18" t="s">
        <v>23</v>
      </c>
      <c r="M899" s="18" t="s">
        <v>32</v>
      </c>
      <c r="N899" s="22">
        <f t="shared" si="84"/>
        <v>0.55643006715286303</v>
      </c>
      <c r="O899" s="22">
        <f t="shared" si="85"/>
        <v>0.916255731464659</v>
      </c>
      <c r="P899" s="23">
        <f t="shared" si="86"/>
        <v>5.32026991954321E-2</v>
      </c>
      <c r="Q899" s="23">
        <f t="shared" si="87"/>
        <v>5.80653384949485E-2</v>
      </c>
      <c r="R899" s="22">
        <f t="shared" si="88"/>
        <v>1.4005479942111001</v>
      </c>
      <c r="S899" s="22">
        <f t="shared" si="89"/>
        <v>2.4005479942111001</v>
      </c>
    </row>
    <row r="900" spans="1:19">
      <c r="A900" s="18" t="s">
        <v>939</v>
      </c>
      <c r="B900" s="18" t="s">
        <v>28</v>
      </c>
      <c r="C900" s="18" t="s">
        <v>48</v>
      </c>
      <c r="D900" s="19">
        <v>44913</v>
      </c>
      <c r="E900" s="20">
        <v>45526</v>
      </c>
      <c r="F900" s="21">
        <v>42156.800000000003</v>
      </c>
      <c r="G900" s="21">
        <v>26540.799999999999</v>
      </c>
      <c r="H900" s="21">
        <v>18339.2</v>
      </c>
      <c r="I900" s="18">
        <v>4489.0559999999996</v>
      </c>
      <c r="J900" s="18">
        <v>7028.64</v>
      </c>
      <c r="K900" s="18" t="s">
        <v>30</v>
      </c>
      <c r="L900" s="18" t="s">
        <v>31</v>
      </c>
      <c r="M900" s="18" t="s">
        <v>24</v>
      </c>
      <c r="N900" s="22">
        <f t="shared" si="84"/>
        <v>0.62957340215576096</v>
      </c>
      <c r="O900" s="22">
        <f t="shared" si="85"/>
        <v>0.69098143236074305</v>
      </c>
      <c r="P900" s="23">
        <f t="shared" si="86"/>
        <v>0.16913793103448299</v>
      </c>
      <c r="Q900" s="23">
        <f t="shared" si="87"/>
        <v>0.24477927063339699</v>
      </c>
      <c r="R900" s="22">
        <f t="shared" si="88"/>
        <v>0.56572785013152005</v>
      </c>
      <c r="S900" s="22">
        <f t="shared" si="89"/>
        <v>1.5657278501315199</v>
      </c>
    </row>
    <row r="901" spans="1:19">
      <c r="A901" s="18" t="s">
        <v>940</v>
      </c>
      <c r="B901" s="18" t="s">
        <v>26</v>
      </c>
      <c r="C901" s="18" t="s">
        <v>48</v>
      </c>
      <c r="D901" s="19">
        <v>44802</v>
      </c>
      <c r="E901" s="20">
        <v>45418</v>
      </c>
      <c r="F901" s="21">
        <v>34304</v>
      </c>
      <c r="G901" s="21">
        <v>6184</v>
      </c>
      <c r="H901" s="21">
        <v>2590.4</v>
      </c>
      <c r="I901" s="18">
        <v>5371.28</v>
      </c>
      <c r="J901" s="18">
        <v>15394.608</v>
      </c>
      <c r="K901" s="18" t="s">
        <v>30</v>
      </c>
      <c r="L901" s="18" t="s">
        <v>44</v>
      </c>
      <c r="M901" s="18" t="s">
        <v>32</v>
      </c>
      <c r="N901" s="22">
        <f t="shared" si="84"/>
        <v>0.18027052238805999</v>
      </c>
      <c r="O901" s="22">
        <f t="shared" si="85"/>
        <v>0.41888745148771001</v>
      </c>
      <c r="P901" s="23">
        <f t="shared" si="86"/>
        <v>0.86857697283311797</v>
      </c>
      <c r="Q901" s="23">
        <f t="shared" si="87"/>
        <v>2.0735330450895599</v>
      </c>
      <c r="R901" s="22">
        <f t="shared" si="88"/>
        <v>1.8660967218242199</v>
      </c>
      <c r="S901" s="22">
        <f t="shared" si="89"/>
        <v>2.8660967218242202</v>
      </c>
    </row>
    <row r="902" spans="1:19">
      <c r="A902" s="18" t="s">
        <v>941</v>
      </c>
      <c r="B902" s="18" t="s">
        <v>47</v>
      </c>
      <c r="C902" s="18" t="s">
        <v>48</v>
      </c>
      <c r="D902" s="19">
        <v>44900</v>
      </c>
      <c r="E902" s="20">
        <v>45518</v>
      </c>
      <c r="F902" s="21">
        <v>32788.800000000003</v>
      </c>
      <c r="G902" s="21">
        <v>1889.6</v>
      </c>
      <c r="H902" s="21">
        <v>1489.6</v>
      </c>
      <c r="I902" s="18">
        <v>7360.384</v>
      </c>
      <c r="J902" s="18">
        <v>13560.528</v>
      </c>
      <c r="K902" s="18" t="s">
        <v>43</v>
      </c>
      <c r="L902" s="18" t="s">
        <v>50</v>
      </c>
      <c r="M902" s="18" t="s">
        <v>24</v>
      </c>
      <c r="N902" s="22">
        <f t="shared" si="84"/>
        <v>5.7629434441028603E-2</v>
      </c>
      <c r="O902" s="22">
        <f t="shared" si="85"/>
        <v>0.78831498729889904</v>
      </c>
      <c r="P902" s="23">
        <f t="shared" si="86"/>
        <v>3.8952074513124502</v>
      </c>
      <c r="Q902" s="23">
        <f t="shared" si="87"/>
        <v>4.9411815252416798</v>
      </c>
      <c r="R902" s="22">
        <f t="shared" si="88"/>
        <v>0.84236691998678304</v>
      </c>
      <c r="S902" s="22">
        <f t="shared" si="89"/>
        <v>1.84236691998678</v>
      </c>
    </row>
    <row r="903" spans="1:19">
      <c r="A903" s="18" t="s">
        <v>942</v>
      </c>
      <c r="B903" s="18" t="s">
        <v>26</v>
      </c>
      <c r="C903" s="18" t="s">
        <v>48</v>
      </c>
      <c r="D903" s="19">
        <v>44858</v>
      </c>
      <c r="E903" s="20">
        <v>45485</v>
      </c>
      <c r="F903" s="21">
        <v>18913.599999999999</v>
      </c>
      <c r="G903" s="21">
        <v>16531.2</v>
      </c>
      <c r="H903" s="21">
        <v>10545.6</v>
      </c>
      <c r="I903" s="18">
        <v>6293.7920000000004</v>
      </c>
      <c r="J903" s="18">
        <v>24550.592000000001</v>
      </c>
      <c r="K903" s="18" t="s">
        <v>30</v>
      </c>
      <c r="L903" s="18" t="s">
        <v>44</v>
      </c>
      <c r="M903" s="18" t="s">
        <v>32</v>
      </c>
      <c r="N903" s="22">
        <f t="shared" si="84"/>
        <v>0.87403772946451197</v>
      </c>
      <c r="O903" s="22">
        <f t="shared" si="85"/>
        <v>0.63792102206736401</v>
      </c>
      <c r="P903" s="23">
        <f t="shared" si="86"/>
        <v>0.38072202864885801</v>
      </c>
      <c r="Q903" s="23">
        <f t="shared" si="87"/>
        <v>0.59681687149142804</v>
      </c>
      <c r="R903" s="22">
        <f t="shared" si="88"/>
        <v>2.9007631647185002</v>
      </c>
      <c r="S903" s="22">
        <f t="shared" si="89"/>
        <v>3.9007631647185002</v>
      </c>
    </row>
    <row r="904" spans="1:19">
      <c r="A904" s="18" t="s">
        <v>943</v>
      </c>
      <c r="B904" s="18" t="s">
        <v>28</v>
      </c>
      <c r="C904" s="18" t="s">
        <v>21</v>
      </c>
      <c r="D904" s="19">
        <v>44830</v>
      </c>
      <c r="E904" s="20">
        <v>45432</v>
      </c>
      <c r="F904" s="21">
        <v>32836.800000000003</v>
      </c>
      <c r="G904" s="21">
        <v>11364.8</v>
      </c>
      <c r="H904" s="21">
        <v>11105.6</v>
      </c>
      <c r="I904" s="18">
        <v>4135.5039999999999</v>
      </c>
      <c r="J904" s="18">
        <v>11805.487999999999</v>
      </c>
      <c r="K904" s="18" t="s">
        <v>38</v>
      </c>
      <c r="L904" s="18" t="s">
        <v>44</v>
      </c>
      <c r="M904" s="18" t="s">
        <v>24</v>
      </c>
      <c r="N904" s="22">
        <f t="shared" si="84"/>
        <v>0.34609949812405599</v>
      </c>
      <c r="O904" s="22">
        <f t="shared" si="85"/>
        <v>0.97719273546388896</v>
      </c>
      <c r="P904" s="23">
        <f t="shared" si="86"/>
        <v>0.36388708996198799</v>
      </c>
      <c r="Q904" s="23">
        <f t="shared" si="87"/>
        <v>0.37238006051001299</v>
      </c>
      <c r="R904" s="22">
        <f t="shared" si="88"/>
        <v>1.8546672908549999</v>
      </c>
      <c r="S904" s="22">
        <f t="shared" si="89"/>
        <v>2.8546672908550002</v>
      </c>
    </row>
    <row r="905" spans="1:19">
      <c r="A905" s="18" t="s">
        <v>944</v>
      </c>
      <c r="B905" s="18" t="s">
        <v>40</v>
      </c>
      <c r="C905" s="18" t="s">
        <v>41</v>
      </c>
      <c r="D905" s="19">
        <v>44754</v>
      </c>
      <c r="E905" s="20">
        <v>45381</v>
      </c>
      <c r="F905" s="21">
        <v>55921.599999999999</v>
      </c>
      <c r="G905" s="21">
        <v>18728</v>
      </c>
      <c r="H905" s="21">
        <v>17979.2</v>
      </c>
      <c r="I905" s="18">
        <v>4954.0479999999998</v>
      </c>
      <c r="J905" s="18">
        <v>17157.648000000001</v>
      </c>
      <c r="K905" s="18" t="s">
        <v>43</v>
      </c>
      <c r="L905" s="18" t="s">
        <v>31</v>
      </c>
      <c r="M905" s="18" t="s">
        <v>24</v>
      </c>
      <c r="N905" s="22">
        <f t="shared" si="84"/>
        <v>0.33489742782753001</v>
      </c>
      <c r="O905" s="22">
        <f t="shared" si="85"/>
        <v>0.96001708671507902</v>
      </c>
      <c r="P905" s="23">
        <f t="shared" si="86"/>
        <v>0.26452627082443397</v>
      </c>
      <c r="Q905" s="23">
        <f t="shared" si="87"/>
        <v>0.27554329447361398</v>
      </c>
      <c r="R905" s="22">
        <f t="shared" si="88"/>
        <v>2.46335925691475</v>
      </c>
      <c r="S905" s="22">
        <f t="shared" si="89"/>
        <v>3.46335925691475</v>
      </c>
    </row>
    <row r="906" spans="1:19">
      <c r="A906" s="18" t="s">
        <v>945</v>
      </c>
      <c r="B906" s="18" t="s">
        <v>40</v>
      </c>
      <c r="C906" s="18" t="s">
        <v>21</v>
      </c>
      <c r="D906" s="19">
        <v>44799</v>
      </c>
      <c r="E906" s="20">
        <v>45400</v>
      </c>
      <c r="F906" s="21">
        <v>48190.400000000001</v>
      </c>
      <c r="G906" s="21">
        <v>44473.599999999999</v>
      </c>
      <c r="H906" s="21">
        <v>11492.8</v>
      </c>
      <c r="I906" s="18">
        <v>6447.2</v>
      </c>
      <c r="J906" s="18">
        <v>24470.256000000001</v>
      </c>
      <c r="K906" s="18" t="s">
        <v>22</v>
      </c>
      <c r="L906" s="18" t="s">
        <v>50</v>
      </c>
      <c r="M906" s="18" t="s">
        <v>32</v>
      </c>
      <c r="N906" s="22">
        <f t="shared" si="84"/>
        <v>0.92287260533218196</v>
      </c>
      <c r="O906" s="22">
        <f t="shared" si="85"/>
        <v>0.258418477478774</v>
      </c>
      <c r="P906" s="23">
        <f t="shared" si="86"/>
        <v>0.144966901712477</v>
      </c>
      <c r="Q906" s="23">
        <f t="shared" si="87"/>
        <v>0.56097730753167196</v>
      </c>
      <c r="R906" s="22">
        <f t="shared" si="88"/>
        <v>2.7954857922819198</v>
      </c>
      <c r="S906" s="22">
        <f t="shared" si="89"/>
        <v>3.7954857922819198</v>
      </c>
    </row>
    <row r="907" spans="1:19">
      <c r="A907" s="18" t="s">
        <v>946</v>
      </c>
      <c r="B907" s="18" t="s">
        <v>47</v>
      </c>
      <c r="C907" s="18" t="s">
        <v>41</v>
      </c>
      <c r="D907" s="19">
        <v>44932</v>
      </c>
      <c r="E907" s="20">
        <v>45553</v>
      </c>
      <c r="F907" s="21">
        <v>46107.199999999997</v>
      </c>
      <c r="G907" s="21">
        <v>14272</v>
      </c>
      <c r="H907" s="21">
        <v>7928</v>
      </c>
      <c r="I907" s="18">
        <v>2358.48</v>
      </c>
      <c r="J907" s="18">
        <v>5746.6559999999999</v>
      </c>
      <c r="K907" s="18" t="s">
        <v>22</v>
      </c>
      <c r="L907" s="18" t="s">
        <v>44</v>
      </c>
      <c r="M907" s="18" t="s">
        <v>24</v>
      </c>
      <c r="N907" s="22">
        <f t="shared" si="84"/>
        <v>0.30953950792934698</v>
      </c>
      <c r="O907" s="22">
        <f t="shared" si="85"/>
        <v>0.55549327354260103</v>
      </c>
      <c r="P907" s="23">
        <f t="shared" si="86"/>
        <v>0.16525224215246601</v>
      </c>
      <c r="Q907" s="23">
        <f t="shared" si="87"/>
        <v>0.29748738647830503</v>
      </c>
      <c r="R907" s="22">
        <f t="shared" si="88"/>
        <v>1.4365930599369101</v>
      </c>
      <c r="S907" s="22">
        <f t="shared" si="89"/>
        <v>2.4365930599369099</v>
      </c>
    </row>
    <row r="908" spans="1:19">
      <c r="A908" s="18" t="s">
        <v>947</v>
      </c>
      <c r="B908" s="18" t="s">
        <v>47</v>
      </c>
      <c r="C908" s="18" t="s">
        <v>29</v>
      </c>
      <c r="D908" s="19">
        <v>44850</v>
      </c>
      <c r="E908" s="20">
        <v>45470</v>
      </c>
      <c r="F908" s="21">
        <v>8787.2000000000007</v>
      </c>
      <c r="G908" s="21">
        <v>652.79999999999995</v>
      </c>
      <c r="H908" s="21">
        <v>96</v>
      </c>
      <c r="I908" s="18">
        <v>7470.16</v>
      </c>
      <c r="J908" s="18">
        <v>26921.200000000001</v>
      </c>
      <c r="K908" s="18" t="s">
        <v>38</v>
      </c>
      <c r="L908" s="18" t="s">
        <v>44</v>
      </c>
      <c r="M908" s="18" t="s">
        <v>24</v>
      </c>
      <c r="N908" s="22">
        <f t="shared" si="84"/>
        <v>7.4289876183539702E-2</v>
      </c>
      <c r="O908" s="22">
        <f t="shared" si="85"/>
        <v>0.14705882352941199</v>
      </c>
      <c r="P908" s="23">
        <f t="shared" si="86"/>
        <v>11.443259803921601</v>
      </c>
      <c r="Q908" s="23">
        <f t="shared" si="87"/>
        <v>77.814166666666694</v>
      </c>
      <c r="R908" s="22">
        <f t="shared" si="88"/>
        <v>2.6038317787035399</v>
      </c>
      <c r="S908" s="22">
        <f t="shared" si="89"/>
        <v>3.6038317787035399</v>
      </c>
    </row>
    <row r="909" spans="1:19">
      <c r="A909" s="18" t="s">
        <v>948</v>
      </c>
      <c r="B909" s="18" t="s">
        <v>47</v>
      </c>
      <c r="C909" s="18" t="s">
        <v>21</v>
      </c>
      <c r="D909" s="19">
        <v>44945</v>
      </c>
      <c r="E909" s="20">
        <v>45568</v>
      </c>
      <c r="F909" s="21">
        <v>2105.6</v>
      </c>
      <c r="G909" s="21">
        <v>1628.8</v>
      </c>
      <c r="H909" s="21">
        <v>494.4</v>
      </c>
      <c r="I909" s="18">
        <v>2265.7600000000002</v>
      </c>
      <c r="J909" s="18">
        <v>7626.1120000000001</v>
      </c>
      <c r="K909" s="18" t="s">
        <v>22</v>
      </c>
      <c r="L909" s="18" t="s">
        <v>23</v>
      </c>
      <c r="M909" s="18" t="s">
        <v>24</v>
      </c>
      <c r="N909" s="22">
        <f t="shared" si="84"/>
        <v>0.77355623100303905</v>
      </c>
      <c r="O909" s="22">
        <f t="shared" si="85"/>
        <v>0.303536345776031</v>
      </c>
      <c r="P909" s="23">
        <f t="shared" si="86"/>
        <v>1.3910609037328101</v>
      </c>
      <c r="Q909" s="23">
        <f t="shared" si="87"/>
        <v>4.5828478964401302</v>
      </c>
      <c r="R909" s="22">
        <f t="shared" si="88"/>
        <v>2.3658074994703799</v>
      </c>
      <c r="S909" s="22">
        <f t="shared" si="89"/>
        <v>3.3658074994703799</v>
      </c>
    </row>
    <row r="910" spans="1:19">
      <c r="A910" s="18" t="s">
        <v>949</v>
      </c>
      <c r="B910" s="18" t="s">
        <v>26</v>
      </c>
      <c r="C910" s="18" t="s">
        <v>48</v>
      </c>
      <c r="D910" s="19">
        <v>44702</v>
      </c>
      <c r="E910" s="20">
        <v>45311</v>
      </c>
      <c r="F910" s="21">
        <v>27656</v>
      </c>
      <c r="G910" s="21">
        <v>26580.799999999999</v>
      </c>
      <c r="H910" s="21">
        <v>2956.8</v>
      </c>
      <c r="I910" s="18">
        <v>6949.28</v>
      </c>
      <c r="J910" s="18">
        <v>14696.992</v>
      </c>
      <c r="K910" s="18" t="s">
        <v>43</v>
      </c>
      <c r="L910" s="18" t="s">
        <v>44</v>
      </c>
      <c r="M910" s="18" t="s">
        <v>24</v>
      </c>
      <c r="N910" s="22">
        <f t="shared" si="84"/>
        <v>0.96112236042811705</v>
      </c>
      <c r="O910" s="22">
        <f t="shared" si="85"/>
        <v>0.111238186962018</v>
      </c>
      <c r="P910" s="23">
        <f t="shared" si="86"/>
        <v>0.26143983627279799</v>
      </c>
      <c r="Q910" s="23">
        <f t="shared" si="87"/>
        <v>2.35027056277056</v>
      </c>
      <c r="R910" s="22">
        <f t="shared" si="88"/>
        <v>1.1148942048672701</v>
      </c>
      <c r="S910" s="22">
        <f t="shared" si="89"/>
        <v>2.1148942048672699</v>
      </c>
    </row>
    <row r="911" spans="1:19">
      <c r="A911" s="18" t="s">
        <v>950</v>
      </c>
      <c r="B911" s="18" t="s">
        <v>28</v>
      </c>
      <c r="C911" s="18" t="s">
        <v>21</v>
      </c>
      <c r="D911" s="19">
        <v>44984</v>
      </c>
      <c r="E911" s="20">
        <v>45608</v>
      </c>
      <c r="F911" s="21">
        <v>79398.399999999994</v>
      </c>
      <c r="G911" s="21">
        <v>29177.599999999999</v>
      </c>
      <c r="H911" s="21">
        <v>3763.2</v>
      </c>
      <c r="I911" s="18">
        <v>5860.8959999999997</v>
      </c>
      <c r="J911" s="18">
        <v>21806.495999999999</v>
      </c>
      <c r="K911" s="18" t="s">
        <v>22</v>
      </c>
      <c r="L911" s="18" t="s">
        <v>35</v>
      </c>
      <c r="M911" s="18" t="s">
        <v>24</v>
      </c>
      <c r="N911" s="22">
        <f t="shared" si="84"/>
        <v>0.36748347573754597</v>
      </c>
      <c r="O911" s="22">
        <f t="shared" si="85"/>
        <v>0.12897565255538501</v>
      </c>
      <c r="P911" s="23">
        <f t="shared" si="86"/>
        <v>0.20086970826935699</v>
      </c>
      <c r="Q911" s="23">
        <f t="shared" si="87"/>
        <v>1.55742346938776</v>
      </c>
      <c r="R911" s="22">
        <f t="shared" si="88"/>
        <v>2.72067615600072</v>
      </c>
      <c r="S911" s="22">
        <f t="shared" si="89"/>
        <v>3.72067615600072</v>
      </c>
    </row>
    <row r="912" spans="1:19">
      <c r="A912" s="18" t="s">
        <v>951</v>
      </c>
      <c r="B912" s="18" t="s">
        <v>34</v>
      </c>
      <c r="C912" s="18" t="s">
        <v>21</v>
      </c>
      <c r="D912" s="19">
        <v>44920</v>
      </c>
      <c r="E912" s="20">
        <v>45537</v>
      </c>
      <c r="F912" s="21">
        <v>20660.8</v>
      </c>
      <c r="G912" s="21">
        <v>10627.2</v>
      </c>
      <c r="H912" s="21">
        <v>7520</v>
      </c>
      <c r="I912" s="18">
        <v>840.52800000000002</v>
      </c>
      <c r="J912" s="18">
        <v>1043.6320000000001</v>
      </c>
      <c r="K912" s="18" t="s">
        <v>38</v>
      </c>
      <c r="L912" s="18" t="s">
        <v>23</v>
      </c>
      <c r="M912" s="18" t="s">
        <v>24</v>
      </c>
      <c r="N912" s="22">
        <f t="shared" si="84"/>
        <v>0.51436536823356305</v>
      </c>
      <c r="O912" s="22">
        <f t="shared" si="85"/>
        <v>0.70761818729298398</v>
      </c>
      <c r="P912" s="23">
        <f t="shared" si="86"/>
        <v>7.9092140921409204E-2</v>
      </c>
      <c r="Q912" s="23">
        <f t="shared" si="87"/>
        <v>0.111772340425532</v>
      </c>
      <c r="R912" s="22">
        <f t="shared" si="88"/>
        <v>0.24163858907734201</v>
      </c>
      <c r="S912" s="22">
        <f t="shared" si="89"/>
        <v>1.24163858907734</v>
      </c>
    </row>
    <row r="913" spans="1:19">
      <c r="A913" s="18" t="s">
        <v>952</v>
      </c>
      <c r="B913" s="18" t="s">
        <v>40</v>
      </c>
      <c r="C913" s="18" t="s">
        <v>21</v>
      </c>
      <c r="D913" s="19">
        <v>44925</v>
      </c>
      <c r="E913" s="20">
        <v>45540</v>
      </c>
      <c r="F913" s="21">
        <v>35908.800000000003</v>
      </c>
      <c r="G913" s="21">
        <v>15724.8</v>
      </c>
      <c r="H913" s="21">
        <v>9868.7999999999993</v>
      </c>
      <c r="I913" s="18">
        <v>4545.8239999999996</v>
      </c>
      <c r="J913" s="18">
        <v>17812.64</v>
      </c>
      <c r="K913" s="18" t="s">
        <v>22</v>
      </c>
      <c r="L913" s="18" t="s">
        <v>31</v>
      </c>
      <c r="M913" s="18" t="s">
        <v>32</v>
      </c>
      <c r="N913" s="22">
        <f t="shared" si="84"/>
        <v>0.43790937040502598</v>
      </c>
      <c r="O913" s="22">
        <f t="shared" si="85"/>
        <v>0.62759462759462803</v>
      </c>
      <c r="P913" s="23">
        <f t="shared" si="86"/>
        <v>0.28908628408628401</v>
      </c>
      <c r="Q913" s="23">
        <f t="shared" si="87"/>
        <v>0.46062581063553798</v>
      </c>
      <c r="R913" s="22">
        <f t="shared" si="88"/>
        <v>2.9184623073836602</v>
      </c>
      <c r="S913" s="22">
        <f t="shared" si="89"/>
        <v>3.9184623073836602</v>
      </c>
    </row>
    <row r="914" spans="1:19">
      <c r="A914" s="18" t="s">
        <v>953</v>
      </c>
      <c r="B914" s="18" t="s">
        <v>20</v>
      </c>
      <c r="C914" s="18" t="s">
        <v>41</v>
      </c>
      <c r="D914" s="19">
        <v>44890</v>
      </c>
      <c r="E914" s="20">
        <v>45503</v>
      </c>
      <c r="F914" s="21">
        <v>7270.4</v>
      </c>
      <c r="G914" s="21">
        <v>1520</v>
      </c>
      <c r="H914" s="21">
        <v>457.6</v>
      </c>
      <c r="I914" s="18">
        <v>6883.808</v>
      </c>
      <c r="J914" s="18">
        <v>15454.031999999999</v>
      </c>
      <c r="K914" s="18" t="s">
        <v>65</v>
      </c>
      <c r="L914" s="18" t="s">
        <v>23</v>
      </c>
      <c r="M914" s="18" t="s">
        <v>32</v>
      </c>
      <c r="N914" s="22">
        <f t="shared" si="84"/>
        <v>0.20906690140845099</v>
      </c>
      <c r="O914" s="22">
        <f t="shared" si="85"/>
        <v>0.30105263157894702</v>
      </c>
      <c r="P914" s="23">
        <f t="shared" si="86"/>
        <v>4.5288210526315797</v>
      </c>
      <c r="Q914" s="23">
        <f t="shared" si="87"/>
        <v>15.043286713286699</v>
      </c>
      <c r="R914" s="22">
        <f t="shared" si="88"/>
        <v>1.2449830094040999</v>
      </c>
      <c r="S914" s="22">
        <f t="shared" si="89"/>
        <v>2.2449830094041001</v>
      </c>
    </row>
    <row r="915" spans="1:19">
      <c r="A915" s="18" t="s">
        <v>954</v>
      </c>
      <c r="B915" s="18" t="s">
        <v>20</v>
      </c>
      <c r="C915" s="18" t="s">
        <v>41</v>
      </c>
      <c r="D915" s="19">
        <v>44743</v>
      </c>
      <c r="E915" s="20">
        <v>45366</v>
      </c>
      <c r="F915" s="21">
        <v>64009.599999999999</v>
      </c>
      <c r="G915" s="21">
        <v>54659.199999999997</v>
      </c>
      <c r="H915" s="21">
        <v>14366.4</v>
      </c>
      <c r="I915" s="18">
        <v>693.88800000000003</v>
      </c>
      <c r="J915" s="18">
        <v>2257.3919999999998</v>
      </c>
      <c r="K915" s="18" t="s">
        <v>22</v>
      </c>
      <c r="L915" s="18" t="s">
        <v>35</v>
      </c>
      <c r="M915" s="18" t="s">
        <v>32</v>
      </c>
      <c r="N915" s="22">
        <f t="shared" si="84"/>
        <v>0.85392191171324305</v>
      </c>
      <c r="O915" s="22">
        <f t="shared" si="85"/>
        <v>0.26283589953749797</v>
      </c>
      <c r="P915" s="23">
        <f t="shared" si="86"/>
        <v>1.26948070956033E-2</v>
      </c>
      <c r="Q915" s="23">
        <f t="shared" si="87"/>
        <v>4.8299365185432701E-2</v>
      </c>
      <c r="R915" s="22">
        <f t="shared" si="88"/>
        <v>2.25325124515772</v>
      </c>
      <c r="S915" s="22">
        <f t="shared" si="89"/>
        <v>3.25325124515772</v>
      </c>
    </row>
    <row r="916" spans="1:19">
      <c r="A916" s="18" t="s">
        <v>955</v>
      </c>
      <c r="B916" s="18" t="s">
        <v>26</v>
      </c>
      <c r="C916" s="18" t="s">
        <v>21</v>
      </c>
      <c r="D916" s="19">
        <v>44758</v>
      </c>
      <c r="E916" s="20">
        <v>45366</v>
      </c>
      <c r="F916" s="21">
        <v>50228.800000000003</v>
      </c>
      <c r="G916" s="21">
        <v>22785.599999999999</v>
      </c>
      <c r="H916" s="21">
        <v>14857.6</v>
      </c>
      <c r="I916" s="18">
        <v>3313.8719999999998</v>
      </c>
      <c r="J916" s="18">
        <v>9247.0400000000009</v>
      </c>
      <c r="K916" s="18" t="s">
        <v>38</v>
      </c>
      <c r="L916" s="18" t="s">
        <v>50</v>
      </c>
      <c r="M916" s="18" t="s">
        <v>32</v>
      </c>
      <c r="N916" s="22">
        <f t="shared" si="84"/>
        <v>0.45363616092759501</v>
      </c>
      <c r="O916" s="22">
        <f t="shared" si="85"/>
        <v>0.65206095077592896</v>
      </c>
      <c r="P916" s="23">
        <f t="shared" si="86"/>
        <v>0.14543711817990301</v>
      </c>
      <c r="Q916" s="23">
        <f t="shared" si="87"/>
        <v>0.22304221408572</v>
      </c>
      <c r="R916" s="22">
        <f t="shared" si="88"/>
        <v>1.7904034917462099</v>
      </c>
      <c r="S916" s="22">
        <f t="shared" si="89"/>
        <v>2.7904034917462099</v>
      </c>
    </row>
    <row r="917" spans="1:19">
      <c r="A917" s="18" t="s">
        <v>956</v>
      </c>
      <c r="B917" s="18" t="s">
        <v>40</v>
      </c>
      <c r="C917" s="18" t="s">
        <v>41</v>
      </c>
      <c r="D917" s="19">
        <v>44917</v>
      </c>
      <c r="E917" s="20">
        <v>45539</v>
      </c>
      <c r="F917" s="21">
        <v>41465.599999999999</v>
      </c>
      <c r="G917" s="21">
        <v>39689.599999999999</v>
      </c>
      <c r="H917" s="21">
        <v>9656</v>
      </c>
      <c r="I917" s="18">
        <v>190.84800000000001</v>
      </c>
      <c r="J917" s="18">
        <v>401.61599999999999</v>
      </c>
      <c r="K917" s="18" t="s">
        <v>43</v>
      </c>
      <c r="L917" s="18" t="s">
        <v>44</v>
      </c>
      <c r="M917" s="18" t="s">
        <v>32</v>
      </c>
      <c r="N917" s="22">
        <f t="shared" si="84"/>
        <v>0.95716931625250801</v>
      </c>
      <c r="O917" s="22">
        <f t="shared" si="85"/>
        <v>0.24328791421430301</v>
      </c>
      <c r="P917" s="23">
        <f t="shared" si="86"/>
        <v>4.80851406917681E-3</v>
      </c>
      <c r="Q917" s="23">
        <f t="shared" si="87"/>
        <v>1.97647058823529E-2</v>
      </c>
      <c r="R917" s="22">
        <f t="shared" si="88"/>
        <v>1.10437625754527</v>
      </c>
      <c r="S917" s="22">
        <f t="shared" si="89"/>
        <v>2.1043762575452698</v>
      </c>
    </row>
    <row r="918" spans="1:19">
      <c r="A918" s="18" t="s">
        <v>957</v>
      </c>
      <c r="B918" s="18" t="s">
        <v>40</v>
      </c>
      <c r="C918" s="18" t="s">
        <v>41</v>
      </c>
      <c r="D918" s="19">
        <v>44947</v>
      </c>
      <c r="E918" s="20">
        <v>45572</v>
      </c>
      <c r="F918" s="21">
        <v>45382.400000000001</v>
      </c>
      <c r="G918" s="21">
        <v>12152</v>
      </c>
      <c r="H918" s="21">
        <v>8660.7999999999993</v>
      </c>
      <c r="I918" s="18">
        <v>6139.2960000000003</v>
      </c>
      <c r="J918" s="18">
        <v>22700.335999999999</v>
      </c>
      <c r="K918" s="18" t="s">
        <v>30</v>
      </c>
      <c r="L918" s="18" t="s">
        <v>35</v>
      </c>
      <c r="M918" s="18" t="s">
        <v>24</v>
      </c>
      <c r="N918" s="22">
        <f t="shared" si="84"/>
        <v>0.26776900296150002</v>
      </c>
      <c r="O918" s="22">
        <f t="shared" si="85"/>
        <v>0.71270572745227101</v>
      </c>
      <c r="P918" s="23">
        <f t="shared" si="86"/>
        <v>0.50520868992758405</v>
      </c>
      <c r="Q918" s="23">
        <f t="shared" si="87"/>
        <v>0.70886015148716097</v>
      </c>
      <c r="R918" s="22">
        <f t="shared" si="88"/>
        <v>2.6975470803167001</v>
      </c>
      <c r="S918" s="22">
        <f t="shared" si="89"/>
        <v>3.6975470803167001</v>
      </c>
    </row>
    <row r="919" spans="1:19">
      <c r="A919" s="18" t="s">
        <v>958</v>
      </c>
      <c r="B919" s="18" t="s">
        <v>34</v>
      </c>
      <c r="C919" s="18" t="s">
        <v>21</v>
      </c>
      <c r="D919" s="19">
        <v>44765</v>
      </c>
      <c r="E919" s="20">
        <v>45387</v>
      </c>
      <c r="F919" s="21">
        <v>30440</v>
      </c>
      <c r="G919" s="21">
        <v>12084.8</v>
      </c>
      <c r="H919" s="21">
        <v>972.8</v>
      </c>
      <c r="I919" s="18">
        <v>7789.4080000000004</v>
      </c>
      <c r="J919" s="18">
        <v>26287.488000000001</v>
      </c>
      <c r="K919" s="18" t="s">
        <v>65</v>
      </c>
      <c r="L919" s="18" t="s">
        <v>44</v>
      </c>
      <c r="M919" s="18" t="s">
        <v>24</v>
      </c>
      <c r="N919" s="22">
        <f t="shared" si="84"/>
        <v>0.39700394218134</v>
      </c>
      <c r="O919" s="22">
        <f t="shared" si="85"/>
        <v>8.0497815437574505E-2</v>
      </c>
      <c r="P919" s="23">
        <f t="shared" si="86"/>
        <v>0.64456242552628096</v>
      </c>
      <c r="Q919" s="23">
        <f t="shared" si="87"/>
        <v>8.0072039473684207</v>
      </c>
      <c r="R919" s="22">
        <f t="shared" si="88"/>
        <v>2.3747735386309201</v>
      </c>
      <c r="S919" s="22">
        <f t="shared" si="89"/>
        <v>3.3747735386309201</v>
      </c>
    </row>
    <row r="920" spans="1:19">
      <c r="A920" s="18" t="s">
        <v>959</v>
      </c>
      <c r="B920" s="18" t="s">
        <v>34</v>
      </c>
      <c r="C920" s="18" t="s">
        <v>41</v>
      </c>
      <c r="D920" s="19">
        <v>44701</v>
      </c>
      <c r="E920" s="20">
        <v>45311</v>
      </c>
      <c r="F920" s="21">
        <v>48129.599999999999</v>
      </c>
      <c r="G920" s="21">
        <v>32099.200000000001</v>
      </c>
      <c r="H920" s="21">
        <v>6107.2</v>
      </c>
      <c r="I920" s="18">
        <v>2759.9839999999999</v>
      </c>
      <c r="J920" s="18">
        <v>5471.52</v>
      </c>
      <c r="K920" s="18" t="s">
        <v>43</v>
      </c>
      <c r="L920" s="18" t="s">
        <v>35</v>
      </c>
      <c r="M920" s="18" t="s">
        <v>32</v>
      </c>
      <c r="N920" s="22">
        <f t="shared" si="84"/>
        <v>0.66693261527209902</v>
      </c>
      <c r="O920" s="22">
        <f t="shared" si="85"/>
        <v>0.19026019340045899</v>
      </c>
      <c r="P920" s="23">
        <f t="shared" si="86"/>
        <v>8.5982952846176894E-2</v>
      </c>
      <c r="Q920" s="23">
        <f t="shared" si="87"/>
        <v>0.451922976159287</v>
      </c>
      <c r="R920" s="22">
        <f t="shared" si="88"/>
        <v>0.98244627505087001</v>
      </c>
      <c r="S920" s="22">
        <f t="shared" si="89"/>
        <v>1.98244627505087</v>
      </c>
    </row>
    <row r="921" spans="1:19">
      <c r="A921" s="18" t="s">
        <v>960</v>
      </c>
      <c r="B921" s="18" t="s">
        <v>20</v>
      </c>
      <c r="C921" s="18" t="s">
        <v>21</v>
      </c>
      <c r="D921" s="19">
        <v>44941</v>
      </c>
      <c r="E921" s="20">
        <v>45564</v>
      </c>
      <c r="F921" s="21">
        <v>72051.199999999997</v>
      </c>
      <c r="G921" s="21">
        <v>18084.8</v>
      </c>
      <c r="H921" s="21">
        <v>14664</v>
      </c>
      <c r="I921" s="18">
        <v>5535.2160000000003</v>
      </c>
      <c r="J921" s="18">
        <v>13295.168</v>
      </c>
      <c r="K921" s="18" t="s">
        <v>38</v>
      </c>
      <c r="L921" s="18" t="s">
        <v>23</v>
      </c>
      <c r="M921" s="18" t="s">
        <v>32</v>
      </c>
      <c r="N921" s="22">
        <f t="shared" si="84"/>
        <v>0.25099928939420901</v>
      </c>
      <c r="O921" s="22">
        <f t="shared" si="85"/>
        <v>0.81084667787313103</v>
      </c>
      <c r="P921" s="23">
        <f t="shared" si="86"/>
        <v>0.30607006989294899</v>
      </c>
      <c r="Q921" s="23">
        <f t="shared" si="87"/>
        <v>0.37746972176759402</v>
      </c>
      <c r="R921" s="22">
        <f t="shared" si="88"/>
        <v>1.40192397189197</v>
      </c>
      <c r="S921" s="22">
        <f t="shared" si="89"/>
        <v>2.40192397189197</v>
      </c>
    </row>
    <row r="922" spans="1:19">
      <c r="A922" s="18" t="s">
        <v>961</v>
      </c>
      <c r="B922" s="18" t="s">
        <v>20</v>
      </c>
      <c r="C922" s="18" t="s">
        <v>41</v>
      </c>
      <c r="D922" s="19">
        <v>44936</v>
      </c>
      <c r="E922" s="20">
        <v>45562</v>
      </c>
      <c r="F922" s="21">
        <v>58889.599999999999</v>
      </c>
      <c r="G922" s="21">
        <v>21403.200000000001</v>
      </c>
      <c r="H922" s="21">
        <v>5526.4</v>
      </c>
      <c r="I922" s="18">
        <v>6258.4319999999998</v>
      </c>
      <c r="J922" s="18">
        <v>16335.424000000001</v>
      </c>
      <c r="K922" s="18" t="s">
        <v>22</v>
      </c>
      <c r="L922" s="18" t="s">
        <v>50</v>
      </c>
      <c r="M922" s="18" t="s">
        <v>32</v>
      </c>
      <c r="N922" s="22">
        <f t="shared" si="84"/>
        <v>0.36344617725370898</v>
      </c>
      <c r="O922" s="22">
        <f t="shared" si="85"/>
        <v>0.25820438065335999</v>
      </c>
      <c r="P922" s="23">
        <f t="shared" si="86"/>
        <v>0.29240636914106299</v>
      </c>
      <c r="Q922" s="23">
        <f t="shared" si="87"/>
        <v>1.1324609148813001</v>
      </c>
      <c r="R922" s="22">
        <f t="shared" si="88"/>
        <v>1.6101464392359</v>
      </c>
      <c r="S922" s="22">
        <f t="shared" si="89"/>
        <v>2.6101464392359</v>
      </c>
    </row>
    <row r="923" spans="1:19">
      <c r="A923" s="18" t="s">
        <v>962</v>
      </c>
      <c r="B923" s="18" t="s">
        <v>47</v>
      </c>
      <c r="C923" s="18" t="s">
        <v>48</v>
      </c>
      <c r="D923" s="19">
        <v>44930</v>
      </c>
      <c r="E923" s="20">
        <v>45546</v>
      </c>
      <c r="F923" s="21">
        <v>71729.600000000006</v>
      </c>
      <c r="G923" s="21">
        <v>48076.800000000003</v>
      </c>
      <c r="H923" s="21">
        <v>33088</v>
      </c>
      <c r="I923" s="18">
        <v>1804.992</v>
      </c>
      <c r="J923" s="18">
        <v>2675.808</v>
      </c>
      <c r="K923" s="18" t="s">
        <v>22</v>
      </c>
      <c r="L923" s="18" t="s">
        <v>23</v>
      </c>
      <c r="M923" s="18" t="s">
        <v>32</v>
      </c>
      <c r="N923" s="22">
        <f t="shared" si="84"/>
        <v>0.67025049630835798</v>
      </c>
      <c r="O923" s="22">
        <f t="shared" si="85"/>
        <v>0.688232161874334</v>
      </c>
      <c r="P923" s="23">
        <f t="shared" si="86"/>
        <v>3.7543929712460102E-2</v>
      </c>
      <c r="Q923" s="23">
        <f t="shared" si="87"/>
        <v>5.4551257253384902E-2</v>
      </c>
      <c r="R923" s="22">
        <f t="shared" si="88"/>
        <v>0.48244867567280098</v>
      </c>
      <c r="S923" s="22">
        <f t="shared" si="89"/>
        <v>1.4824486756727999</v>
      </c>
    </row>
    <row r="924" spans="1:19">
      <c r="A924" s="18" t="s">
        <v>963</v>
      </c>
      <c r="B924" s="18" t="s">
        <v>47</v>
      </c>
      <c r="C924" s="18" t="s">
        <v>29</v>
      </c>
      <c r="D924" s="19">
        <v>44760</v>
      </c>
      <c r="E924" s="20">
        <v>45363</v>
      </c>
      <c r="F924" s="21">
        <v>78761.600000000006</v>
      </c>
      <c r="G924" s="21">
        <v>25196.799999999999</v>
      </c>
      <c r="H924" s="21">
        <v>24704</v>
      </c>
      <c r="I924" s="18">
        <v>5202.4639999999999</v>
      </c>
      <c r="J924" s="18">
        <v>16080.48</v>
      </c>
      <c r="K924" s="18" t="s">
        <v>65</v>
      </c>
      <c r="L924" s="18" t="s">
        <v>23</v>
      </c>
      <c r="M924" s="18" t="s">
        <v>32</v>
      </c>
      <c r="N924" s="22">
        <f t="shared" si="84"/>
        <v>0.31991224149839498</v>
      </c>
      <c r="O924" s="22">
        <f t="shared" si="85"/>
        <v>0.98044196088392199</v>
      </c>
      <c r="P924" s="23">
        <f t="shared" si="86"/>
        <v>0.206473202946406</v>
      </c>
      <c r="Q924" s="23">
        <f t="shared" si="87"/>
        <v>0.210591968911917</v>
      </c>
      <c r="R924" s="22">
        <f t="shared" si="88"/>
        <v>2.09093537216211</v>
      </c>
      <c r="S924" s="22">
        <f t="shared" si="89"/>
        <v>3.09093537216211</v>
      </c>
    </row>
    <row r="925" spans="1:19">
      <c r="A925" s="18" t="s">
        <v>964</v>
      </c>
      <c r="B925" s="18" t="s">
        <v>28</v>
      </c>
      <c r="C925" s="18" t="s">
        <v>29</v>
      </c>
      <c r="D925" s="19">
        <v>44868</v>
      </c>
      <c r="E925" s="20">
        <v>45469</v>
      </c>
      <c r="F925" s="21">
        <v>23664</v>
      </c>
      <c r="G925" s="21">
        <v>2217.6</v>
      </c>
      <c r="H925" s="21">
        <v>1528</v>
      </c>
      <c r="I925" s="18">
        <v>4392.384</v>
      </c>
      <c r="J925" s="18">
        <v>16523.439999999999</v>
      </c>
      <c r="K925" s="18" t="s">
        <v>22</v>
      </c>
      <c r="L925" s="18" t="s">
        <v>50</v>
      </c>
      <c r="M925" s="18" t="s">
        <v>32</v>
      </c>
      <c r="N925" s="22">
        <f t="shared" si="84"/>
        <v>9.3711967545638902E-2</v>
      </c>
      <c r="O925" s="22">
        <f t="shared" si="85"/>
        <v>0.689033189033189</v>
      </c>
      <c r="P925" s="23">
        <f t="shared" si="86"/>
        <v>1.9806926406926399</v>
      </c>
      <c r="Q925" s="23">
        <f t="shared" si="87"/>
        <v>2.87459685863874</v>
      </c>
      <c r="R925" s="22">
        <f t="shared" si="88"/>
        <v>2.7618386734857401</v>
      </c>
      <c r="S925" s="22">
        <f t="shared" si="89"/>
        <v>3.7618386734857401</v>
      </c>
    </row>
    <row r="926" spans="1:19">
      <c r="A926" s="18" t="s">
        <v>965</v>
      </c>
      <c r="B926" s="18" t="s">
        <v>47</v>
      </c>
      <c r="C926" s="18" t="s">
        <v>41</v>
      </c>
      <c r="D926" s="19">
        <v>44864</v>
      </c>
      <c r="E926" s="20">
        <v>45478</v>
      </c>
      <c r="F926" s="21">
        <v>34518.400000000001</v>
      </c>
      <c r="G926" s="21">
        <v>27416</v>
      </c>
      <c r="H926" s="21">
        <v>18328</v>
      </c>
      <c r="I926" s="18">
        <v>5107.6319999999996</v>
      </c>
      <c r="J926" s="18">
        <v>20375.12</v>
      </c>
      <c r="K926" s="18" t="s">
        <v>43</v>
      </c>
      <c r="L926" s="18" t="s">
        <v>35</v>
      </c>
      <c r="M926" s="18" t="s">
        <v>24</v>
      </c>
      <c r="N926" s="22">
        <f t="shared" si="84"/>
        <v>0.79424307036247299</v>
      </c>
      <c r="O926" s="22">
        <f t="shared" si="85"/>
        <v>0.66851473592063004</v>
      </c>
      <c r="P926" s="23">
        <f t="shared" si="86"/>
        <v>0.18630113802159301</v>
      </c>
      <c r="Q926" s="23">
        <f t="shared" si="87"/>
        <v>0.27867917939764297</v>
      </c>
      <c r="R926" s="22">
        <f t="shared" si="88"/>
        <v>2.9891519201070098</v>
      </c>
      <c r="S926" s="22">
        <f t="shared" si="89"/>
        <v>3.9891519201070098</v>
      </c>
    </row>
    <row r="927" spans="1:19">
      <c r="A927" s="18" t="s">
        <v>966</v>
      </c>
      <c r="B927" s="18" t="s">
        <v>47</v>
      </c>
      <c r="C927" s="18" t="s">
        <v>29</v>
      </c>
      <c r="D927" s="19">
        <v>44776</v>
      </c>
      <c r="E927" s="20">
        <v>45398</v>
      </c>
      <c r="F927" s="21">
        <v>77675.199999999997</v>
      </c>
      <c r="G927" s="21">
        <v>41776</v>
      </c>
      <c r="H927" s="21">
        <v>32977.599999999999</v>
      </c>
      <c r="I927" s="18">
        <v>4730.576</v>
      </c>
      <c r="J927" s="18">
        <v>13328.016</v>
      </c>
      <c r="K927" s="18" t="s">
        <v>22</v>
      </c>
      <c r="L927" s="18" t="s">
        <v>50</v>
      </c>
      <c r="M927" s="18" t="s">
        <v>32</v>
      </c>
      <c r="N927" s="22">
        <f t="shared" si="84"/>
        <v>0.53782932004037298</v>
      </c>
      <c r="O927" s="22">
        <f t="shared" si="85"/>
        <v>0.789391037916507</v>
      </c>
      <c r="P927" s="23">
        <f t="shared" si="86"/>
        <v>0.113236690923018</v>
      </c>
      <c r="Q927" s="23">
        <f t="shared" si="87"/>
        <v>0.14344815875018199</v>
      </c>
      <c r="R927" s="22">
        <f t="shared" si="88"/>
        <v>1.81741927410108</v>
      </c>
      <c r="S927" s="22">
        <f t="shared" si="89"/>
        <v>2.8174192741010802</v>
      </c>
    </row>
    <row r="928" spans="1:19">
      <c r="A928" s="18" t="s">
        <v>967</v>
      </c>
      <c r="B928" s="18" t="s">
        <v>20</v>
      </c>
      <c r="C928" s="18" t="s">
        <v>48</v>
      </c>
      <c r="D928" s="19">
        <v>44732</v>
      </c>
      <c r="E928" s="20">
        <v>45357</v>
      </c>
      <c r="F928" s="21">
        <v>65611.199999999997</v>
      </c>
      <c r="G928" s="21">
        <v>18484.8</v>
      </c>
      <c r="H928" s="21">
        <v>11489.6</v>
      </c>
      <c r="I928" s="18">
        <v>490.608</v>
      </c>
      <c r="J928" s="18">
        <v>1619.568</v>
      </c>
      <c r="K928" s="18" t="s">
        <v>30</v>
      </c>
      <c r="L928" s="18" t="s">
        <v>50</v>
      </c>
      <c r="M928" s="18" t="s">
        <v>24</v>
      </c>
      <c r="N928" s="22">
        <f t="shared" si="84"/>
        <v>0.28173238715341298</v>
      </c>
      <c r="O928" s="22">
        <f t="shared" si="85"/>
        <v>0.62157015493811096</v>
      </c>
      <c r="P928" s="23">
        <f t="shared" si="86"/>
        <v>2.6541158140742701E-2</v>
      </c>
      <c r="Q928" s="23">
        <f t="shared" si="87"/>
        <v>4.2700181033282297E-2</v>
      </c>
      <c r="R928" s="22">
        <f t="shared" si="88"/>
        <v>2.3011447020839402</v>
      </c>
      <c r="S928" s="22">
        <f t="shared" si="89"/>
        <v>3.3011447020839402</v>
      </c>
    </row>
    <row r="929" spans="1:19">
      <c r="A929" s="18" t="s">
        <v>968</v>
      </c>
      <c r="B929" s="18" t="s">
        <v>26</v>
      </c>
      <c r="C929" s="18" t="s">
        <v>21</v>
      </c>
      <c r="D929" s="19">
        <v>44800</v>
      </c>
      <c r="E929" s="20">
        <v>45414</v>
      </c>
      <c r="F929" s="21">
        <v>4972.8</v>
      </c>
      <c r="G929" s="21">
        <v>2632</v>
      </c>
      <c r="H929" s="21">
        <v>675.2</v>
      </c>
      <c r="I929" s="18">
        <v>2933.6640000000002</v>
      </c>
      <c r="J929" s="18">
        <v>10916.656000000001</v>
      </c>
      <c r="K929" s="18" t="s">
        <v>65</v>
      </c>
      <c r="L929" s="18" t="s">
        <v>35</v>
      </c>
      <c r="M929" s="18" t="s">
        <v>32</v>
      </c>
      <c r="N929" s="22">
        <f t="shared" si="84"/>
        <v>0.52927927927927898</v>
      </c>
      <c r="O929" s="22">
        <f t="shared" si="85"/>
        <v>0.25653495440729501</v>
      </c>
      <c r="P929" s="23">
        <f t="shared" si="86"/>
        <v>1.1146139817629199</v>
      </c>
      <c r="Q929" s="23">
        <f t="shared" si="87"/>
        <v>4.3448815165876802</v>
      </c>
      <c r="R929" s="22">
        <f t="shared" si="88"/>
        <v>2.72116779563031</v>
      </c>
      <c r="S929" s="22">
        <f t="shared" si="89"/>
        <v>3.72116779563031</v>
      </c>
    </row>
    <row r="930" spans="1:19">
      <c r="A930" s="18" t="s">
        <v>969</v>
      </c>
      <c r="B930" s="18" t="s">
        <v>47</v>
      </c>
      <c r="C930" s="18" t="s">
        <v>48</v>
      </c>
      <c r="D930" s="19">
        <v>44793</v>
      </c>
      <c r="E930" s="20">
        <v>45398</v>
      </c>
      <c r="F930" s="21">
        <v>69555.199999999997</v>
      </c>
      <c r="G930" s="21">
        <v>46289.599999999999</v>
      </c>
      <c r="H930" s="21">
        <v>34592</v>
      </c>
      <c r="I930" s="18">
        <v>417.6</v>
      </c>
      <c r="J930" s="18">
        <v>983.29600000000005</v>
      </c>
      <c r="K930" s="18" t="s">
        <v>22</v>
      </c>
      <c r="L930" s="18" t="s">
        <v>23</v>
      </c>
      <c r="M930" s="18" t="s">
        <v>32</v>
      </c>
      <c r="N930" s="22">
        <f t="shared" si="84"/>
        <v>0.66550883327199095</v>
      </c>
      <c r="O930" s="22">
        <f t="shared" si="85"/>
        <v>0.74729528879057106</v>
      </c>
      <c r="P930" s="23">
        <f t="shared" si="86"/>
        <v>9.0214648646780304E-3</v>
      </c>
      <c r="Q930" s="23">
        <f t="shared" si="87"/>
        <v>1.20721554116559E-2</v>
      </c>
      <c r="R930" s="22">
        <f t="shared" si="88"/>
        <v>1.35463601532567</v>
      </c>
      <c r="S930" s="22">
        <f t="shared" si="89"/>
        <v>2.3546360153256698</v>
      </c>
    </row>
    <row r="931" spans="1:19">
      <c r="A931" s="18" t="s">
        <v>970</v>
      </c>
      <c r="B931" s="18" t="s">
        <v>40</v>
      </c>
      <c r="C931" s="18" t="s">
        <v>29</v>
      </c>
      <c r="D931" s="19">
        <v>44812</v>
      </c>
      <c r="E931" s="20">
        <v>45430</v>
      </c>
      <c r="F931" s="21">
        <v>32984</v>
      </c>
      <c r="G931" s="21">
        <v>20812.8</v>
      </c>
      <c r="H931" s="21">
        <v>5003.2</v>
      </c>
      <c r="I931" s="18">
        <v>387.52</v>
      </c>
      <c r="J931" s="18">
        <v>1536.096</v>
      </c>
      <c r="K931" s="18" t="s">
        <v>38</v>
      </c>
      <c r="L931" s="18" t="s">
        <v>50</v>
      </c>
      <c r="M931" s="18" t="s">
        <v>24</v>
      </c>
      <c r="N931" s="22">
        <f t="shared" si="84"/>
        <v>0.63099684695610003</v>
      </c>
      <c r="O931" s="22">
        <f t="shared" si="85"/>
        <v>0.240390528905289</v>
      </c>
      <c r="P931" s="23">
        <f t="shared" si="86"/>
        <v>1.8619311193111901E-2</v>
      </c>
      <c r="Q931" s="23">
        <f t="shared" si="87"/>
        <v>7.7454429165334196E-2</v>
      </c>
      <c r="R931" s="22">
        <f t="shared" si="88"/>
        <v>2.9639141205615198</v>
      </c>
      <c r="S931" s="22">
        <f t="shared" si="89"/>
        <v>3.9639141205615198</v>
      </c>
    </row>
    <row r="932" spans="1:19">
      <c r="A932" s="18" t="s">
        <v>971</v>
      </c>
      <c r="B932" s="18" t="s">
        <v>47</v>
      </c>
      <c r="C932" s="18" t="s">
        <v>21</v>
      </c>
      <c r="D932" s="19">
        <v>44791</v>
      </c>
      <c r="E932" s="20">
        <v>45410</v>
      </c>
      <c r="F932" s="21">
        <v>9654.4</v>
      </c>
      <c r="G932" s="21">
        <v>6916.8</v>
      </c>
      <c r="H932" s="21">
        <v>3273.6</v>
      </c>
      <c r="I932" s="18">
        <v>6539.5680000000002</v>
      </c>
      <c r="J932" s="18">
        <v>26033.632000000001</v>
      </c>
      <c r="K932" s="18" t="s">
        <v>22</v>
      </c>
      <c r="L932" s="18" t="s">
        <v>31</v>
      </c>
      <c r="M932" s="18" t="s">
        <v>24</v>
      </c>
      <c r="N932" s="22">
        <f t="shared" si="84"/>
        <v>0.71644017235664603</v>
      </c>
      <c r="O932" s="22">
        <f t="shared" si="85"/>
        <v>0.473282442748092</v>
      </c>
      <c r="P932" s="23">
        <f t="shared" si="86"/>
        <v>0.94546148507980599</v>
      </c>
      <c r="Q932" s="23">
        <f t="shared" si="87"/>
        <v>1.9976686217008801</v>
      </c>
      <c r="R932" s="22">
        <f t="shared" si="88"/>
        <v>2.9809406370573699</v>
      </c>
      <c r="S932" s="22">
        <f t="shared" si="89"/>
        <v>3.9809406370573699</v>
      </c>
    </row>
    <row r="933" spans="1:19">
      <c r="A933" s="18" t="s">
        <v>972</v>
      </c>
      <c r="B933" s="18" t="s">
        <v>40</v>
      </c>
      <c r="C933" s="18" t="s">
        <v>48</v>
      </c>
      <c r="D933" s="19">
        <v>44916</v>
      </c>
      <c r="E933" s="20">
        <v>45543</v>
      </c>
      <c r="F933" s="21">
        <v>27624</v>
      </c>
      <c r="G933" s="21">
        <v>17672</v>
      </c>
      <c r="H933" s="21">
        <v>6840</v>
      </c>
      <c r="I933" s="18">
        <v>4544.4319999999998</v>
      </c>
      <c r="J933" s="18">
        <v>14630.624</v>
      </c>
      <c r="K933" s="18" t="s">
        <v>43</v>
      </c>
      <c r="L933" s="18" t="s">
        <v>23</v>
      </c>
      <c r="M933" s="18" t="s">
        <v>32</v>
      </c>
      <c r="N933" s="22">
        <f t="shared" si="84"/>
        <v>0.63973356501592804</v>
      </c>
      <c r="O933" s="22">
        <f t="shared" si="85"/>
        <v>0.38705296514259802</v>
      </c>
      <c r="P933" s="23">
        <f t="shared" si="86"/>
        <v>0.25715436849253098</v>
      </c>
      <c r="Q933" s="23">
        <f t="shared" si="87"/>
        <v>0.66439064327485398</v>
      </c>
      <c r="R933" s="22">
        <f t="shared" si="88"/>
        <v>2.2194615300658</v>
      </c>
      <c r="S933" s="22">
        <f t="shared" si="89"/>
        <v>3.2194615300658</v>
      </c>
    </row>
    <row r="934" spans="1:19">
      <c r="A934" s="18" t="s">
        <v>973</v>
      </c>
      <c r="B934" s="18" t="s">
        <v>26</v>
      </c>
      <c r="C934" s="18" t="s">
        <v>41</v>
      </c>
      <c r="D934" s="19">
        <v>44865</v>
      </c>
      <c r="E934" s="20">
        <v>45466</v>
      </c>
      <c r="F934" s="21">
        <v>25560</v>
      </c>
      <c r="G934" s="21">
        <v>12142.4</v>
      </c>
      <c r="H934" s="21">
        <v>11436.8</v>
      </c>
      <c r="I934" s="18">
        <v>1554.576</v>
      </c>
      <c r="J934" s="18">
        <v>2724.32</v>
      </c>
      <c r="K934" s="18" t="s">
        <v>43</v>
      </c>
      <c r="L934" s="18" t="s">
        <v>31</v>
      </c>
      <c r="M934" s="18" t="s">
        <v>24</v>
      </c>
      <c r="N934" s="22">
        <f t="shared" si="84"/>
        <v>0.47505477308294197</v>
      </c>
      <c r="O934" s="22">
        <f t="shared" si="85"/>
        <v>0.94188957701937004</v>
      </c>
      <c r="P934" s="23">
        <f t="shared" si="86"/>
        <v>0.12802872578732399</v>
      </c>
      <c r="Q934" s="23">
        <f t="shared" si="87"/>
        <v>0.13592753217683301</v>
      </c>
      <c r="R934" s="22">
        <f t="shared" si="88"/>
        <v>0.75245211556076996</v>
      </c>
      <c r="S934" s="22">
        <f t="shared" si="89"/>
        <v>1.75245211556077</v>
      </c>
    </row>
    <row r="935" spans="1:19">
      <c r="A935" s="18" t="s">
        <v>974</v>
      </c>
      <c r="B935" s="18" t="s">
        <v>40</v>
      </c>
      <c r="C935" s="18" t="s">
        <v>41</v>
      </c>
      <c r="D935" s="19">
        <v>44812</v>
      </c>
      <c r="E935" s="20">
        <v>45429</v>
      </c>
      <c r="F935" s="21">
        <v>41176</v>
      </c>
      <c r="G935" s="21">
        <v>33681.599999999999</v>
      </c>
      <c r="H935" s="21">
        <v>14948.8</v>
      </c>
      <c r="I935" s="18">
        <v>417.952</v>
      </c>
      <c r="J935" s="18">
        <v>546.06399999999996</v>
      </c>
      <c r="K935" s="18" t="s">
        <v>38</v>
      </c>
      <c r="L935" s="18" t="s">
        <v>44</v>
      </c>
      <c r="M935" s="18" t="s">
        <v>32</v>
      </c>
      <c r="N935" s="22">
        <f t="shared" si="84"/>
        <v>0.817991062755003</v>
      </c>
      <c r="O935" s="22">
        <f t="shared" si="85"/>
        <v>0.44382689658448499</v>
      </c>
      <c r="P935" s="23">
        <f t="shared" si="86"/>
        <v>1.2408911690655999E-2</v>
      </c>
      <c r="Q935" s="23">
        <f t="shared" si="87"/>
        <v>2.7958899711013601E-2</v>
      </c>
      <c r="R935" s="22">
        <f t="shared" si="88"/>
        <v>0.306523237118138</v>
      </c>
      <c r="S935" s="22">
        <f t="shared" si="89"/>
        <v>1.3065232371181399</v>
      </c>
    </row>
    <row r="936" spans="1:19">
      <c r="A936" s="18" t="s">
        <v>975</v>
      </c>
      <c r="B936" s="18" t="s">
        <v>28</v>
      </c>
      <c r="C936" s="18" t="s">
        <v>29</v>
      </c>
      <c r="D936" s="19">
        <v>44707</v>
      </c>
      <c r="E936" s="20">
        <v>45335</v>
      </c>
      <c r="F936" s="21">
        <v>21172.799999999999</v>
      </c>
      <c r="G936" s="21">
        <v>15384</v>
      </c>
      <c r="H936" s="21">
        <v>7676.8</v>
      </c>
      <c r="I936" s="18">
        <v>5491.152</v>
      </c>
      <c r="J936" s="18">
        <v>16631.536</v>
      </c>
      <c r="K936" s="18" t="s">
        <v>65</v>
      </c>
      <c r="L936" s="18" t="s">
        <v>35</v>
      </c>
      <c r="M936" s="18" t="s">
        <v>24</v>
      </c>
      <c r="N936" s="22">
        <f t="shared" si="84"/>
        <v>0.72659260938562698</v>
      </c>
      <c r="O936" s="22">
        <f t="shared" si="85"/>
        <v>0.499011960478419</v>
      </c>
      <c r="P936" s="23">
        <f t="shared" si="86"/>
        <v>0.35693915756630301</v>
      </c>
      <c r="Q936" s="23">
        <f t="shared" si="87"/>
        <v>0.71529178824510198</v>
      </c>
      <c r="R936" s="22">
        <f t="shared" si="88"/>
        <v>2.02878813043238</v>
      </c>
      <c r="S936" s="22">
        <f t="shared" si="89"/>
        <v>3.02878813043238</v>
      </c>
    </row>
    <row r="937" spans="1:19">
      <c r="A937" s="18" t="s">
        <v>976</v>
      </c>
      <c r="B937" s="18" t="s">
        <v>28</v>
      </c>
      <c r="C937" s="18" t="s">
        <v>29</v>
      </c>
      <c r="D937" s="19">
        <v>44730</v>
      </c>
      <c r="E937" s="20">
        <v>45354</v>
      </c>
      <c r="F937" s="21">
        <v>16329.6</v>
      </c>
      <c r="G937" s="21">
        <v>9174.4</v>
      </c>
      <c r="H937" s="21">
        <v>9020.7999999999993</v>
      </c>
      <c r="I937" s="18">
        <v>6950.0320000000002</v>
      </c>
      <c r="J937" s="18">
        <v>12366.208000000001</v>
      </c>
      <c r="K937" s="18" t="s">
        <v>22</v>
      </c>
      <c r="L937" s="18" t="s">
        <v>44</v>
      </c>
      <c r="M937" s="18" t="s">
        <v>24</v>
      </c>
      <c r="N937" s="22">
        <f t="shared" si="84"/>
        <v>0.56182637664119095</v>
      </c>
      <c r="O937" s="22">
        <f t="shared" si="85"/>
        <v>0.98325776072549698</v>
      </c>
      <c r="P937" s="23">
        <f t="shared" si="86"/>
        <v>0.75754621555633095</v>
      </c>
      <c r="Q937" s="23">
        <f t="shared" si="87"/>
        <v>0.77044519333096895</v>
      </c>
      <c r="R937" s="22">
        <f t="shared" si="88"/>
        <v>0.77930231112604997</v>
      </c>
      <c r="S937" s="22">
        <f t="shared" si="89"/>
        <v>1.77930231112605</v>
      </c>
    </row>
    <row r="938" spans="1:19">
      <c r="A938" s="18" t="s">
        <v>977</v>
      </c>
      <c r="B938" s="18" t="s">
        <v>40</v>
      </c>
      <c r="C938" s="18" t="s">
        <v>21</v>
      </c>
      <c r="D938" s="19">
        <v>44832</v>
      </c>
      <c r="E938" s="20">
        <v>45434</v>
      </c>
      <c r="F938" s="21">
        <v>73246.399999999994</v>
      </c>
      <c r="G938" s="21">
        <v>56176</v>
      </c>
      <c r="H938" s="21">
        <v>40761.599999999999</v>
      </c>
      <c r="I938" s="18">
        <v>4049.28</v>
      </c>
      <c r="J938" s="18">
        <v>15115.183999999999</v>
      </c>
      <c r="K938" s="18" t="s">
        <v>43</v>
      </c>
      <c r="L938" s="18" t="s">
        <v>50</v>
      </c>
      <c r="M938" s="18" t="s">
        <v>32</v>
      </c>
      <c r="N938" s="22">
        <f t="shared" si="84"/>
        <v>0.76694554271609305</v>
      </c>
      <c r="O938" s="22">
        <f t="shared" si="85"/>
        <v>0.72560524067217302</v>
      </c>
      <c r="P938" s="23">
        <f t="shared" si="86"/>
        <v>7.2082027912275706E-2</v>
      </c>
      <c r="Q938" s="23">
        <f t="shared" si="87"/>
        <v>9.9340555817239801E-2</v>
      </c>
      <c r="R938" s="22">
        <f t="shared" si="88"/>
        <v>2.7328078078078102</v>
      </c>
      <c r="S938" s="22">
        <f t="shared" si="89"/>
        <v>3.7328078078078102</v>
      </c>
    </row>
    <row r="939" spans="1:19">
      <c r="A939" s="18" t="s">
        <v>978</v>
      </c>
      <c r="B939" s="18" t="s">
        <v>26</v>
      </c>
      <c r="C939" s="18" t="s">
        <v>21</v>
      </c>
      <c r="D939" s="19">
        <v>44923</v>
      </c>
      <c r="E939" s="20">
        <v>45548</v>
      </c>
      <c r="F939" s="21">
        <v>12364.8</v>
      </c>
      <c r="G939" s="21">
        <v>2112</v>
      </c>
      <c r="H939" s="21">
        <v>966.4</v>
      </c>
      <c r="I939" s="18">
        <v>3444.7359999999999</v>
      </c>
      <c r="J939" s="18">
        <v>9590.3680000000004</v>
      </c>
      <c r="K939" s="18" t="s">
        <v>43</v>
      </c>
      <c r="L939" s="18" t="s">
        <v>50</v>
      </c>
      <c r="M939" s="18" t="s">
        <v>24</v>
      </c>
      <c r="N939" s="22">
        <f t="shared" si="84"/>
        <v>0.170807453416149</v>
      </c>
      <c r="O939" s="22">
        <f t="shared" si="85"/>
        <v>0.45757575757575802</v>
      </c>
      <c r="P939" s="23">
        <f t="shared" si="86"/>
        <v>1.6310303030302999</v>
      </c>
      <c r="Q939" s="23">
        <f t="shared" si="87"/>
        <v>3.5645033112582798</v>
      </c>
      <c r="R939" s="22">
        <f t="shared" si="88"/>
        <v>1.7840647294887</v>
      </c>
      <c r="S939" s="22">
        <f t="shared" si="89"/>
        <v>2.7840647294887</v>
      </c>
    </row>
    <row r="940" spans="1:19">
      <c r="A940" s="18" t="s">
        <v>979</v>
      </c>
      <c r="B940" s="18" t="s">
        <v>47</v>
      </c>
      <c r="C940" s="18" t="s">
        <v>41</v>
      </c>
      <c r="D940" s="19">
        <v>44693</v>
      </c>
      <c r="E940" s="20">
        <v>45305</v>
      </c>
      <c r="F940" s="21">
        <v>48596.800000000003</v>
      </c>
      <c r="G940" s="21">
        <v>45974.400000000001</v>
      </c>
      <c r="H940" s="21">
        <v>33622.400000000001</v>
      </c>
      <c r="I940" s="18">
        <v>7855.7280000000001</v>
      </c>
      <c r="J940" s="18">
        <v>18487.552</v>
      </c>
      <c r="K940" s="18" t="s">
        <v>30</v>
      </c>
      <c r="L940" s="18" t="s">
        <v>31</v>
      </c>
      <c r="M940" s="18" t="s">
        <v>32</v>
      </c>
      <c r="N940" s="22">
        <f t="shared" si="84"/>
        <v>0.94603759918348496</v>
      </c>
      <c r="O940" s="22">
        <f t="shared" si="85"/>
        <v>0.73132873947240196</v>
      </c>
      <c r="P940" s="23">
        <f t="shared" si="86"/>
        <v>0.17087178951764501</v>
      </c>
      <c r="Q940" s="23">
        <f t="shared" si="87"/>
        <v>0.23364566479489901</v>
      </c>
      <c r="R940" s="22">
        <f t="shared" si="88"/>
        <v>1.35338494408157</v>
      </c>
      <c r="S940" s="22">
        <f t="shared" si="89"/>
        <v>2.35338494408157</v>
      </c>
    </row>
    <row r="941" spans="1:19">
      <c r="A941" s="18" t="s">
        <v>980</v>
      </c>
      <c r="B941" s="18" t="s">
        <v>28</v>
      </c>
      <c r="C941" s="18" t="s">
        <v>29</v>
      </c>
      <c r="D941" s="19">
        <v>44748</v>
      </c>
      <c r="E941" s="20">
        <v>45361</v>
      </c>
      <c r="F941" s="21">
        <v>61166.400000000001</v>
      </c>
      <c r="G941" s="21">
        <v>22512</v>
      </c>
      <c r="H941" s="21">
        <v>19131.2</v>
      </c>
      <c r="I941" s="18">
        <v>3037.3119999999999</v>
      </c>
      <c r="J941" s="18">
        <v>11149.984</v>
      </c>
      <c r="K941" s="18" t="s">
        <v>30</v>
      </c>
      <c r="L941" s="18" t="s">
        <v>35</v>
      </c>
      <c r="M941" s="18" t="s">
        <v>24</v>
      </c>
      <c r="N941" s="22">
        <f t="shared" si="84"/>
        <v>0.36804520128698098</v>
      </c>
      <c r="O941" s="22">
        <f t="shared" si="85"/>
        <v>0.84982231698649602</v>
      </c>
      <c r="P941" s="23">
        <f t="shared" si="86"/>
        <v>0.13491968727789599</v>
      </c>
      <c r="Q941" s="23">
        <f t="shared" si="87"/>
        <v>0.158762231328929</v>
      </c>
      <c r="R941" s="22">
        <f t="shared" si="88"/>
        <v>2.6710038349698699</v>
      </c>
      <c r="S941" s="22">
        <f t="shared" si="89"/>
        <v>3.6710038349698699</v>
      </c>
    </row>
    <row r="942" spans="1:19">
      <c r="A942" s="18" t="s">
        <v>981</v>
      </c>
      <c r="B942" s="18" t="s">
        <v>20</v>
      </c>
      <c r="C942" s="18" t="s">
        <v>48</v>
      </c>
      <c r="D942" s="19">
        <v>44975</v>
      </c>
      <c r="E942" s="20">
        <v>45589</v>
      </c>
      <c r="F942" s="21">
        <v>56752</v>
      </c>
      <c r="G942" s="21">
        <v>2185.6</v>
      </c>
      <c r="H942" s="21">
        <v>1705.6</v>
      </c>
      <c r="I942" s="18">
        <v>1749.184</v>
      </c>
      <c r="J942" s="18">
        <v>4055.904</v>
      </c>
      <c r="K942" s="18" t="s">
        <v>65</v>
      </c>
      <c r="L942" s="18" t="s">
        <v>31</v>
      </c>
      <c r="M942" s="18" t="s">
        <v>24</v>
      </c>
      <c r="N942" s="22">
        <f t="shared" si="84"/>
        <v>3.8511418099802699E-2</v>
      </c>
      <c r="O942" s="22">
        <f t="shared" si="85"/>
        <v>0.78038067349926798</v>
      </c>
      <c r="P942" s="23">
        <f t="shared" si="86"/>
        <v>0.80032210834553397</v>
      </c>
      <c r="Q942" s="23">
        <f t="shared" si="87"/>
        <v>1.0255534709193199</v>
      </c>
      <c r="R942" s="22">
        <f t="shared" si="88"/>
        <v>1.31874062419963</v>
      </c>
      <c r="S942" s="22">
        <f t="shared" si="89"/>
        <v>2.3187406241996298</v>
      </c>
    </row>
    <row r="943" spans="1:19">
      <c r="A943" s="18" t="s">
        <v>982</v>
      </c>
      <c r="B943" s="18" t="s">
        <v>34</v>
      </c>
      <c r="C943" s="18" t="s">
        <v>29</v>
      </c>
      <c r="D943" s="19">
        <v>44902</v>
      </c>
      <c r="E943" s="20">
        <v>45516</v>
      </c>
      <c r="F943" s="21">
        <v>71390.399999999994</v>
      </c>
      <c r="G943" s="21">
        <v>609.6</v>
      </c>
      <c r="H943" s="21">
        <v>230.4</v>
      </c>
      <c r="I943" s="18">
        <v>1031.8720000000001</v>
      </c>
      <c r="J943" s="18">
        <v>2729.0880000000002</v>
      </c>
      <c r="K943" s="18" t="s">
        <v>65</v>
      </c>
      <c r="L943" s="18" t="s">
        <v>31</v>
      </c>
      <c r="M943" s="18" t="s">
        <v>24</v>
      </c>
      <c r="N943" s="22">
        <f t="shared" si="84"/>
        <v>8.5389632219458108E-3</v>
      </c>
      <c r="O943" s="22">
        <f t="shared" si="85"/>
        <v>0.37795275590551197</v>
      </c>
      <c r="P943" s="23">
        <f t="shared" si="86"/>
        <v>1.6927034120734901</v>
      </c>
      <c r="Q943" s="23">
        <f t="shared" si="87"/>
        <v>4.4786111111111104</v>
      </c>
      <c r="R943" s="22">
        <f t="shared" si="88"/>
        <v>1.64479315263909</v>
      </c>
      <c r="S943" s="22">
        <f t="shared" si="89"/>
        <v>2.6447931526390902</v>
      </c>
    </row>
    <row r="944" spans="1:19">
      <c r="A944" s="18" t="s">
        <v>983</v>
      </c>
      <c r="B944" s="18" t="s">
        <v>20</v>
      </c>
      <c r="C944" s="18" t="s">
        <v>29</v>
      </c>
      <c r="D944" s="19">
        <v>44753</v>
      </c>
      <c r="E944" s="20">
        <v>45373</v>
      </c>
      <c r="F944" s="21">
        <v>51348.800000000003</v>
      </c>
      <c r="G944" s="21">
        <v>1075.2</v>
      </c>
      <c r="H944" s="21">
        <v>934.4</v>
      </c>
      <c r="I944" s="18">
        <v>1549.5360000000001</v>
      </c>
      <c r="J944" s="18">
        <v>2052.5120000000002</v>
      </c>
      <c r="K944" s="18" t="s">
        <v>65</v>
      </c>
      <c r="L944" s="18" t="s">
        <v>44</v>
      </c>
      <c r="M944" s="18" t="s">
        <v>24</v>
      </c>
      <c r="N944" s="22">
        <f t="shared" si="84"/>
        <v>2.0939145608076502E-2</v>
      </c>
      <c r="O944" s="22">
        <f t="shared" si="85"/>
        <v>0.86904761904761896</v>
      </c>
      <c r="P944" s="23">
        <f t="shared" si="86"/>
        <v>1.4411607142857099</v>
      </c>
      <c r="Q944" s="23">
        <f t="shared" si="87"/>
        <v>1.65832191780822</v>
      </c>
      <c r="R944" s="22">
        <f t="shared" si="88"/>
        <v>0.324597815087871</v>
      </c>
      <c r="S944" s="22">
        <f t="shared" si="89"/>
        <v>1.3245978150878699</v>
      </c>
    </row>
    <row r="945" spans="1:19">
      <c r="A945" s="18" t="s">
        <v>984</v>
      </c>
      <c r="B945" s="18" t="s">
        <v>26</v>
      </c>
      <c r="C945" s="18" t="s">
        <v>21</v>
      </c>
      <c r="D945" s="19">
        <v>44921</v>
      </c>
      <c r="E945" s="20">
        <v>45539</v>
      </c>
      <c r="F945" s="21">
        <v>16649.599999999999</v>
      </c>
      <c r="G945" s="21">
        <v>2190.4</v>
      </c>
      <c r="H945" s="21">
        <v>608</v>
      </c>
      <c r="I945" s="18">
        <v>512.83199999999999</v>
      </c>
      <c r="J945" s="18">
        <v>716.38400000000001</v>
      </c>
      <c r="K945" s="18" t="s">
        <v>65</v>
      </c>
      <c r="L945" s="18" t="s">
        <v>31</v>
      </c>
      <c r="M945" s="18" t="s">
        <v>24</v>
      </c>
      <c r="N945" s="22">
        <f t="shared" si="84"/>
        <v>0.131558716125312</v>
      </c>
      <c r="O945" s="22">
        <f t="shared" si="85"/>
        <v>0.27757487216946702</v>
      </c>
      <c r="P945" s="23">
        <f t="shared" si="86"/>
        <v>0.23412710007304599</v>
      </c>
      <c r="Q945" s="23">
        <f t="shared" si="87"/>
        <v>0.84347368421052604</v>
      </c>
      <c r="R945" s="22">
        <f t="shared" si="88"/>
        <v>0.39691750904779699</v>
      </c>
      <c r="S945" s="22">
        <f t="shared" si="89"/>
        <v>1.3969175090478001</v>
      </c>
    </row>
    <row r="946" spans="1:19">
      <c r="A946" s="18" t="s">
        <v>985</v>
      </c>
      <c r="B946" s="18" t="s">
        <v>47</v>
      </c>
      <c r="C946" s="18" t="s">
        <v>41</v>
      </c>
      <c r="D946" s="19">
        <v>44917</v>
      </c>
      <c r="E946" s="20">
        <v>45528</v>
      </c>
      <c r="F946" s="21">
        <v>77718.399999999994</v>
      </c>
      <c r="G946" s="21">
        <v>11955.2</v>
      </c>
      <c r="H946" s="21">
        <v>5833.6</v>
      </c>
      <c r="I946" s="18">
        <v>5577.7120000000004</v>
      </c>
      <c r="J946" s="18">
        <v>12643.456</v>
      </c>
      <c r="K946" s="18" t="s">
        <v>65</v>
      </c>
      <c r="L946" s="18" t="s">
        <v>44</v>
      </c>
      <c r="M946" s="18" t="s">
        <v>24</v>
      </c>
      <c r="N946" s="22">
        <f t="shared" si="84"/>
        <v>0.15382715032733599</v>
      </c>
      <c r="O946" s="22">
        <f t="shared" si="85"/>
        <v>0.48795503211991398</v>
      </c>
      <c r="P946" s="23">
        <f t="shared" si="86"/>
        <v>0.46655112419700201</v>
      </c>
      <c r="Q946" s="23">
        <f t="shared" si="87"/>
        <v>0.95613549094898498</v>
      </c>
      <c r="R946" s="22">
        <f t="shared" si="88"/>
        <v>1.2667817915302899</v>
      </c>
      <c r="S946" s="22">
        <f t="shared" si="89"/>
        <v>2.2667817915302901</v>
      </c>
    </row>
    <row r="947" spans="1:19">
      <c r="A947" s="18" t="s">
        <v>986</v>
      </c>
      <c r="B947" s="18" t="s">
        <v>20</v>
      </c>
      <c r="C947" s="18" t="s">
        <v>41</v>
      </c>
      <c r="D947" s="19">
        <v>44858</v>
      </c>
      <c r="E947" s="20">
        <v>45465</v>
      </c>
      <c r="F947" s="21">
        <v>56795.199999999997</v>
      </c>
      <c r="G947" s="21">
        <v>23476.799999999999</v>
      </c>
      <c r="H947" s="21">
        <v>19497.599999999999</v>
      </c>
      <c r="I947" s="18">
        <v>4906.384</v>
      </c>
      <c r="J947" s="18">
        <v>9639.3760000000002</v>
      </c>
      <c r="K947" s="18" t="s">
        <v>30</v>
      </c>
      <c r="L947" s="18" t="s">
        <v>35</v>
      </c>
      <c r="M947" s="18" t="s">
        <v>24</v>
      </c>
      <c r="N947" s="22">
        <f t="shared" si="84"/>
        <v>0.41335887539792099</v>
      </c>
      <c r="O947" s="22">
        <f t="shared" si="85"/>
        <v>0.83050500920057202</v>
      </c>
      <c r="P947" s="23">
        <f t="shared" si="86"/>
        <v>0.20898861855108</v>
      </c>
      <c r="Q947" s="23">
        <f t="shared" si="87"/>
        <v>0.251640407024454</v>
      </c>
      <c r="R947" s="22">
        <f t="shared" si="88"/>
        <v>0.96465992062586203</v>
      </c>
      <c r="S947" s="22">
        <f t="shared" si="89"/>
        <v>1.9646599206258599</v>
      </c>
    </row>
    <row r="948" spans="1:19">
      <c r="A948" s="18" t="s">
        <v>987</v>
      </c>
      <c r="B948" s="18" t="s">
        <v>34</v>
      </c>
      <c r="C948" s="18" t="s">
        <v>41</v>
      </c>
      <c r="D948" s="19">
        <v>44932</v>
      </c>
      <c r="E948" s="20">
        <v>45540</v>
      </c>
      <c r="F948" s="21">
        <v>75592</v>
      </c>
      <c r="G948" s="21">
        <v>26748.799999999999</v>
      </c>
      <c r="H948" s="21">
        <v>13617.6</v>
      </c>
      <c r="I948" s="18">
        <v>2049.3760000000002</v>
      </c>
      <c r="J948" s="18">
        <v>7990.3519999999999</v>
      </c>
      <c r="K948" s="18" t="s">
        <v>38</v>
      </c>
      <c r="L948" s="18" t="s">
        <v>31</v>
      </c>
      <c r="M948" s="18" t="s">
        <v>24</v>
      </c>
      <c r="N948" s="22">
        <f t="shared" si="84"/>
        <v>0.353857551063605</v>
      </c>
      <c r="O948" s="22">
        <f t="shared" si="85"/>
        <v>0.50909199665031701</v>
      </c>
      <c r="P948" s="23">
        <f t="shared" si="86"/>
        <v>7.66156238784544E-2</v>
      </c>
      <c r="Q948" s="23">
        <f t="shared" si="87"/>
        <v>0.15049465397720599</v>
      </c>
      <c r="R948" s="22">
        <f t="shared" si="88"/>
        <v>2.8989194759770802</v>
      </c>
      <c r="S948" s="22">
        <f t="shared" si="89"/>
        <v>3.8989194759770802</v>
      </c>
    </row>
    <row r="949" spans="1:19">
      <c r="A949" s="18" t="s">
        <v>988</v>
      </c>
      <c r="B949" s="18" t="s">
        <v>47</v>
      </c>
      <c r="C949" s="18" t="s">
        <v>41</v>
      </c>
      <c r="D949" s="19">
        <v>44774</v>
      </c>
      <c r="E949" s="20">
        <v>45380</v>
      </c>
      <c r="F949" s="21">
        <v>15025.6</v>
      </c>
      <c r="G949" s="21">
        <v>4067.2</v>
      </c>
      <c r="H949" s="21">
        <v>862.4</v>
      </c>
      <c r="I949" s="18">
        <v>4473.3119999999999</v>
      </c>
      <c r="J949" s="18">
        <v>8671.1200000000008</v>
      </c>
      <c r="K949" s="18" t="s">
        <v>38</v>
      </c>
      <c r="L949" s="18" t="s">
        <v>44</v>
      </c>
      <c r="M949" s="18" t="s">
        <v>32</v>
      </c>
      <c r="N949" s="22">
        <f t="shared" si="84"/>
        <v>0.270684698115217</v>
      </c>
      <c r="O949" s="22">
        <f t="shared" si="85"/>
        <v>0.21203776553894599</v>
      </c>
      <c r="P949" s="23">
        <f t="shared" si="86"/>
        <v>1.0998505114083399</v>
      </c>
      <c r="Q949" s="23">
        <f t="shared" si="87"/>
        <v>5.1870500927643803</v>
      </c>
      <c r="R949" s="22">
        <f t="shared" si="88"/>
        <v>0.938411628788692</v>
      </c>
      <c r="S949" s="22">
        <f t="shared" si="89"/>
        <v>1.9384116287886901</v>
      </c>
    </row>
    <row r="950" spans="1:19">
      <c r="A950" s="18" t="s">
        <v>989</v>
      </c>
      <c r="B950" s="18" t="s">
        <v>47</v>
      </c>
      <c r="C950" s="18" t="s">
        <v>21</v>
      </c>
      <c r="D950" s="19">
        <v>44985</v>
      </c>
      <c r="E950" s="20">
        <v>45595</v>
      </c>
      <c r="F950" s="21">
        <v>29240</v>
      </c>
      <c r="G950" s="21">
        <v>5772.8</v>
      </c>
      <c r="H950" s="21">
        <v>5430.4</v>
      </c>
      <c r="I950" s="18">
        <v>4662.7359999999999</v>
      </c>
      <c r="J950" s="18">
        <v>12544.816000000001</v>
      </c>
      <c r="K950" s="18" t="s">
        <v>43</v>
      </c>
      <c r="L950" s="18" t="s">
        <v>35</v>
      </c>
      <c r="M950" s="18" t="s">
        <v>24</v>
      </c>
      <c r="N950" s="22">
        <f t="shared" si="84"/>
        <v>0.197428180574555</v>
      </c>
      <c r="O950" s="22">
        <f t="shared" si="85"/>
        <v>0.94068736141906895</v>
      </c>
      <c r="P950" s="23">
        <f t="shared" si="86"/>
        <v>0.80770787139689604</v>
      </c>
      <c r="Q950" s="23">
        <f t="shared" si="87"/>
        <v>0.85863582793164395</v>
      </c>
      <c r="R950" s="22">
        <f t="shared" si="88"/>
        <v>1.69044097714303</v>
      </c>
      <c r="S950" s="22">
        <f t="shared" si="89"/>
        <v>2.6904409771430302</v>
      </c>
    </row>
    <row r="951" spans="1:19">
      <c r="A951" s="18" t="s">
        <v>990</v>
      </c>
      <c r="B951" s="18" t="s">
        <v>20</v>
      </c>
      <c r="C951" s="18" t="s">
        <v>48</v>
      </c>
      <c r="D951" s="19">
        <v>44739</v>
      </c>
      <c r="E951" s="20">
        <v>45347</v>
      </c>
      <c r="F951" s="21">
        <v>66588.800000000003</v>
      </c>
      <c r="G951" s="21">
        <v>20788.8</v>
      </c>
      <c r="H951" s="21">
        <v>5908.8</v>
      </c>
      <c r="I951" s="18">
        <v>3265.3440000000001</v>
      </c>
      <c r="J951" s="18">
        <v>8635.2479999999996</v>
      </c>
      <c r="K951" s="18" t="s">
        <v>22</v>
      </c>
      <c r="L951" s="18" t="s">
        <v>31</v>
      </c>
      <c r="M951" s="18" t="s">
        <v>24</v>
      </c>
      <c r="N951" s="22">
        <f t="shared" si="84"/>
        <v>0.31219664568215699</v>
      </c>
      <c r="O951" s="22">
        <f t="shared" si="85"/>
        <v>0.28422996998383698</v>
      </c>
      <c r="P951" s="23">
        <f t="shared" si="86"/>
        <v>0.15707226968367599</v>
      </c>
      <c r="Q951" s="23">
        <f t="shared" si="87"/>
        <v>0.55262388302193299</v>
      </c>
      <c r="R951" s="22">
        <f t="shared" si="88"/>
        <v>1.6445140236373299</v>
      </c>
      <c r="S951" s="22">
        <f t="shared" si="89"/>
        <v>2.6445140236373299</v>
      </c>
    </row>
    <row r="952" spans="1:19">
      <c r="A952" s="18" t="s">
        <v>991</v>
      </c>
      <c r="B952" s="18" t="s">
        <v>28</v>
      </c>
      <c r="C952" s="18" t="s">
        <v>21</v>
      </c>
      <c r="D952" s="19">
        <v>44875</v>
      </c>
      <c r="E952" s="20">
        <v>45501</v>
      </c>
      <c r="F952" s="21">
        <v>47513.599999999999</v>
      </c>
      <c r="G952" s="21">
        <v>31219.200000000001</v>
      </c>
      <c r="H952" s="21">
        <v>19379.2</v>
      </c>
      <c r="I952" s="18">
        <v>6537.4560000000001</v>
      </c>
      <c r="J952" s="18">
        <v>14534.88</v>
      </c>
      <c r="K952" s="18" t="s">
        <v>30</v>
      </c>
      <c r="L952" s="18" t="s">
        <v>31</v>
      </c>
      <c r="M952" s="18" t="s">
        <v>32</v>
      </c>
      <c r="N952" s="22">
        <f t="shared" si="84"/>
        <v>0.65705818965517204</v>
      </c>
      <c r="O952" s="22">
        <f t="shared" si="85"/>
        <v>0.62074620746207498</v>
      </c>
      <c r="P952" s="23">
        <f t="shared" si="86"/>
        <v>0.20940498154981499</v>
      </c>
      <c r="Q952" s="23">
        <f t="shared" si="87"/>
        <v>0.33734395640686898</v>
      </c>
      <c r="R952" s="22">
        <f t="shared" si="88"/>
        <v>1.22332356806684</v>
      </c>
      <c r="S952" s="22">
        <f t="shared" si="89"/>
        <v>2.22332356806684</v>
      </c>
    </row>
    <row r="953" spans="1:19">
      <c r="A953" s="18" t="s">
        <v>992</v>
      </c>
      <c r="B953" s="18" t="s">
        <v>47</v>
      </c>
      <c r="C953" s="18" t="s">
        <v>21</v>
      </c>
      <c r="D953" s="19">
        <v>44955</v>
      </c>
      <c r="E953" s="20">
        <v>45561</v>
      </c>
      <c r="F953" s="21">
        <v>5982.4</v>
      </c>
      <c r="G953" s="21">
        <v>5084.8</v>
      </c>
      <c r="H953" s="21">
        <v>1620.8</v>
      </c>
      <c r="I953" s="18">
        <v>631.82399999999996</v>
      </c>
      <c r="J953" s="18">
        <v>1263.856</v>
      </c>
      <c r="K953" s="18" t="s">
        <v>30</v>
      </c>
      <c r="L953" s="18" t="s">
        <v>23</v>
      </c>
      <c r="M953" s="18" t="s">
        <v>32</v>
      </c>
      <c r="N953" s="22">
        <f t="shared" si="84"/>
        <v>0.84995988232147601</v>
      </c>
      <c r="O953" s="22">
        <f t="shared" si="85"/>
        <v>0.31875393329137802</v>
      </c>
      <c r="P953" s="23">
        <f t="shared" si="86"/>
        <v>0.124257394587791</v>
      </c>
      <c r="Q953" s="23">
        <f t="shared" si="87"/>
        <v>0.38982230997038497</v>
      </c>
      <c r="R953" s="22">
        <f t="shared" si="88"/>
        <v>1.00032920560156</v>
      </c>
      <c r="S953" s="22">
        <f t="shared" si="89"/>
        <v>2.00032920560156</v>
      </c>
    </row>
    <row r="954" spans="1:19">
      <c r="A954" s="18" t="s">
        <v>993</v>
      </c>
      <c r="B954" s="18" t="s">
        <v>26</v>
      </c>
      <c r="C954" s="18" t="s">
        <v>29</v>
      </c>
      <c r="D954" s="19">
        <v>44900</v>
      </c>
      <c r="E954" s="20">
        <v>45520</v>
      </c>
      <c r="F954" s="21">
        <v>79004.800000000003</v>
      </c>
      <c r="G954" s="21">
        <v>47764.800000000003</v>
      </c>
      <c r="H954" s="21">
        <v>36078.400000000001</v>
      </c>
      <c r="I954" s="18">
        <v>7402.5119999999997</v>
      </c>
      <c r="J954" s="18">
        <v>23855.295999999998</v>
      </c>
      <c r="K954" s="18" t="s">
        <v>65</v>
      </c>
      <c r="L954" s="18" t="s">
        <v>23</v>
      </c>
      <c r="M954" s="18" t="s">
        <v>24</v>
      </c>
      <c r="N954" s="22">
        <f t="shared" si="84"/>
        <v>0.604580987484305</v>
      </c>
      <c r="O954" s="22">
        <f t="shared" si="85"/>
        <v>0.75533447224734496</v>
      </c>
      <c r="P954" s="23">
        <f t="shared" si="86"/>
        <v>0.15497839413124301</v>
      </c>
      <c r="Q954" s="23">
        <f t="shared" si="87"/>
        <v>0.20517850015521799</v>
      </c>
      <c r="R954" s="22">
        <f t="shared" si="88"/>
        <v>2.2225947083908801</v>
      </c>
      <c r="S954" s="22">
        <f t="shared" si="89"/>
        <v>3.2225947083908801</v>
      </c>
    </row>
    <row r="955" spans="1:19">
      <c r="A955" s="18" t="s">
        <v>994</v>
      </c>
      <c r="B955" s="18" t="s">
        <v>26</v>
      </c>
      <c r="C955" s="18" t="s">
        <v>29</v>
      </c>
      <c r="D955" s="19">
        <v>44772</v>
      </c>
      <c r="E955" s="20">
        <v>45376</v>
      </c>
      <c r="F955" s="21">
        <v>68718.399999999994</v>
      </c>
      <c r="G955" s="21">
        <v>27768</v>
      </c>
      <c r="H955" s="21">
        <v>1041.5999999999999</v>
      </c>
      <c r="I955" s="18">
        <v>3810.752</v>
      </c>
      <c r="J955" s="18">
        <v>7172.9920000000002</v>
      </c>
      <c r="K955" s="18" t="s">
        <v>65</v>
      </c>
      <c r="L955" s="18" t="s">
        <v>35</v>
      </c>
      <c r="M955" s="18" t="s">
        <v>24</v>
      </c>
      <c r="N955" s="22">
        <f t="shared" si="84"/>
        <v>0.40408391347877698</v>
      </c>
      <c r="O955" s="22">
        <f t="shared" si="85"/>
        <v>3.75108038029386E-2</v>
      </c>
      <c r="P955" s="23">
        <f t="shared" si="86"/>
        <v>0.13723537885335599</v>
      </c>
      <c r="Q955" s="23">
        <f t="shared" si="87"/>
        <v>3.65855606758833</v>
      </c>
      <c r="R955" s="22">
        <f t="shared" si="88"/>
        <v>0.88230354533698296</v>
      </c>
      <c r="S955" s="22">
        <f t="shared" si="89"/>
        <v>1.8823035453369801</v>
      </c>
    </row>
    <row r="956" spans="1:19">
      <c r="A956" s="18" t="s">
        <v>995</v>
      </c>
      <c r="B956" s="18" t="s">
        <v>28</v>
      </c>
      <c r="C956" s="18" t="s">
        <v>48</v>
      </c>
      <c r="D956" s="19">
        <v>44725</v>
      </c>
      <c r="E956" s="20">
        <v>45354</v>
      </c>
      <c r="F956" s="21">
        <v>59396.800000000003</v>
      </c>
      <c r="G956" s="21">
        <v>1393.6</v>
      </c>
      <c r="H956" s="21">
        <v>256</v>
      </c>
      <c r="I956" s="18">
        <v>2631.248</v>
      </c>
      <c r="J956" s="18">
        <v>9269.1200000000008</v>
      </c>
      <c r="K956" s="18" t="s">
        <v>43</v>
      </c>
      <c r="L956" s="18" t="s">
        <v>23</v>
      </c>
      <c r="M956" s="18" t="s">
        <v>24</v>
      </c>
      <c r="N956" s="22">
        <f t="shared" si="84"/>
        <v>2.3462543436683501E-2</v>
      </c>
      <c r="O956" s="22">
        <f t="shared" si="85"/>
        <v>0.18369690011481099</v>
      </c>
      <c r="P956" s="23">
        <f t="shared" si="86"/>
        <v>1.88809414466131</v>
      </c>
      <c r="Q956" s="23">
        <f t="shared" si="87"/>
        <v>10.2783125</v>
      </c>
      <c r="R956" s="22">
        <f t="shared" si="88"/>
        <v>2.5227086158355299</v>
      </c>
      <c r="S956" s="22">
        <f t="shared" si="89"/>
        <v>3.5227086158355299</v>
      </c>
    </row>
    <row r="957" spans="1:19">
      <c r="A957" s="18" t="s">
        <v>996</v>
      </c>
      <c r="B957" s="18" t="s">
        <v>26</v>
      </c>
      <c r="C957" s="18" t="s">
        <v>48</v>
      </c>
      <c r="D957" s="19">
        <v>44927</v>
      </c>
      <c r="E957" s="20">
        <v>45555</v>
      </c>
      <c r="F957" s="21">
        <v>63716.800000000003</v>
      </c>
      <c r="G957" s="21">
        <v>61574.400000000001</v>
      </c>
      <c r="H957" s="21">
        <v>54054.400000000001</v>
      </c>
      <c r="I957" s="18">
        <v>5082.2879999999996</v>
      </c>
      <c r="J957" s="18">
        <v>20187.455999999998</v>
      </c>
      <c r="K957" s="18" t="s">
        <v>43</v>
      </c>
      <c r="L957" s="18" t="s">
        <v>50</v>
      </c>
      <c r="M957" s="18" t="s">
        <v>24</v>
      </c>
      <c r="N957" s="22">
        <f t="shared" si="84"/>
        <v>0.96637621475027002</v>
      </c>
      <c r="O957" s="22">
        <f t="shared" si="85"/>
        <v>0.877871323147282</v>
      </c>
      <c r="P957" s="23">
        <f t="shared" si="86"/>
        <v>8.2538977237293407E-2</v>
      </c>
      <c r="Q957" s="23">
        <f t="shared" si="87"/>
        <v>9.4021726260951899E-2</v>
      </c>
      <c r="R957" s="22">
        <f t="shared" si="88"/>
        <v>2.9721196437509998</v>
      </c>
      <c r="S957" s="22">
        <f t="shared" si="89"/>
        <v>3.9721196437509998</v>
      </c>
    </row>
    <row r="958" spans="1:19">
      <c r="A958" s="18" t="s">
        <v>997</v>
      </c>
      <c r="B958" s="18" t="s">
        <v>26</v>
      </c>
      <c r="C958" s="18" t="s">
        <v>21</v>
      </c>
      <c r="D958" s="19">
        <v>44787</v>
      </c>
      <c r="E958" s="20">
        <v>45398</v>
      </c>
      <c r="F958" s="21">
        <v>64265.599999999999</v>
      </c>
      <c r="G958" s="21">
        <v>44209.599999999999</v>
      </c>
      <c r="H958" s="21">
        <v>27672</v>
      </c>
      <c r="I958" s="18">
        <v>7652.4160000000002</v>
      </c>
      <c r="J958" s="18">
        <v>13624.976000000001</v>
      </c>
      <c r="K958" s="18" t="s">
        <v>22</v>
      </c>
      <c r="L958" s="18" t="s">
        <v>23</v>
      </c>
      <c r="M958" s="18" t="s">
        <v>24</v>
      </c>
      <c r="N958" s="22">
        <f t="shared" si="84"/>
        <v>0.68792013145446396</v>
      </c>
      <c r="O958" s="22">
        <f t="shared" si="85"/>
        <v>0.62592740038362704</v>
      </c>
      <c r="P958" s="23">
        <f t="shared" si="86"/>
        <v>0.17309398863595199</v>
      </c>
      <c r="Q958" s="23">
        <f t="shared" si="87"/>
        <v>0.276540040474126</v>
      </c>
      <c r="R958" s="22">
        <f t="shared" si="88"/>
        <v>0.78048030844115102</v>
      </c>
      <c r="S958" s="22">
        <f t="shared" si="89"/>
        <v>1.78048030844115</v>
      </c>
    </row>
    <row r="959" spans="1:19">
      <c r="A959" s="18" t="s">
        <v>998</v>
      </c>
      <c r="B959" s="18" t="s">
        <v>47</v>
      </c>
      <c r="C959" s="18" t="s">
        <v>29</v>
      </c>
      <c r="D959" s="19">
        <v>44766</v>
      </c>
      <c r="E959" s="20">
        <v>45391</v>
      </c>
      <c r="F959" s="21">
        <v>65680</v>
      </c>
      <c r="G959" s="21">
        <v>12952</v>
      </c>
      <c r="H959" s="21">
        <v>11299.2</v>
      </c>
      <c r="I959" s="18">
        <v>3819.1840000000002</v>
      </c>
      <c r="J959" s="18">
        <v>7774.0159999999996</v>
      </c>
      <c r="K959" s="18" t="s">
        <v>22</v>
      </c>
      <c r="L959" s="18" t="s">
        <v>23</v>
      </c>
      <c r="M959" s="18" t="s">
        <v>32</v>
      </c>
      <c r="N959" s="22">
        <f t="shared" si="84"/>
        <v>0.19719853836784401</v>
      </c>
      <c r="O959" s="22">
        <f t="shared" si="85"/>
        <v>0.87239036442248297</v>
      </c>
      <c r="P959" s="23">
        <f t="shared" si="86"/>
        <v>0.294872143298332</v>
      </c>
      <c r="Q959" s="23">
        <f t="shared" si="87"/>
        <v>0.33800481450014203</v>
      </c>
      <c r="R959" s="22">
        <f t="shared" si="88"/>
        <v>1.03551753463567</v>
      </c>
      <c r="S959" s="22">
        <f t="shared" si="89"/>
        <v>2.03551753463567</v>
      </c>
    </row>
    <row r="960" spans="1:19">
      <c r="A960" s="18" t="s">
        <v>999</v>
      </c>
      <c r="B960" s="18" t="s">
        <v>20</v>
      </c>
      <c r="C960" s="18" t="s">
        <v>48</v>
      </c>
      <c r="D960" s="19">
        <v>44721</v>
      </c>
      <c r="E960" s="20">
        <v>45335</v>
      </c>
      <c r="F960" s="21">
        <v>62872</v>
      </c>
      <c r="G960" s="21">
        <v>18400</v>
      </c>
      <c r="H960" s="21">
        <v>9955.2000000000007</v>
      </c>
      <c r="I960" s="18">
        <v>343.05599999999998</v>
      </c>
      <c r="J960" s="18">
        <v>1204.2080000000001</v>
      </c>
      <c r="K960" s="18" t="s">
        <v>22</v>
      </c>
      <c r="L960" s="18" t="s">
        <v>50</v>
      </c>
      <c r="M960" s="18" t="s">
        <v>32</v>
      </c>
      <c r="N960" s="22">
        <f t="shared" si="84"/>
        <v>0.29265809899478301</v>
      </c>
      <c r="O960" s="22">
        <f t="shared" si="85"/>
        <v>0.54104347826086996</v>
      </c>
      <c r="P960" s="23">
        <f t="shared" si="86"/>
        <v>1.8644347826087E-2</v>
      </c>
      <c r="Q960" s="23">
        <f t="shared" si="87"/>
        <v>3.4459980713596898E-2</v>
      </c>
      <c r="R960" s="22">
        <f t="shared" si="88"/>
        <v>2.5102373956438599</v>
      </c>
      <c r="S960" s="22">
        <f t="shared" si="89"/>
        <v>3.5102373956438599</v>
      </c>
    </row>
    <row r="961" spans="1:19">
      <c r="A961" s="18" t="s">
        <v>1000</v>
      </c>
      <c r="B961" s="18" t="s">
        <v>20</v>
      </c>
      <c r="C961" s="18" t="s">
        <v>21</v>
      </c>
      <c r="D961" s="19">
        <v>44929</v>
      </c>
      <c r="E961" s="20">
        <v>45542</v>
      </c>
      <c r="F961" s="21">
        <v>64720</v>
      </c>
      <c r="G961" s="21">
        <v>62073.599999999999</v>
      </c>
      <c r="H961" s="21">
        <v>20440</v>
      </c>
      <c r="I961" s="18">
        <v>4091.248</v>
      </c>
      <c r="J961" s="18">
        <v>7822.6080000000002</v>
      </c>
      <c r="K961" s="18" t="s">
        <v>22</v>
      </c>
      <c r="L961" s="18" t="s">
        <v>23</v>
      </c>
      <c r="M961" s="18" t="s">
        <v>24</v>
      </c>
      <c r="N961" s="22">
        <f t="shared" si="84"/>
        <v>0.95911001236093896</v>
      </c>
      <c r="O961" s="22">
        <f t="shared" si="85"/>
        <v>0.329286524383957</v>
      </c>
      <c r="P961" s="23">
        <f t="shared" si="86"/>
        <v>6.5909629858748306E-2</v>
      </c>
      <c r="Q961" s="23">
        <f t="shared" si="87"/>
        <v>0.200158904109589</v>
      </c>
      <c r="R961" s="22">
        <f t="shared" si="88"/>
        <v>0.912034665217068</v>
      </c>
      <c r="S961" s="22">
        <f t="shared" si="89"/>
        <v>1.9120346652170701</v>
      </c>
    </row>
    <row r="962" spans="1:19">
      <c r="A962" s="18" t="s">
        <v>1001</v>
      </c>
      <c r="B962" s="18" t="s">
        <v>34</v>
      </c>
      <c r="C962" s="18" t="s">
        <v>21</v>
      </c>
      <c r="D962" s="19">
        <v>44718</v>
      </c>
      <c r="E962" s="20">
        <v>45346</v>
      </c>
      <c r="F962" s="21">
        <v>50878.400000000001</v>
      </c>
      <c r="G962" s="21">
        <v>48564.800000000003</v>
      </c>
      <c r="H962" s="21">
        <v>30019.200000000001</v>
      </c>
      <c r="I962" s="18">
        <v>6306.384</v>
      </c>
      <c r="J962" s="18">
        <v>15927.023999999999</v>
      </c>
      <c r="K962" s="18" t="s">
        <v>22</v>
      </c>
      <c r="L962" s="18" t="s">
        <v>31</v>
      </c>
      <c r="M962" s="18" t="s">
        <v>24</v>
      </c>
      <c r="N962" s="22">
        <f t="shared" ref="N962:N1025" si="90">G962/F962</f>
        <v>0.95452687191421104</v>
      </c>
      <c r="O962" s="22">
        <f t="shared" ref="O962:O1025" si="91">H962/G962</f>
        <v>0.61812670905676503</v>
      </c>
      <c r="P962" s="23">
        <f t="shared" ref="P962:P1025" si="92">I962/G962</f>
        <v>0.12985503904062201</v>
      </c>
      <c r="Q962" s="23">
        <f t="shared" ref="Q962:Q1025" si="93">I962/H962</f>
        <v>0.210078349856092</v>
      </c>
      <c r="R962" s="22">
        <f t="shared" ref="R962:R1025" si="94">(J962-I962)/I962</f>
        <v>1.5255398339206701</v>
      </c>
      <c r="S962" s="22">
        <f t="shared" ref="S962:S1025" si="95">J962/I962</f>
        <v>2.5255398339206701</v>
      </c>
    </row>
    <row r="963" spans="1:19">
      <c r="A963" s="18" t="s">
        <v>1002</v>
      </c>
      <c r="B963" s="18" t="s">
        <v>47</v>
      </c>
      <c r="C963" s="18" t="s">
        <v>21</v>
      </c>
      <c r="D963" s="19">
        <v>44766</v>
      </c>
      <c r="E963" s="20">
        <v>45388</v>
      </c>
      <c r="F963" s="21">
        <v>66852.800000000003</v>
      </c>
      <c r="G963" s="21">
        <v>1969.6</v>
      </c>
      <c r="H963" s="21">
        <v>406.4</v>
      </c>
      <c r="I963" s="18">
        <v>623.67999999999995</v>
      </c>
      <c r="J963" s="18">
        <v>2009.28</v>
      </c>
      <c r="K963" s="18" t="s">
        <v>43</v>
      </c>
      <c r="L963" s="18" t="s">
        <v>44</v>
      </c>
      <c r="M963" s="18" t="s">
        <v>32</v>
      </c>
      <c r="N963" s="22">
        <f t="shared" si="90"/>
        <v>2.9461742814063101E-2</v>
      </c>
      <c r="O963" s="22">
        <f t="shared" si="91"/>
        <v>0.206336311941511</v>
      </c>
      <c r="P963" s="23">
        <f t="shared" si="92"/>
        <v>0.31665312753858599</v>
      </c>
      <c r="Q963" s="23">
        <f t="shared" si="93"/>
        <v>1.5346456692913399</v>
      </c>
      <c r="R963" s="22">
        <f t="shared" si="94"/>
        <v>2.2216521292970799</v>
      </c>
      <c r="S963" s="22">
        <f t="shared" si="95"/>
        <v>3.2216521292970799</v>
      </c>
    </row>
    <row r="964" spans="1:19">
      <c r="A964" s="18" t="s">
        <v>1003</v>
      </c>
      <c r="B964" s="18" t="s">
        <v>28</v>
      </c>
      <c r="C964" s="18" t="s">
        <v>29</v>
      </c>
      <c r="D964" s="19">
        <v>44905</v>
      </c>
      <c r="E964" s="20">
        <v>45511</v>
      </c>
      <c r="F964" s="21">
        <v>77171.199999999997</v>
      </c>
      <c r="G964" s="21">
        <v>58131.199999999997</v>
      </c>
      <c r="H964" s="21">
        <v>36521.599999999999</v>
      </c>
      <c r="I964" s="18">
        <v>7131.7920000000004</v>
      </c>
      <c r="J964" s="18">
        <v>24179.439999999999</v>
      </c>
      <c r="K964" s="18" t="s">
        <v>38</v>
      </c>
      <c r="L964" s="18" t="s">
        <v>44</v>
      </c>
      <c r="M964" s="18" t="s">
        <v>32</v>
      </c>
      <c r="N964" s="22">
        <f t="shared" si="90"/>
        <v>0.75327583347155402</v>
      </c>
      <c r="O964" s="22">
        <f t="shared" si="91"/>
        <v>0.62826158758119599</v>
      </c>
      <c r="P964" s="23">
        <f t="shared" si="92"/>
        <v>0.12268441043708</v>
      </c>
      <c r="Q964" s="23">
        <f t="shared" si="93"/>
        <v>0.195276001051433</v>
      </c>
      <c r="R964" s="22">
        <f t="shared" si="94"/>
        <v>2.3903736956994801</v>
      </c>
      <c r="S964" s="22">
        <f t="shared" si="95"/>
        <v>3.3903736956994801</v>
      </c>
    </row>
    <row r="965" spans="1:19">
      <c r="A965" s="18" t="s">
        <v>1004</v>
      </c>
      <c r="B965" s="18" t="s">
        <v>47</v>
      </c>
      <c r="C965" s="18" t="s">
        <v>29</v>
      </c>
      <c r="D965" s="19">
        <v>44693</v>
      </c>
      <c r="E965" s="20">
        <v>45303</v>
      </c>
      <c r="F965" s="21">
        <v>43588.800000000003</v>
      </c>
      <c r="G965" s="21">
        <v>27297.599999999999</v>
      </c>
      <c r="H965" s="21">
        <v>12003.2</v>
      </c>
      <c r="I965" s="18">
        <v>3432.672</v>
      </c>
      <c r="J965" s="18">
        <v>4364.1120000000001</v>
      </c>
      <c r="K965" s="18" t="s">
        <v>22</v>
      </c>
      <c r="L965" s="18" t="s">
        <v>50</v>
      </c>
      <c r="M965" s="18" t="s">
        <v>24</v>
      </c>
      <c r="N965" s="22">
        <f t="shared" si="90"/>
        <v>0.62625261535073196</v>
      </c>
      <c r="O965" s="22">
        <f t="shared" si="91"/>
        <v>0.439716312056738</v>
      </c>
      <c r="P965" s="23">
        <f t="shared" si="92"/>
        <v>0.12574995604009101</v>
      </c>
      <c r="Q965" s="23">
        <f t="shared" si="93"/>
        <v>0.28597973873633697</v>
      </c>
      <c r="R965" s="22">
        <f t="shared" si="94"/>
        <v>0.27134547081690302</v>
      </c>
      <c r="S965" s="22">
        <f t="shared" si="95"/>
        <v>1.2713454708169001</v>
      </c>
    </row>
    <row r="966" spans="1:19">
      <c r="A966" s="18" t="s">
        <v>1005</v>
      </c>
      <c r="B966" s="18" t="s">
        <v>20</v>
      </c>
      <c r="C966" s="18" t="s">
        <v>48</v>
      </c>
      <c r="D966" s="19">
        <v>44968</v>
      </c>
      <c r="E966" s="20">
        <v>45587</v>
      </c>
      <c r="F966" s="21">
        <v>4080</v>
      </c>
      <c r="G966" s="21">
        <v>2640</v>
      </c>
      <c r="H966" s="21">
        <v>1848</v>
      </c>
      <c r="I966" s="18">
        <v>1876.096</v>
      </c>
      <c r="J966" s="18">
        <v>2817.5680000000002</v>
      </c>
      <c r="K966" s="18" t="s">
        <v>43</v>
      </c>
      <c r="L966" s="18" t="s">
        <v>23</v>
      </c>
      <c r="M966" s="18" t="s">
        <v>24</v>
      </c>
      <c r="N966" s="22">
        <f t="shared" si="90"/>
        <v>0.64705882352941202</v>
      </c>
      <c r="O966" s="22">
        <f t="shared" si="91"/>
        <v>0.7</v>
      </c>
      <c r="P966" s="23">
        <f t="shared" si="92"/>
        <v>0.71064242424242396</v>
      </c>
      <c r="Q966" s="23">
        <f t="shared" si="93"/>
        <v>1.0152034632034601</v>
      </c>
      <c r="R966" s="22">
        <f t="shared" si="94"/>
        <v>0.50182506652111603</v>
      </c>
      <c r="S966" s="22">
        <f t="shared" si="95"/>
        <v>1.5018250665211199</v>
      </c>
    </row>
    <row r="967" spans="1:19">
      <c r="A967" s="18" t="s">
        <v>1006</v>
      </c>
      <c r="B967" s="18" t="s">
        <v>20</v>
      </c>
      <c r="C967" s="18" t="s">
        <v>48</v>
      </c>
      <c r="D967" s="19">
        <v>44778</v>
      </c>
      <c r="E967" s="20">
        <v>45399</v>
      </c>
      <c r="F967" s="21">
        <v>68049.600000000006</v>
      </c>
      <c r="G967" s="21">
        <v>42416</v>
      </c>
      <c r="H967" s="21">
        <v>21067.200000000001</v>
      </c>
      <c r="I967" s="18">
        <v>6682.3040000000001</v>
      </c>
      <c r="J967" s="18">
        <v>22678.047999999999</v>
      </c>
      <c r="K967" s="18" t="s">
        <v>38</v>
      </c>
      <c r="L967" s="18" t="s">
        <v>44</v>
      </c>
      <c r="M967" s="18" t="s">
        <v>24</v>
      </c>
      <c r="N967" s="22">
        <f t="shared" si="90"/>
        <v>0.62331005619430502</v>
      </c>
      <c r="O967" s="22">
        <f t="shared" si="91"/>
        <v>0.49668049792531099</v>
      </c>
      <c r="P967" s="23">
        <f t="shared" si="92"/>
        <v>0.157542059600151</v>
      </c>
      <c r="Q967" s="23">
        <f t="shared" si="93"/>
        <v>0.31718994455836602</v>
      </c>
      <c r="R967" s="22">
        <f t="shared" si="94"/>
        <v>2.3937468274415501</v>
      </c>
      <c r="S967" s="22">
        <f t="shared" si="95"/>
        <v>3.3937468274415501</v>
      </c>
    </row>
    <row r="968" spans="1:19">
      <c r="A968" s="18" t="s">
        <v>1007</v>
      </c>
      <c r="B968" s="18" t="s">
        <v>47</v>
      </c>
      <c r="C968" s="18" t="s">
        <v>29</v>
      </c>
      <c r="D968" s="19">
        <v>44892</v>
      </c>
      <c r="E968" s="20">
        <v>45518</v>
      </c>
      <c r="F968" s="21">
        <v>76928</v>
      </c>
      <c r="G968" s="21">
        <v>20099.2</v>
      </c>
      <c r="H968" s="21">
        <v>3897.6</v>
      </c>
      <c r="I968" s="18">
        <v>5313.9520000000002</v>
      </c>
      <c r="J968" s="18">
        <v>7781.76</v>
      </c>
      <c r="K968" s="18" t="s">
        <v>38</v>
      </c>
      <c r="L968" s="18" t="s">
        <v>35</v>
      </c>
      <c r="M968" s="18" t="s">
        <v>32</v>
      </c>
      <c r="N968" s="22">
        <f t="shared" si="90"/>
        <v>0.26127287853577402</v>
      </c>
      <c r="O968" s="22">
        <f t="shared" si="91"/>
        <v>0.19391816589715</v>
      </c>
      <c r="P968" s="23">
        <f t="shared" si="92"/>
        <v>0.264386244228626</v>
      </c>
      <c r="Q968" s="23">
        <f t="shared" si="93"/>
        <v>1.3633908045976999</v>
      </c>
      <c r="R968" s="22">
        <f t="shared" si="94"/>
        <v>0.46440163554356501</v>
      </c>
      <c r="S968" s="22">
        <f t="shared" si="95"/>
        <v>1.4644016355435701</v>
      </c>
    </row>
    <row r="969" spans="1:19">
      <c r="A969" s="18" t="s">
        <v>1008</v>
      </c>
      <c r="B969" s="18" t="s">
        <v>28</v>
      </c>
      <c r="C969" s="18" t="s">
        <v>21</v>
      </c>
      <c r="D969" s="19">
        <v>44801</v>
      </c>
      <c r="E969" s="20">
        <v>45410</v>
      </c>
      <c r="F969" s="21">
        <v>45643.199999999997</v>
      </c>
      <c r="G969" s="21">
        <v>37369.599999999999</v>
      </c>
      <c r="H969" s="21">
        <v>23243.200000000001</v>
      </c>
      <c r="I969" s="18">
        <v>2472.5120000000002</v>
      </c>
      <c r="J969" s="18">
        <v>7432.4319999999998</v>
      </c>
      <c r="K969" s="18" t="s">
        <v>43</v>
      </c>
      <c r="L969" s="18" t="s">
        <v>31</v>
      </c>
      <c r="M969" s="18" t="s">
        <v>24</v>
      </c>
      <c r="N969" s="22">
        <f t="shared" si="90"/>
        <v>0.81873313001717696</v>
      </c>
      <c r="O969" s="22">
        <f t="shared" si="91"/>
        <v>0.621981503682137</v>
      </c>
      <c r="P969" s="23">
        <f t="shared" si="92"/>
        <v>6.6163726665524905E-2</v>
      </c>
      <c r="Q969" s="23">
        <f t="shared" si="93"/>
        <v>0.106375714187375</v>
      </c>
      <c r="R969" s="22">
        <f t="shared" si="94"/>
        <v>2.0060246421453201</v>
      </c>
      <c r="S969" s="22">
        <f t="shared" si="95"/>
        <v>3.0060246421453201</v>
      </c>
    </row>
    <row r="970" spans="1:19">
      <c r="A970" s="18" t="s">
        <v>1009</v>
      </c>
      <c r="B970" s="18" t="s">
        <v>34</v>
      </c>
      <c r="C970" s="18" t="s">
        <v>48</v>
      </c>
      <c r="D970" s="19">
        <v>44878</v>
      </c>
      <c r="E970" s="20">
        <v>45487</v>
      </c>
      <c r="F970" s="21">
        <v>36467.199999999997</v>
      </c>
      <c r="G970" s="21">
        <v>12724.8</v>
      </c>
      <c r="H970" s="21">
        <v>11395.2</v>
      </c>
      <c r="I970" s="18">
        <v>6042.7520000000004</v>
      </c>
      <c r="J970" s="18">
        <v>20963.68</v>
      </c>
      <c r="K970" s="18" t="s">
        <v>22</v>
      </c>
      <c r="L970" s="18" t="s">
        <v>31</v>
      </c>
      <c r="M970" s="18" t="s">
        <v>24</v>
      </c>
      <c r="N970" s="22">
        <f t="shared" si="90"/>
        <v>0.34893822393822399</v>
      </c>
      <c r="O970" s="22">
        <f t="shared" si="91"/>
        <v>0.89551112787627296</v>
      </c>
      <c r="P970" s="23">
        <f t="shared" si="92"/>
        <v>0.47487991952722203</v>
      </c>
      <c r="Q970" s="23">
        <f t="shared" si="93"/>
        <v>0.530289244594215</v>
      </c>
      <c r="R970" s="22">
        <f t="shared" si="94"/>
        <v>2.4692272659874202</v>
      </c>
      <c r="S970" s="22">
        <f t="shared" si="95"/>
        <v>3.4692272659874202</v>
      </c>
    </row>
    <row r="971" spans="1:19">
      <c r="A971" s="18" t="s">
        <v>1010</v>
      </c>
      <c r="B971" s="18" t="s">
        <v>28</v>
      </c>
      <c r="C971" s="18" t="s">
        <v>48</v>
      </c>
      <c r="D971" s="19">
        <v>44980</v>
      </c>
      <c r="E971" s="20">
        <v>45599</v>
      </c>
      <c r="F971" s="21">
        <v>56728</v>
      </c>
      <c r="G971" s="21">
        <v>47633.599999999999</v>
      </c>
      <c r="H971" s="21">
        <v>18164.8</v>
      </c>
      <c r="I971" s="18">
        <v>5907.4080000000004</v>
      </c>
      <c r="J971" s="18">
        <v>15555.567999999999</v>
      </c>
      <c r="K971" s="18" t="s">
        <v>30</v>
      </c>
      <c r="L971" s="18" t="s">
        <v>35</v>
      </c>
      <c r="M971" s="18" t="s">
        <v>24</v>
      </c>
      <c r="N971" s="22">
        <f t="shared" si="90"/>
        <v>0.83968410661401804</v>
      </c>
      <c r="O971" s="22">
        <f t="shared" si="91"/>
        <v>0.38134426119377901</v>
      </c>
      <c r="P971" s="23">
        <f t="shared" si="92"/>
        <v>0.12401766820059799</v>
      </c>
      <c r="Q971" s="23">
        <f t="shared" si="93"/>
        <v>0.32521183828063099</v>
      </c>
      <c r="R971" s="22">
        <f t="shared" si="94"/>
        <v>1.6332306825599301</v>
      </c>
      <c r="S971" s="22">
        <f t="shared" si="95"/>
        <v>2.6332306825599301</v>
      </c>
    </row>
    <row r="972" spans="1:19">
      <c r="A972" s="18" t="s">
        <v>1011</v>
      </c>
      <c r="B972" s="18" t="s">
        <v>47</v>
      </c>
      <c r="C972" s="18" t="s">
        <v>48</v>
      </c>
      <c r="D972" s="19">
        <v>44799</v>
      </c>
      <c r="E972" s="20">
        <v>45422</v>
      </c>
      <c r="F972" s="21">
        <v>38577.599999999999</v>
      </c>
      <c r="G972" s="21">
        <v>3238.4</v>
      </c>
      <c r="H972" s="21">
        <v>996.8</v>
      </c>
      <c r="I972" s="18">
        <v>1111.68</v>
      </c>
      <c r="J972" s="18">
        <v>2183.4560000000001</v>
      </c>
      <c r="K972" s="18" t="s">
        <v>38</v>
      </c>
      <c r="L972" s="18" t="s">
        <v>31</v>
      </c>
      <c r="M972" s="18" t="s">
        <v>24</v>
      </c>
      <c r="N972" s="22">
        <f t="shared" si="90"/>
        <v>8.3945087304549804E-2</v>
      </c>
      <c r="O972" s="22">
        <f t="shared" si="91"/>
        <v>0.30780632411067199</v>
      </c>
      <c r="P972" s="23">
        <f t="shared" si="92"/>
        <v>0.34328063241106699</v>
      </c>
      <c r="Q972" s="23">
        <f t="shared" si="93"/>
        <v>1.11524879614767</v>
      </c>
      <c r="R972" s="22">
        <f t="shared" si="94"/>
        <v>0.96410477835348296</v>
      </c>
      <c r="S972" s="22">
        <f t="shared" si="95"/>
        <v>1.96410477835348</v>
      </c>
    </row>
    <row r="973" spans="1:19">
      <c r="A973" s="18" t="s">
        <v>1012</v>
      </c>
      <c r="B973" s="18" t="s">
        <v>40</v>
      </c>
      <c r="C973" s="18" t="s">
        <v>41</v>
      </c>
      <c r="D973" s="19">
        <v>44949</v>
      </c>
      <c r="E973" s="20">
        <v>45558</v>
      </c>
      <c r="F973" s="21">
        <v>41798.400000000001</v>
      </c>
      <c r="G973" s="21">
        <v>38152</v>
      </c>
      <c r="H973" s="21">
        <v>7230.4</v>
      </c>
      <c r="I973" s="18">
        <v>2197.0079999999998</v>
      </c>
      <c r="J973" s="18">
        <v>3283.3440000000001</v>
      </c>
      <c r="K973" s="18" t="s">
        <v>43</v>
      </c>
      <c r="L973" s="18" t="s">
        <v>44</v>
      </c>
      <c r="M973" s="18" t="s">
        <v>32</v>
      </c>
      <c r="N973" s="22">
        <f t="shared" si="90"/>
        <v>0.91276221099372201</v>
      </c>
      <c r="O973" s="22">
        <f t="shared" si="91"/>
        <v>0.18951562172363201</v>
      </c>
      <c r="P973" s="23">
        <f t="shared" si="92"/>
        <v>5.75856573705179E-2</v>
      </c>
      <c r="Q973" s="23">
        <f t="shared" si="93"/>
        <v>0.303857048019473</v>
      </c>
      <c r="R973" s="22">
        <f t="shared" si="94"/>
        <v>0.49446155862882601</v>
      </c>
      <c r="S973" s="22">
        <f t="shared" si="95"/>
        <v>1.4944615586288299</v>
      </c>
    </row>
    <row r="974" spans="1:19">
      <c r="A974" s="18" t="s">
        <v>1013</v>
      </c>
      <c r="B974" s="18" t="s">
        <v>40</v>
      </c>
      <c r="C974" s="18" t="s">
        <v>21</v>
      </c>
      <c r="D974" s="19">
        <v>44753</v>
      </c>
      <c r="E974" s="20">
        <v>45383</v>
      </c>
      <c r="F974" s="21">
        <v>78662.399999999994</v>
      </c>
      <c r="G974" s="21">
        <v>28644.799999999999</v>
      </c>
      <c r="H974" s="21">
        <v>25883.200000000001</v>
      </c>
      <c r="I974" s="18">
        <v>4870.16</v>
      </c>
      <c r="J974" s="18">
        <v>14415.072</v>
      </c>
      <c r="K974" s="18" t="s">
        <v>43</v>
      </c>
      <c r="L974" s="18" t="s">
        <v>23</v>
      </c>
      <c r="M974" s="18" t="s">
        <v>24</v>
      </c>
      <c r="N974" s="22">
        <f t="shared" si="90"/>
        <v>0.36414856398991102</v>
      </c>
      <c r="O974" s="22">
        <f t="shared" si="91"/>
        <v>0.90359157683069902</v>
      </c>
      <c r="P974" s="23">
        <f t="shared" si="92"/>
        <v>0.17001899123052</v>
      </c>
      <c r="Q974" s="23">
        <f t="shared" si="93"/>
        <v>0.188159114792607</v>
      </c>
      <c r="R974" s="22">
        <f t="shared" si="94"/>
        <v>1.9598764722308899</v>
      </c>
      <c r="S974" s="22">
        <f t="shared" si="95"/>
        <v>2.9598764722308899</v>
      </c>
    </row>
    <row r="975" spans="1:19">
      <c r="A975" s="18" t="s">
        <v>1014</v>
      </c>
      <c r="B975" s="18" t="s">
        <v>20</v>
      </c>
      <c r="C975" s="18" t="s">
        <v>48</v>
      </c>
      <c r="D975" s="19">
        <v>44700</v>
      </c>
      <c r="E975" s="20">
        <v>45308</v>
      </c>
      <c r="F975" s="21">
        <v>40995.199999999997</v>
      </c>
      <c r="G975" s="21">
        <v>36528</v>
      </c>
      <c r="H975" s="21">
        <v>27236.799999999999</v>
      </c>
      <c r="I975" s="18">
        <v>2787.28</v>
      </c>
      <c r="J975" s="18">
        <v>4683.3919999999998</v>
      </c>
      <c r="K975" s="18" t="s">
        <v>22</v>
      </c>
      <c r="L975" s="18" t="s">
        <v>35</v>
      </c>
      <c r="M975" s="18" t="s">
        <v>24</v>
      </c>
      <c r="N975" s="22">
        <f t="shared" si="90"/>
        <v>0.89103114510967096</v>
      </c>
      <c r="O975" s="22">
        <f t="shared" si="91"/>
        <v>0.74564169951817805</v>
      </c>
      <c r="P975" s="23">
        <f t="shared" si="92"/>
        <v>7.6305300043801996E-2</v>
      </c>
      <c r="Q975" s="23">
        <f t="shared" si="93"/>
        <v>0.102335076073548</v>
      </c>
      <c r="R975" s="22">
        <f t="shared" si="94"/>
        <v>0.68027324129617395</v>
      </c>
      <c r="S975" s="22">
        <f t="shared" si="95"/>
        <v>1.6802732412961701</v>
      </c>
    </row>
    <row r="976" spans="1:19">
      <c r="A976" s="18" t="s">
        <v>1015</v>
      </c>
      <c r="B976" s="18" t="s">
        <v>28</v>
      </c>
      <c r="C976" s="18" t="s">
        <v>48</v>
      </c>
      <c r="D976" s="19">
        <v>44747</v>
      </c>
      <c r="E976" s="20">
        <v>45377</v>
      </c>
      <c r="F976" s="21">
        <v>35206.400000000001</v>
      </c>
      <c r="G976" s="21">
        <v>6704</v>
      </c>
      <c r="H976" s="21">
        <v>3918.4</v>
      </c>
      <c r="I976" s="18">
        <v>305.52</v>
      </c>
      <c r="J976" s="18">
        <v>531.77599999999995</v>
      </c>
      <c r="K976" s="18" t="s">
        <v>65</v>
      </c>
      <c r="L976" s="18" t="s">
        <v>35</v>
      </c>
      <c r="M976" s="18" t="s">
        <v>24</v>
      </c>
      <c r="N976" s="22">
        <f t="shared" si="90"/>
        <v>0.19041992365024499</v>
      </c>
      <c r="O976" s="22">
        <f t="shared" si="91"/>
        <v>0.58448687350835304</v>
      </c>
      <c r="P976" s="23">
        <f t="shared" si="92"/>
        <v>4.5572792362768497E-2</v>
      </c>
      <c r="Q976" s="23">
        <f t="shared" si="93"/>
        <v>7.7970600244997995E-2</v>
      </c>
      <c r="R976" s="22">
        <f t="shared" si="94"/>
        <v>0.74056035611416604</v>
      </c>
      <c r="S976" s="22">
        <f t="shared" si="95"/>
        <v>1.74056035611417</v>
      </c>
    </row>
    <row r="977" spans="1:19">
      <c r="A977" s="18" t="s">
        <v>1016</v>
      </c>
      <c r="B977" s="18" t="s">
        <v>28</v>
      </c>
      <c r="C977" s="18" t="s">
        <v>41</v>
      </c>
      <c r="D977" s="19">
        <v>44947</v>
      </c>
      <c r="E977" s="20">
        <v>45567</v>
      </c>
      <c r="F977" s="21">
        <v>17201.599999999999</v>
      </c>
      <c r="G977" s="21">
        <v>9659.2000000000007</v>
      </c>
      <c r="H977" s="21">
        <v>8150.4</v>
      </c>
      <c r="I977" s="18">
        <v>6093.424</v>
      </c>
      <c r="J977" s="18">
        <v>20586.063999999998</v>
      </c>
      <c r="K977" s="18" t="s">
        <v>38</v>
      </c>
      <c r="L977" s="18" t="s">
        <v>23</v>
      </c>
      <c r="M977" s="18" t="s">
        <v>24</v>
      </c>
      <c r="N977" s="22">
        <f t="shared" si="90"/>
        <v>0.56152916007813203</v>
      </c>
      <c r="O977" s="22">
        <f t="shared" si="91"/>
        <v>0.84379658770912702</v>
      </c>
      <c r="P977" s="23">
        <f t="shared" si="92"/>
        <v>0.63084147755507702</v>
      </c>
      <c r="Q977" s="23">
        <f t="shared" si="93"/>
        <v>0.74762269336474296</v>
      </c>
      <c r="R977" s="22">
        <f t="shared" si="94"/>
        <v>2.3784066232712502</v>
      </c>
      <c r="S977" s="22">
        <f t="shared" si="95"/>
        <v>3.3784066232712502</v>
      </c>
    </row>
    <row r="978" spans="1:19">
      <c r="A978" s="18" t="s">
        <v>1017</v>
      </c>
      <c r="B978" s="18" t="s">
        <v>40</v>
      </c>
      <c r="C978" s="18" t="s">
        <v>29</v>
      </c>
      <c r="D978" s="19">
        <v>44885</v>
      </c>
      <c r="E978" s="20">
        <v>45486</v>
      </c>
      <c r="F978" s="21">
        <v>57865.599999999999</v>
      </c>
      <c r="G978" s="21">
        <v>46460.800000000003</v>
      </c>
      <c r="H978" s="21">
        <v>25561.599999999999</v>
      </c>
      <c r="I978" s="18">
        <v>983.12</v>
      </c>
      <c r="J978" s="18">
        <v>2064.1439999999998</v>
      </c>
      <c r="K978" s="18" t="s">
        <v>30</v>
      </c>
      <c r="L978" s="18" t="s">
        <v>23</v>
      </c>
      <c r="M978" s="18" t="s">
        <v>24</v>
      </c>
      <c r="N978" s="22">
        <f t="shared" si="90"/>
        <v>0.80290880937897502</v>
      </c>
      <c r="O978" s="22">
        <f t="shared" si="91"/>
        <v>0.55017563193057395</v>
      </c>
      <c r="P978" s="23">
        <f t="shared" si="92"/>
        <v>2.1160203870790002E-2</v>
      </c>
      <c r="Q978" s="23">
        <f t="shared" si="93"/>
        <v>3.8460816224336503E-2</v>
      </c>
      <c r="R978" s="22">
        <f t="shared" si="94"/>
        <v>1.0995849947107199</v>
      </c>
      <c r="S978" s="22">
        <f t="shared" si="95"/>
        <v>2.0995849947107201</v>
      </c>
    </row>
    <row r="979" spans="1:19">
      <c r="A979" s="18" t="s">
        <v>1018</v>
      </c>
      <c r="B979" s="18" t="s">
        <v>34</v>
      </c>
      <c r="C979" s="18" t="s">
        <v>48</v>
      </c>
      <c r="D979" s="19">
        <v>44858</v>
      </c>
      <c r="E979" s="20">
        <v>45488</v>
      </c>
      <c r="F979" s="21">
        <v>67422.399999999994</v>
      </c>
      <c r="G979" s="21">
        <v>24214.400000000001</v>
      </c>
      <c r="H979" s="21">
        <v>18657.599999999999</v>
      </c>
      <c r="I979" s="18">
        <v>4900.32</v>
      </c>
      <c r="J979" s="18">
        <v>11642.464</v>
      </c>
      <c r="K979" s="18" t="s">
        <v>38</v>
      </c>
      <c r="L979" s="18" t="s">
        <v>23</v>
      </c>
      <c r="M979" s="18" t="s">
        <v>32</v>
      </c>
      <c r="N979" s="22">
        <f t="shared" si="90"/>
        <v>0.359144735280856</v>
      </c>
      <c r="O979" s="22">
        <f t="shared" si="91"/>
        <v>0.77051671732522797</v>
      </c>
      <c r="P979" s="23">
        <f t="shared" si="92"/>
        <v>0.202372142196379</v>
      </c>
      <c r="Q979" s="23">
        <f t="shared" si="93"/>
        <v>0.26264471314638499</v>
      </c>
      <c r="R979" s="22">
        <f t="shared" si="94"/>
        <v>1.3758579031573499</v>
      </c>
      <c r="S979" s="22">
        <f t="shared" si="95"/>
        <v>2.3758579031573399</v>
      </c>
    </row>
    <row r="980" spans="1:19">
      <c r="A980" s="18" t="s">
        <v>1019</v>
      </c>
      <c r="B980" s="18" t="s">
        <v>26</v>
      </c>
      <c r="C980" s="18" t="s">
        <v>48</v>
      </c>
      <c r="D980" s="19">
        <v>44789</v>
      </c>
      <c r="E980" s="20">
        <v>45398</v>
      </c>
      <c r="F980" s="21">
        <v>16915.2</v>
      </c>
      <c r="G980" s="21">
        <v>16036.8</v>
      </c>
      <c r="H980" s="21">
        <v>2601.6</v>
      </c>
      <c r="I980" s="18">
        <v>2466.6880000000001</v>
      </c>
      <c r="J980" s="18">
        <v>5767.92</v>
      </c>
      <c r="K980" s="18" t="s">
        <v>22</v>
      </c>
      <c r="L980" s="18" t="s">
        <v>35</v>
      </c>
      <c r="M980" s="18" t="s">
        <v>24</v>
      </c>
      <c r="N980" s="22">
        <f t="shared" si="90"/>
        <v>0.94807037457434695</v>
      </c>
      <c r="O980" s="22">
        <f t="shared" si="91"/>
        <v>0.162226878180186</v>
      </c>
      <c r="P980" s="23">
        <f t="shared" si="92"/>
        <v>0.15381422727726199</v>
      </c>
      <c r="Q980" s="23">
        <f t="shared" si="93"/>
        <v>0.94814268142681402</v>
      </c>
      <c r="R980" s="22">
        <f t="shared" si="94"/>
        <v>1.33832572258835</v>
      </c>
      <c r="S980" s="22">
        <f t="shared" si="95"/>
        <v>2.33832572258834</v>
      </c>
    </row>
    <row r="981" spans="1:19">
      <c r="A981" s="18" t="s">
        <v>1020</v>
      </c>
      <c r="B981" s="18" t="s">
        <v>40</v>
      </c>
      <c r="C981" s="18" t="s">
        <v>48</v>
      </c>
      <c r="D981" s="19">
        <v>44794</v>
      </c>
      <c r="E981" s="20">
        <v>45404</v>
      </c>
      <c r="F981" s="21">
        <v>47982.400000000001</v>
      </c>
      <c r="G981" s="21">
        <v>47209.599999999999</v>
      </c>
      <c r="H981" s="21">
        <v>7193.6</v>
      </c>
      <c r="I981" s="18">
        <v>3607.6480000000001</v>
      </c>
      <c r="J981" s="18">
        <v>11327.136</v>
      </c>
      <c r="K981" s="18" t="s">
        <v>38</v>
      </c>
      <c r="L981" s="18" t="s">
        <v>23</v>
      </c>
      <c r="M981" s="18" t="s">
        <v>24</v>
      </c>
      <c r="N981" s="22">
        <f t="shared" si="90"/>
        <v>0.98389409450131704</v>
      </c>
      <c r="O981" s="22">
        <f t="shared" si="91"/>
        <v>0.152375787975327</v>
      </c>
      <c r="P981" s="23">
        <f t="shared" si="92"/>
        <v>7.6417677760455494E-2</v>
      </c>
      <c r="Q981" s="23">
        <f t="shared" si="93"/>
        <v>0.50150800711743804</v>
      </c>
      <c r="R981" s="22">
        <f t="shared" si="94"/>
        <v>2.1397564285650899</v>
      </c>
      <c r="S981" s="22">
        <f t="shared" si="95"/>
        <v>3.1397564285650899</v>
      </c>
    </row>
    <row r="982" spans="1:19">
      <c r="A982" s="18" t="s">
        <v>1021</v>
      </c>
      <c r="B982" s="18" t="s">
        <v>40</v>
      </c>
      <c r="C982" s="18" t="s">
        <v>41</v>
      </c>
      <c r="D982" s="19">
        <v>44779</v>
      </c>
      <c r="E982" s="20">
        <v>45409</v>
      </c>
      <c r="F982" s="21">
        <v>16705.599999999999</v>
      </c>
      <c r="G982" s="21">
        <v>1779.2</v>
      </c>
      <c r="H982" s="21">
        <v>144</v>
      </c>
      <c r="I982" s="18">
        <v>3053.7919999999999</v>
      </c>
      <c r="J982" s="18">
        <v>9074.4</v>
      </c>
      <c r="K982" s="18" t="s">
        <v>30</v>
      </c>
      <c r="L982" s="18" t="s">
        <v>23</v>
      </c>
      <c r="M982" s="18" t="s">
        <v>24</v>
      </c>
      <c r="N982" s="22">
        <f t="shared" si="90"/>
        <v>0.106503208504932</v>
      </c>
      <c r="O982" s="22">
        <f t="shared" si="91"/>
        <v>8.0935251798561106E-2</v>
      </c>
      <c r="P982" s="23">
        <f t="shared" si="92"/>
        <v>1.71638489208633</v>
      </c>
      <c r="Q982" s="23">
        <f t="shared" si="93"/>
        <v>21.206888888888901</v>
      </c>
      <c r="R982" s="22">
        <f t="shared" si="94"/>
        <v>1.97151868889564</v>
      </c>
      <c r="S982" s="22">
        <f t="shared" si="95"/>
        <v>2.9715186888956402</v>
      </c>
    </row>
    <row r="983" spans="1:19">
      <c r="A983" s="18" t="s">
        <v>1022</v>
      </c>
      <c r="B983" s="18" t="s">
        <v>34</v>
      </c>
      <c r="C983" s="18" t="s">
        <v>41</v>
      </c>
      <c r="D983" s="19">
        <v>44839</v>
      </c>
      <c r="E983" s="20">
        <v>45452</v>
      </c>
      <c r="F983" s="21">
        <v>12772.8</v>
      </c>
      <c r="G983" s="21">
        <v>5086.3999999999996</v>
      </c>
      <c r="H983" s="21">
        <v>4408</v>
      </c>
      <c r="I983" s="18">
        <v>1629.9839999999999</v>
      </c>
      <c r="J983" s="18">
        <v>3532.4</v>
      </c>
      <c r="K983" s="18" t="s">
        <v>22</v>
      </c>
      <c r="L983" s="18" t="s">
        <v>35</v>
      </c>
      <c r="M983" s="18" t="s">
        <v>24</v>
      </c>
      <c r="N983" s="22">
        <f t="shared" si="90"/>
        <v>0.398221220092697</v>
      </c>
      <c r="O983" s="22">
        <f t="shared" si="91"/>
        <v>0.86662472475621299</v>
      </c>
      <c r="P983" s="23">
        <f t="shared" si="92"/>
        <v>0.32045926391947199</v>
      </c>
      <c r="Q983" s="23">
        <f t="shared" si="93"/>
        <v>0.369778584392014</v>
      </c>
      <c r="R983" s="22">
        <f t="shared" si="94"/>
        <v>1.1671378369358201</v>
      </c>
      <c r="S983" s="22">
        <f t="shared" si="95"/>
        <v>2.1671378369358201</v>
      </c>
    </row>
    <row r="984" spans="1:19">
      <c r="A984" s="18" t="s">
        <v>1023</v>
      </c>
      <c r="B984" s="18" t="s">
        <v>47</v>
      </c>
      <c r="C984" s="18" t="s">
        <v>48</v>
      </c>
      <c r="D984" s="19">
        <v>44885</v>
      </c>
      <c r="E984" s="20">
        <v>45507</v>
      </c>
      <c r="F984" s="21">
        <v>61187.199999999997</v>
      </c>
      <c r="G984" s="21">
        <v>52648</v>
      </c>
      <c r="H984" s="21">
        <v>51252.800000000003</v>
      </c>
      <c r="I984" s="18">
        <v>2427.1039999999998</v>
      </c>
      <c r="J984" s="18">
        <v>4672.1440000000002</v>
      </c>
      <c r="K984" s="18" t="s">
        <v>43</v>
      </c>
      <c r="L984" s="18" t="s">
        <v>23</v>
      </c>
      <c r="M984" s="18" t="s">
        <v>32</v>
      </c>
      <c r="N984" s="22">
        <f t="shared" si="90"/>
        <v>0.86044139950839404</v>
      </c>
      <c r="O984" s="22">
        <f t="shared" si="91"/>
        <v>0.97349946816593202</v>
      </c>
      <c r="P984" s="23">
        <f t="shared" si="92"/>
        <v>4.6100592615104102E-2</v>
      </c>
      <c r="Q984" s="23">
        <f t="shared" si="93"/>
        <v>4.7355539599787701E-2</v>
      </c>
      <c r="R984" s="22">
        <f t="shared" si="94"/>
        <v>0.92498714517383696</v>
      </c>
      <c r="S984" s="22">
        <f t="shared" si="95"/>
        <v>1.9249871451738401</v>
      </c>
    </row>
    <row r="985" spans="1:19">
      <c r="A985" s="18" t="s">
        <v>1024</v>
      </c>
      <c r="B985" s="18" t="s">
        <v>34</v>
      </c>
      <c r="C985" s="18" t="s">
        <v>21</v>
      </c>
      <c r="D985" s="19">
        <v>44771</v>
      </c>
      <c r="E985" s="20">
        <v>45394</v>
      </c>
      <c r="F985" s="21">
        <v>24211.200000000001</v>
      </c>
      <c r="G985" s="21">
        <v>10649.6</v>
      </c>
      <c r="H985" s="21">
        <v>1163.2</v>
      </c>
      <c r="I985" s="18">
        <v>3126.288</v>
      </c>
      <c r="J985" s="18">
        <v>7473.5519999999997</v>
      </c>
      <c r="K985" s="18" t="s">
        <v>22</v>
      </c>
      <c r="L985" s="18" t="s">
        <v>31</v>
      </c>
      <c r="M985" s="18" t="s">
        <v>32</v>
      </c>
      <c r="N985" s="22">
        <f t="shared" si="90"/>
        <v>0.43986254295532601</v>
      </c>
      <c r="O985" s="22">
        <f t="shared" si="91"/>
        <v>0.109224759615385</v>
      </c>
      <c r="P985" s="23">
        <f t="shared" si="92"/>
        <v>0.29355919471153802</v>
      </c>
      <c r="Q985" s="23">
        <f t="shared" si="93"/>
        <v>2.6876616231086699</v>
      </c>
      <c r="R985" s="22">
        <f t="shared" si="94"/>
        <v>1.3905513503554401</v>
      </c>
      <c r="S985" s="22">
        <f t="shared" si="95"/>
        <v>2.3905513503554401</v>
      </c>
    </row>
    <row r="986" spans="1:19">
      <c r="A986" s="18" t="s">
        <v>1025</v>
      </c>
      <c r="B986" s="18" t="s">
        <v>40</v>
      </c>
      <c r="C986" s="18" t="s">
        <v>48</v>
      </c>
      <c r="D986" s="19">
        <v>44708</v>
      </c>
      <c r="E986" s="20">
        <v>45314</v>
      </c>
      <c r="F986" s="21">
        <v>60700.800000000003</v>
      </c>
      <c r="G986" s="21">
        <v>54923.199999999997</v>
      </c>
      <c r="H986" s="21">
        <v>21844.799999999999</v>
      </c>
      <c r="I986" s="18">
        <v>7472.6719999999996</v>
      </c>
      <c r="J986" s="18">
        <v>27816.335999999999</v>
      </c>
      <c r="K986" s="18" t="s">
        <v>65</v>
      </c>
      <c r="L986" s="18" t="s">
        <v>23</v>
      </c>
      <c r="M986" s="18" t="s">
        <v>24</v>
      </c>
      <c r="N986" s="22">
        <f t="shared" si="90"/>
        <v>0.90481838789604097</v>
      </c>
      <c r="O986" s="22">
        <f t="shared" si="91"/>
        <v>0.39773356250182101</v>
      </c>
      <c r="P986" s="23">
        <f t="shared" si="92"/>
        <v>0.13605674833221701</v>
      </c>
      <c r="Q986" s="23">
        <f t="shared" si="93"/>
        <v>0.34208012890939699</v>
      </c>
      <c r="R986" s="22">
        <f t="shared" si="94"/>
        <v>2.7224082630684201</v>
      </c>
      <c r="S986" s="22">
        <f t="shared" si="95"/>
        <v>3.7224082630684201</v>
      </c>
    </row>
    <row r="987" spans="1:19">
      <c r="A987" s="18" t="s">
        <v>1026</v>
      </c>
      <c r="B987" s="18" t="s">
        <v>34</v>
      </c>
      <c r="C987" s="18" t="s">
        <v>21</v>
      </c>
      <c r="D987" s="19">
        <v>44787</v>
      </c>
      <c r="E987" s="20">
        <v>45413</v>
      </c>
      <c r="F987" s="21">
        <v>39945.599999999999</v>
      </c>
      <c r="G987" s="21">
        <v>20953.599999999999</v>
      </c>
      <c r="H987" s="21">
        <v>7904</v>
      </c>
      <c r="I987" s="18">
        <v>3043.1039999999998</v>
      </c>
      <c r="J987" s="18">
        <v>11485.664000000001</v>
      </c>
      <c r="K987" s="18" t="s">
        <v>22</v>
      </c>
      <c r="L987" s="18" t="s">
        <v>31</v>
      </c>
      <c r="M987" s="18" t="s">
        <v>24</v>
      </c>
      <c r="N987" s="22">
        <f t="shared" si="90"/>
        <v>0.52455339261395495</v>
      </c>
      <c r="O987" s="22">
        <f t="shared" si="91"/>
        <v>0.37721441661576099</v>
      </c>
      <c r="P987" s="23">
        <f t="shared" si="92"/>
        <v>0.145230604764814</v>
      </c>
      <c r="Q987" s="23">
        <f t="shared" si="93"/>
        <v>0.38500809716599199</v>
      </c>
      <c r="R987" s="22">
        <f t="shared" si="94"/>
        <v>2.7743251627285801</v>
      </c>
      <c r="S987" s="22">
        <f t="shared" si="95"/>
        <v>3.7743251627285801</v>
      </c>
    </row>
    <row r="988" spans="1:19">
      <c r="A988" s="18" t="s">
        <v>1027</v>
      </c>
      <c r="B988" s="18" t="s">
        <v>26</v>
      </c>
      <c r="C988" s="18" t="s">
        <v>48</v>
      </c>
      <c r="D988" s="19">
        <v>44765</v>
      </c>
      <c r="E988" s="20">
        <v>45370</v>
      </c>
      <c r="F988" s="21">
        <v>33809.599999999999</v>
      </c>
      <c r="G988" s="21">
        <v>24587.200000000001</v>
      </c>
      <c r="H988" s="21">
        <v>8318.4</v>
      </c>
      <c r="I988" s="18">
        <v>1401.7760000000001</v>
      </c>
      <c r="J988" s="18">
        <v>1973.808</v>
      </c>
      <c r="K988" s="18" t="s">
        <v>65</v>
      </c>
      <c r="L988" s="18" t="s">
        <v>31</v>
      </c>
      <c r="M988" s="18" t="s">
        <v>24</v>
      </c>
      <c r="N988" s="22">
        <f t="shared" si="90"/>
        <v>0.72722540343571096</v>
      </c>
      <c r="O988" s="22">
        <f t="shared" si="91"/>
        <v>0.33832237912409702</v>
      </c>
      <c r="P988" s="23">
        <f t="shared" si="92"/>
        <v>5.7012429231469999E-2</v>
      </c>
      <c r="Q988" s="23">
        <f t="shared" si="93"/>
        <v>0.168515099057511</v>
      </c>
      <c r="R988" s="22">
        <f t="shared" si="94"/>
        <v>0.40807661138441498</v>
      </c>
      <c r="S988" s="22">
        <f t="shared" si="95"/>
        <v>1.4080766113844201</v>
      </c>
    </row>
    <row r="989" spans="1:19">
      <c r="A989" s="18" t="s">
        <v>1028</v>
      </c>
      <c r="B989" s="18" t="s">
        <v>34</v>
      </c>
      <c r="C989" s="18" t="s">
        <v>29</v>
      </c>
      <c r="D989" s="19">
        <v>44901</v>
      </c>
      <c r="E989" s="20">
        <v>45511</v>
      </c>
      <c r="F989" s="21">
        <v>45096</v>
      </c>
      <c r="G989" s="21">
        <v>31545.599999999999</v>
      </c>
      <c r="H989" s="21">
        <v>26513.599999999999</v>
      </c>
      <c r="I989" s="18">
        <v>3713.328</v>
      </c>
      <c r="J989" s="18">
        <v>14692.672</v>
      </c>
      <c r="K989" s="18" t="s">
        <v>65</v>
      </c>
      <c r="L989" s="18" t="s">
        <v>44</v>
      </c>
      <c r="M989" s="18" t="s">
        <v>32</v>
      </c>
      <c r="N989" s="22">
        <f t="shared" si="90"/>
        <v>0.69952102182011699</v>
      </c>
      <c r="O989" s="22">
        <f t="shared" si="91"/>
        <v>0.84048488537228605</v>
      </c>
      <c r="P989" s="23">
        <f t="shared" si="92"/>
        <v>0.117713024954352</v>
      </c>
      <c r="Q989" s="23">
        <f t="shared" si="93"/>
        <v>0.14005370828555899</v>
      </c>
      <c r="R989" s="22">
        <f t="shared" si="94"/>
        <v>2.9567396147068101</v>
      </c>
      <c r="S989" s="22">
        <f t="shared" si="95"/>
        <v>3.9567396147068101</v>
      </c>
    </row>
    <row r="990" spans="1:19">
      <c r="A990" s="18" t="s">
        <v>1029</v>
      </c>
      <c r="B990" s="18" t="s">
        <v>40</v>
      </c>
      <c r="C990" s="18" t="s">
        <v>29</v>
      </c>
      <c r="D990" s="19">
        <v>44887</v>
      </c>
      <c r="E990" s="20">
        <v>45494</v>
      </c>
      <c r="F990" s="21">
        <v>72124.800000000003</v>
      </c>
      <c r="G990" s="21">
        <v>58737.599999999999</v>
      </c>
      <c r="H990" s="21">
        <v>31792</v>
      </c>
      <c r="I990" s="18">
        <v>4623.68</v>
      </c>
      <c r="J990" s="18">
        <v>13659.712</v>
      </c>
      <c r="K990" s="18" t="s">
        <v>22</v>
      </c>
      <c r="L990" s="18" t="s">
        <v>50</v>
      </c>
      <c r="M990" s="18" t="s">
        <v>24</v>
      </c>
      <c r="N990" s="22">
        <f t="shared" si="90"/>
        <v>0.81438839345135094</v>
      </c>
      <c r="O990" s="22">
        <f t="shared" si="91"/>
        <v>0.54125466481436102</v>
      </c>
      <c r="P990" s="23">
        <f t="shared" si="92"/>
        <v>7.8717550597913397E-2</v>
      </c>
      <c r="Q990" s="23">
        <f t="shared" si="93"/>
        <v>0.145435329642677</v>
      </c>
      <c r="R990" s="22">
        <f t="shared" si="94"/>
        <v>1.9542944148384001</v>
      </c>
      <c r="S990" s="22">
        <f t="shared" si="95"/>
        <v>2.9542944148384001</v>
      </c>
    </row>
    <row r="991" spans="1:19">
      <c r="A991" s="18" t="s">
        <v>1030</v>
      </c>
      <c r="B991" s="18" t="s">
        <v>47</v>
      </c>
      <c r="C991" s="18" t="s">
        <v>29</v>
      </c>
      <c r="D991" s="19">
        <v>44779</v>
      </c>
      <c r="E991" s="20">
        <v>45403</v>
      </c>
      <c r="F991" s="21">
        <v>39561.599999999999</v>
      </c>
      <c r="G991" s="21">
        <v>7616</v>
      </c>
      <c r="H991" s="21">
        <v>3804.8</v>
      </c>
      <c r="I991" s="18">
        <v>1395.28</v>
      </c>
      <c r="J991" s="18">
        <v>2515.12</v>
      </c>
      <c r="K991" s="18" t="s">
        <v>22</v>
      </c>
      <c r="L991" s="18" t="s">
        <v>35</v>
      </c>
      <c r="M991" s="18" t="s">
        <v>24</v>
      </c>
      <c r="N991" s="22">
        <f t="shared" si="90"/>
        <v>0.192509908598237</v>
      </c>
      <c r="O991" s="22">
        <f t="shared" si="91"/>
        <v>0.499579831932773</v>
      </c>
      <c r="P991" s="23">
        <f t="shared" si="92"/>
        <v>0.183203781512605</v>
      </c>
      <c r="Q991" s="23">
        <f t="shared" si="93"/>
        <v>0.36671572750210302</v>
      </c>
      <c r="R991" s="22">
        <f t="shared" si="94"/>
        <v>0.80259159451866302</v>
      </c>
      <c r="S991" s="22">
        <f t="shared" si="95"/>
        <v>1.8025915945186599</v>
      </c>
    </row>
    <row r="992" spans="1:19">
      <c r="A992" s="18" t="s">
        <v>1031</v>
      </c>
      <c r="B992" s="18" t="s">
        <v>47</v>
      </c>
      <c r="C992" s="18" t="s">
        <v>21</v>
      </c>
      <c r="D992" s="19">
        <v>44703</v>
      </c>
      <c r="E992" s="20">
        <v>45320</v>
      </c>
      <c r="F992" s="21">
        <v>35641.599999999999</v>
      </c>
      <c r="G992" s="21">
        <v>34942.400000000001</v>
      </c>
      <c r="H992" s="21">
        <v>28425.599999999999</v>
      </c>
      <c r="I992" s="18">
        <v>2861.8879999999999</v>
      </c>
      <c r="J992" s="18">
        <v>9734.4639999999999</v>
      </c>
      <c r="K992" s="18" t="s">
        <v>30</v>
      </c>
      <c r="L992" s="18" t="s">
        <v>35</v>
      </c>
      <c r="M992" s="18" t="s">
        <v>24</v>
      </c>
      <c r="N992" s="22">
        <f t="shared" si="90"/>
        <v>0.98038247441192305</v>
      </c>
      <c r="O992" s="22">
        <f t="shared" si="91"/>
        <v>0.81349878657447705</v>
      </c>
      <c r="P992" s="23">
        <f t="shared" si="92"/>
        <v>8.1903017537432996E-2</v>
      </c>
      <c r="Q992" s="23">
        <f t="shared" si="93"/>
        <v>0.100679950467185</v>
      </c>
      <c r="R992" s="22">
        <f t="shared" si="94"/>
        <v>2.4014133327369902</v>
      </c>
      <c r="S992" s="22">
        <f t="shared" si="95"/>
        <v>3.4014133327369902</v>
      </c>
    </row>
    <row r="993" spans="1:19">
      <c r="A993" s="18" t="s">
        <v>1032</v>
      </c>
      <c r="B993" s="18" t="s">
        <v>47</v>
      </c>
      <c r="C993" s="18" t="s">
        <v>41</v>
      </c>
      <c r="D993" s="19">
        <v>44936</v>
      </c>
      <c r="E993" s="20">
        <v>45561</v>
      </c>
      <c r="F993" s="21">
        <v>34953.599999999999</v>
      </c>
      <c r="G993" s="21">
        <v>22059.200000000001</v>
      </c>
      <c r="H993" s="21">
        <v>1777.6</v>
      </c>
      <c r="I993" s="18">
        <v>2991.0079999999998</v>
      </c>
      <c r="J993" s="18">
        <v>9339.8559999999998</v>
      </c>
      <c r="K993" s="18" t="s">
        <v>43</v>
      </c>
      <c r="L993" s="18" t="s">
        <v>31</v>
      </c>
      <c r="M993" s="18" t="s">
        <v>32</v>
      </c>
      <c r="N993" s="22">
        <f t="shared" si="90"/>
        <v>0.63109951478531501</v>
      </c>
      <c r="O993" s="22">
        <f t="shared" si="91"/>
        <v>8.0583158047436002E-2</v>
      </c>
      <c r="P993" s="23">
        <f t="shared" si="92"/>
        <v>0.135590048596504</v>
      </c>
      <c r="Q993" s="23">
        <f t="shared" si="93"/>
        <v>1.6826102610261</v>
      </c>
      <c r="R993" s="22">
        <f t="shared" si="94"/>
        <v>2.12264494110347</v>
      </c>
      <c r="S993" s="22">
        <f t="shared" si="95"/>
        <v>3.12264494110347</v>
      </c>
    </row>
    <row r="994" spans="1:19">
      <c r="A994" s="18" t="s">
        <v>1033</v>
      </c>
      <c r="B994" s="18" t="s">
        <v>47</v>
      </c>
      <c r="C994" s="18" t="s">
        <v>29</v>
      </c>
      <c r="D994" s="19">
        <v>44720</v>
      </c>
      <c r="E994" s="20">
        <v>45324</v>
      </c>
      <c r="F994" s="21">
        <v>63240</v>
      </c>
      <c r="G994" s="21">
        <v>24950.400000000001</v>
      </c>
      <c r="H994" s="21">
        <v>8353.6</v>
      </c>
      <c r="I994" s="18">
        <v>7672.3519999999999</v>
      </c>
      <c r="J994" s="18">
        <v>24524.848000000002</v>
      </c>
      <c r="K994" s="18" t="s">
        <v>30</v>
      </c>
      <c r="L994" s="18" t="s">
        <v>50</v>
      </c>
      <c r="M994" s="18" t="s">
        <v>32</v>
      </c>
      <c r="N994" s="22">
        <f t="shared" si="90"/>
        <v>0.39453510436432598</v>
      </c>
      <c r="O994" s="22">
        <f t="shared" si="91"/>
        <v>0.33480825958702098</v>
      </c>
      <c r="P994" s="23">
        <f t="shared" si="92"/>
        <v>0.307504168269847</v>
      </c>
      <c r="Q994" s="23">
        <f t="shared" si="93"/>
        <v>0.91844857307029304</v>
      </c>
      <c r="R994" s="22">
        <f t="shared" si="94"/>
        <v>2.1965227872756601</v>
      </c>
      <c r="S994" s="22">
        <f t="shared" si="95"/>
        <v>3.1965227872756601</v>
      </c>
    </row>
    <row r="995" spans="1:19">
      <c r="A995" s="18" t="s">
        <v>1034</v>
      </c>
      <c r="B995" s="18" t="s">
        <v>26</v>
      </c>
      <c r="C995" s="18" t="s">
        <v>41</v>
      </c>
      <c r="D995" s="19">
        <v>44783</v>
      </c>
      <c r="E995" s="20">
        <v>45403</v>
      </c>
      <c r="F995" s="21">
        <v>11158.4</v>
      </c>
      <c r="G995" s="21">
        <v>7892.8</v>
      </c>
      <c r="H995" s="21">
        <v>5251.2</v>
      </c>
      <c r="I995" s="18">
        <v>2976.9920000000002</v>
      </c>
      <c r="J995" s="18">
        <v>7296.3040000000001</v>
      </c>
      <c r="K995" s="18" t="s">
        <v>43</v>
      </c>
      <c r="L995" s="18" t="s">
        <v>50</v>
      </c>
      <c r="M995" s="18" t="s">
        <v>32</v>
      </c>
      <c r="N995" s="22">
        <f t="shared" si="90"/>
        <v>0.70734155434470902</v>
      </c>
      <c r="O995" s="22">
        <f t="shared" si="91"/>
        <v>0.66531522400162202</v>
      </c>
      <c r="P995" s="23">
        <f t="shared" si="92"/>
        <v>0.37717818771538603</v>
      </c>
      <c r="Q995" s="23">
        <f t="shared" si="93"/>
        <v>0.56691651432053602</v>
      </c>
      <c r="R995" s="22">
        <f t="shared" si="94"/>
        <v>1.4508980877341999</v>
      </c>
      <c r="S995" s="22">
        <f t="shared" si="95"/>
        <v>2.4508980877341999</v>
      </c>
    </row>
    <row r="996" spans="1:19">
      <c r="A996" s="18" t="s">
        <v>1035</v>
      </c>
      <c r="B996" s="18" t="s">
        <v>20</v>
      </c>
      <c r="C996" s="18" t="s">
        <v>41</v>
      </c>
      <c r="D996" s="19">
        <v>44742</v>
      </c>
      <c r="E996" s="20">
        <v>45350</v>
      </c>
      <c r="F996" s="21">
        <v>63576</v>
      </c>
      <c r="G996" s="21">
        <v>28724.799999999999</v>
      </c>
      <c r="H996" s="21">
        <v>947.2</v>
      </c>
      <c r="I996" s="18">
        <v>2849.6640000000002</v>
      </c>
      <c r="J996" s="18">
        <v>9186.0159999999996</v>
      </c>
      <c r="K996" s="18" t="s">
        <v>43</v>
      </c>
      <c r="L996" s="18" t="s">
        <v>44</v>
      </c>
      <c r="M996" s="18" t="s">
        <v>24</v>
      </c>
      <c r="N996" s="22">
        <f t="shared" si="90"/>
        <v>0.45181829621240699</v>
      </c>
      <c r="O996" s="22">
        <f t="shared" si="91"/>
        <v>3.2974990252325503E-2</v>
      </c>
      <c r="P996" s="23">
        <f t="shared" si="92"/>
        <v>9.9205703782097698E-2</v>
      </c>
      <c r="Q996" s="23">
        <f t="shared" si="93"/>
        <v>3.0085135135135102</v>
      </c>
      <c r="R996" s="22">
        <f t="shared" si="94"/>
        <v>2.2235435475901699</v>
      </c>
      <c r="S996" s="22">
        <f t="shared" si="95"/>
        <v>3.2235435475901699</v>
      </c>
    </row>
    <row r="997" spans="1:19">
      <c r="A997" s="18" t="s">
        <v>1036</v>
      </c>
      <c r="B997" s="18" t="s">
        <v>26</v>
      </c>
      <c r="C997" s="18" t="s">
        <v>48</v>
      </c>
      <c r="D997" s="19">
        <v>44879</v>
      </c>
      <c r="E997" s="20">
        <v>45491</v>
      </c>
      <c r="F997" s="21">
        <v>12412.8</v>
      </c>
      <c r="G997" s="21">
        <v>8326.4</v>
      </c>
      <c r="H997" s="21">
        <v>7569.6</v>
      </c>
      <c r="I997" s="18">
        <v>3751.52</v>
      </c>
      <c r="J997" s="18">
        <v>6125.2640000000001</v>
      </c>
      <c r="K997" s="18" t="s">
        <v>38</v>
      </c>
      <c r="L997" s="18" t="s">
        <v>23</v>
      </c>
      <c r="M997" s="18" t="s">
        <v>24</v>
      </c>
      <c r="N997" s="22">
        <f t="shared" si="90"/>
        <v>0.67079144109306499</v>
      </c>
      <c r="O997" s="22">
        <f t="shared" si="91"/>
        <v>0.90910837817063805</v>
      </c>
      <c r="P997" s="23">
        <f t="shared" si="92"/>
        <v>0.45055726364335102</v>
      </c>
      <c r="Q997" s="23">
        <f t="shared" si="93"/>
        <v>0.49560346649756898</v>
      </c>
      <c r="R997" s="22">
        <f t="shared" si="94"/>
        <v>0.63274192860493905</v>
      </c>
      <c r="S997" s="22">
        <f t="shared" si="95"/>
        <v>1.6327419286049401</v>
      </c>
    </row>
    <row r="998" spans="1:19">
      <c r="A998" s="18" t="s">
        <v>1037</v>
      </c>
      <c r="B998" s="18" t="s">
        <v>34</v>
      </c>
      <c r="C998" s="18" t="s">
        <v>29</v>
      </c>
      <c r="D998" s="19">
        <v>44918</v>
      </c>
      <c r="E998" s="20">
        <v>45521</v>
      </c>
      <c r="F998" s="21">
        <v>8524.7999999999993</v>
      </c>
      <c r="G998" s="21">
        <v>531.20000000000005</v>
      </c>
      <c r="H998" s="21">
        <v>384</v>
      </c>
      <c r="I998" s="18">
        <v>7536.5919999999996</v>
      </c>
      <c r="J998" s="18">
        <v>13921.68</v>
      </c>
      <c r="K998" s="18" t="s">
        <v>65</v>
      </c>
      <c r="L998" s="18" t="s">
        <v>23</v>
      </c>
      <c r="M998" s="18" t="s">
        <v>24</v>
      </c>
      <c r="N998" s="22">
        <f t="shared" si="90"/>
        <v>6.2312312312312303E-2</v>
      </c>
      <c r="O998" s="22">
        <f t="shared" si="91"/>
        <v>0.72289156626506001</v>
      </c>
      <c r="P998" s="23">
        <f t="shared" si="92"/>
        <v>14.187861445783099</v>
      </c>
      <c r="Q998" s="23">
        <f t="shared" si="93"/>
        <v>19.6265416666667</v>
      </c>
      <c r="R998" s="22">
        <f t="shared" si="94"/>
        <v>0.84721157785906398</v>
      </c>
      <c r="S998" s="22">
        <f t="shared" si="95"/>
        <v>1.8472115778590601</v>
      </c>
    </row>
    <row r="999" spans="1:19">
      <c r="A999" s="18" t="s">
        <v>1038</v>
      </c>
      <c r="B999" s="18" t="s">
        <v>28</v>
      </c>
      <c r="C999" s="18" t="s">
        <v>21</v>
      </c>
      <c r="D999" s="19">
        <v>44962</v>
      </c>
      <c r="E999" s="20">
        <v>45581</v>
      </c>
      <c r="F999" s="21">
        <v>41552</v>
      </c>
      <c r="G999" s="21">
        <v>40816</v>
      </c>
      <c r="H999" s="21">
        <v>16340.8</v>
      </c>
      <c r="I999" s="18">
        <v>2519.904</v>
      </c>
      <c r="J999" s="18">
        <v>4979.9359999999997</v>
      </c>
      <c r="K999" s="18" t="s">
        <v>43</v>
      </c>
      <c r="L999" s="18" t="s">
        <v>44</v>
      </c>
      <c r="M999" s="18" t="s">
        <v>32</v>
      </c>
      <c r="N999" s="22">
        <f t="shared" si="90"/>
        <v>0.98228725452445098</v>
      </c>
      <c r="O999" s="22">
        <f t="shared" si="91"/>
        <v>0.40035280282242303</v>
      </c>
      <c r="P999" s="23">
        <f t="shared" si="92"/>
        <v>6.1738141905135199E-2</v>
      </c>
      <c r="Q999" s="23">
        <f t="shared" si="93"/>
        <v>0.154209341035935</v>
      </c>
      <c r="R999" s="22">
        <f t="shared" si="94"/>
        <v>0.97624036471230602</v>
      </c>
      <c r="S999" s="22">
        <f t="shared" si="95"/>
        <v>1.9762403647123099</v>
      </c>
    </row>
    <row r="1000" spans="1:19">
      <c r="A1000" s="18" t="s">
        <v>1039</v>
      </c>
      <c r="B1000" s="18" t="s">
        <v>47</v>
      </c>
      <c r="C1000" s="18" t="s">
        <v>29</v>
      </c>
      <c r="D1000" s="19">
        <v>44813</v>
      </c>
      <c r="E1000" s="20">
        <v>45436</v>
      </c>
      <c r="F1000" s="21">
        <v>54254.400000000001</v>
      </c>
      <c r="G1000" s="21">
        <v>3395.2</v>
      </c>
      <c r="H1000" s="21">
        <v>972.8</v>
      </c>
      <c r="I1000" s="18">
        <v>4183.616</v>
      </c>
      <c r="J1000" s="18">
        <v>7469.3919999999998</v>
      </c>
      <c r="K1000" s="18" t="s">
        <v>22</v>
      </c>
      <c r="L1000" s="18" t="s">
        <v>31</v>
      </c>
      <c r="M1000" s="18" t="s">
        <v>24</v>
      </c>
      <c r="N1000" s="22">
        <f t="shared" si="90"/>
        <v>6.2579256244654796E-2</v>
      </c>
      <c r="O1000" s="22">
        <f t="shared" si="91"/>
        <v>0.28652214891611699</v>
      </c>
      <c r="P1000" s="23">
        <f t="shared" si="92"/>
        <v>1.23221489161169</v>
      </c>
      <c r="Q1000" s="23">
        <f t="shared" si="93"/>
        <v>4.3005921052631599</v>
      </c>
      <c r="R1000" s="22">
        <f t="shared" si="94"/>
        <v>0.78539139347397102</v>
      </c>
      <c r="S1000" s="22">
        <f t="shared" si="95"/>
        <v>1.78539139347397</v>
      </c>
    </row>
    <row r="1001" spans="1:19">
      <c r="A1001" s="18" t="s">
        <v>1040</v>
      </c>
      <c r="B1001" s="18" t="s">
        <v>20</v>
      </c>
      <c r="C1001" s="18" t="s">
        <v>29</v>
      </c>
      <c r="D1001" s="19">
        <v>44901</v>
      </c>
      <c r="E1001" s="20">
        <v>45513</v>
      </c>
      <c r="F1001" s="21">
        <v>50904</v>
      </c>
      <c r="G1001" s="21">
        <v>5796.8</v>
      </c>
      <c r="H1001" s="21">
        <v>633.6</v>
      </c>
      <c r="I1001" s="18">
        <v>1667.712</v>
      </c>
      <c r="J1001" s="18">
        <v>2299.92</v>
      </c>
      <c r="K1001" s="18" t="s">
        <v>43</v>
      </c>
      <c r="L1001" s="18" t="s">
        <v>44</v>
      </c>
      <c r="M1001" s="18" t="s">
        <v>24</v>
      </c>
      <c r="N1001" s="22">
        <f t="shared" si="90"/>
        <v>0.113877101995914</v>
      </c>
      <c r="O1001" s="22">
        <f t="shared" si="91"/>
        <v>0.109301683687552</v>
      </c>
      <c r="P1001" s="23">
        <f t="shared" si="92"/>
        <v>0.28769528015456802</v>
      </c>
      <c r="Q1001" s="23">
        <f t="shared" si="93"/>
        <v>2.6321212121212101</v>
      </c>
      <c r="R1001" s="22">
        <f t="shared" si="94"/>
        <v>0.37908703661063797</v>
      </c>
      <c r="S1001" s="22">
        <f t="shared" si="95"/>
        <v>1.37908703661064</v>
      </c>
    </row>
    <row r="1002" spans="1:19">
      <c r="A1002" s="18" t="s">
        <v>1041</v>
      </c>
      <c r="B1002" s="18" t="s">
        <v>34</v>
      </c>
      <c r="C1002" s="18" t="s">
        <v>41</v>
      </c>
      <c r="D1002" s="19">
        <v>44847</v>
      </c>
      <c r="E1002" s="20">
        <v>45452</v>
      </c>
      <c r="F1002" s="21">
        <v>5635.2</v>
      </c>
      <c r="G1002" s="21">
        <v>1334.4</v>
      </c>
      <c r="H1002" s="21">
        <v>1137.5999999999999</v>
      </c>
      <c r="I1002" s="18">
        <v>775.68</v>
      </c>
      <c r="J1002" s="18">
        <v>3059.8719999999998</v>
      </c>
      <c r="K1002" s="18" t="s">
        <v>38</v>
      </c>
      <c r="L1002" s="18" t="s">
        <v>31</v>
      </c>
      <c r="M1002" s="18" t="s">
        <v>24</v>
      </c>
      <c r="N1002" s="22">
        <f t="shared" si="90"/>
        <v>0.23679727427597999</v>
      </c>
      <c r="O1002" s="22">
        <f t="shared" si="91"/>
        <v>0.85251798561151104</v>
      </c>
      <c r="P1002" s="23">
        <f t="shared" si="92"/>
        <v>0.58129496402877701</v>
      </c>
      <c r="Q1002" s="23">
        <f t="shared" si="93"/>
        <v>0.68185654008438801</v>
      </c>
      <c r="R1002" s="22">
        <f t="shared" si="94"/>
        <v>2.9447607260726101</v>
      </c>
      <c r="S1002" s="22">
        <f t="shared" si="95"/>
        <v>3.9447607260726101</v>
      </c>
    </row>
    <row r="1003" spans="1:19">
      <c r="A1003" s="18" t="s">
        <v>1042</v>
      </c>
      <c r="B1003" s="18" t="s">
        <v>26</v>
      </c>
      <c r="C1003" s="18" t="s">
        <v>29</v>
      </c>
      <c r="D1003" s="19">
        <v>44868</v>
      </c>
      <c r="E1003" s="20">
        <v>45481</v>
      </c>
      <c r="F1003" s="21">
        <v>53360</v>
      </c>
      <c r="G1003" s="21">
        <v>13934.4</v>
      </c>
      <c r="H1003" s="21">
        <v>6169.6</v>
      </c>
      <c r="I1003" s="18">
        <v>4807.3280000000004</v>
      </c>
      <c r="J1003" s="18">
        <v>18430.975999999999</v>
      </c>
      <c r="K1003" s="18" t="s">
        <v>38</v>
      </c>
      <c r="L1003" s="18" t="s">
        <v>50</v>
      </c>
      <c r="M1003" s="18" t="s">
        <v>24</v>
      </c>
      <c r="N1003" s="22">
        <f t="shared" si="90"/>
        <v>0.26113943028485798</v>
      </c>
      <c r="O1003" s="22">
        <f t="shared" si="91"/>
        <v>0.44276036284303599</v>
      </c>
      <c r="P1003" s="23">
        <f t="shared" si="92"/>
        <v>0.34499712940636101</v>
      </c>
      <c r="Q1003" s="23">
        <f t="shared" si="93"/>
        <v>0.779196058091286</v>
      </c>
      <c r="R1003" s="22">
        <f t="shared" si="94"/>
        <v>2.8339335281470301</v>
      </c>
      <c r="S1003" s="22">
        <f t="shared" si="95"/>
        <v>3.8339335281470301</v>
      </c>
    </row>
    <row r="1004" spans="1:19">
      <c r="A1004" s="18" t="s">
        <v>1043</v>
      </c>
      <c r="B1004" s="18" t="s">
        <v>47</v>
      </c>
      <c r="C1004" s="18" t="s">
        <v>29</v>
      </c>
      <c r="D1004" s="19">
        <v>44942</v>
      </c>
      <c r="E1004" s="20">
        <v>45559</v>
      </c>
      <c r="F1004" s="21">
        <v>20716.8</v>
      </c>
      <c r="G1004" s="21">
        <v>15374.4</v>
      </c>
      <c r="H1004" s="21">
        <v>4035.2</v>
      </c>
      <c r="I1004" s="18">
        <v>1688.288</v>
      </c>
      <c r="J1004" s="18">
        <v>4524.4480000000003</v>
      </c>
      <c r="K1004" s="18" t="s">
        <v>22</v>
      </c>
      <c r="L1004" s="18" t="s">
        <v>23</v>
      </c>
      <c r="M1004" s="18" t="s">
        <v>32</v>
      </c>
      <c r="N1004" s="22">
        <f t="shared" si="90"/>
        <v>0.74212233549582995</v>
      </c>
      <c r="O1004" s="22">
        <f t="shared" si="91"/>
        <v>0.26246227495056701</v>
      </c>
      <c r="P1004" s="23">
        <f t="shared" si="92"/>
        <v>0.109811634925591</v>
      </c>
      <c r="Q1004" s="23">
        <f t="shared" si="93"/>
        <v>0.41839016653449601</v>
      </c>
      <c r="R1004" s="22">
        <f t="shared" si="94"/>
        <v>1.67990295494608</v>
      </c>
      <c r="S1004" s="22">
        <f t="shared" si="95"/>
        <v>2.6799029549460802</v>
      </c>
    </row>
    <row r="1005" spans="1:19">
      <c r="A1005" s="18" t="s">
        <v>1044</v>
      </c>
      <c r="B1005" s="18" t="s">
        <v>26</v>
      </c>
      <c r="C1005" s="18" t="s">
        <v>21</v>
      </c>
      <c r="D1005" s="19">
        <v>44713</v>
      </c>
      <c r="E1005" s="20">
        <v>45314</v>
      </c>
      <c r="F1005" s="21">
        <v>55547.199999999997</v>
      </c>
      <c r="G1005" s="21">
        <v>51289.599999999999</v>
      </c>
      <c r="H1005" s="21">
        <v>24812.799999999999</v>
      </c>
      <c r="I1005" s="18">
        <v>4545.2</v>
      </c>
      <c r="J1005" s="18">
        <v>13659.407999999999</v>
      </c>
      <c r="K1005" s="18" t="s">
        <v>38</v>
      </c>
      <c r="L1005" s="18" t="s">
        <v>35</v>
      </c>
      <c r="M1005" s="18" t="s">
        <v>24</v>
      </c>
      <c r="N1005" s="22">
        <f t="shared" si="90"/>
        <v>0.92335167209148294</v>
      </c>
      <c r="O1005" s="22">
        <f t="shared" si="91"/>
        <v>0.48377838782131299</v>
      </c>
      <c r="P1005" s="23">
        <f t="shared" si="92"/>
        <v>8.8618355378088307E-2</v>
      </c>
      <c r="Q1005" s="23">
        <f t="shared" si="93"/>
        <v>0.18317964921330901</v>
      </c>
      <c r="R1005" s="22">
        <f t="shared" si="94"/>
        <v>2.0052380533309901</v>
      </c>
      <c r="S1005" s="22">
        <f t="shared" si="95"/>
        <v>3.0052380533309901</v>
      </c>
    </row>
    <row r="1006" spans="1:19">
      <c r="A1006" s="18" t="s">
        <v>1045</v>
      </c>
      <c r="B1006" s="18" t="s">
        <v>34</v>
      </c>
      <c r="C1006" s="18" t="s">
        <v>41</v>
      </c>
      <c r="D1006" s="19">
        <v>44896</v>
      </c>
      <c r="E1006" s="20">
        <v>45518</v>
      </c>
      <c r="F1006" s="21">
        <v>14873.6</v>
      </c>
      <c r="G1006" s="21">
        <v>4480</v>
      </c>
      <c r="H1006" s="21">
        <v>3529.6</v>
      </c>
      <c r="I1006" s="18">
        <v>4864.8</v>
      </c>
      <c r="J1006" s="18">
        <v>16498.351999999999</v>
      </c>
      <c r="K1006" s="18" t="s">
        <v>38</v>
      </c>
      <c r="L1006" s="18" t="s">
        <v>31</v>
      </c>
      <c r="M1006" s="18" t="s">
        <v>24</v>
      </c>
      <c r="N1006" s="22">
        <f t="shared" si="90"/>
        <v>0.30120481927710802</v>
      </c>
      <c r="O1006" s="22">
        <f t="shared" si="91"/>
        <v>0.78785714285714303</v>
      </c>
      <c r="P1006" s="23">
        <f t="shared" si="92"/>
        <v>1.0858928571428601</v>
      </c>
      <c r="Q1006" s="23">
        <f t="shared" si="93"/>
        <v>1.37828649138713</v>
      </c>
      <c r="R1006" s="22">
        <f t="shared" si="94"/>
        <v>2.3913731294195002</v>
      </c>
      <c r="S1006" s="22">
        <f t="shared" si="95"/>
        <v>3.3913731294195002</v>
      </c>
    </row>
    <row r="1007" spans="1:19">
      <c r="A1007" s="18" t="s">
        <v>1046</v>
      </c>
      <c r="B1007" s="18" t="s">
        <v>40</v>
      </c>
      <c r="C1007" s="18" t="s">
        <v>29</v>
      </c>
      <c r="D1007" s="19">
        <v>44939</v>
      </c>
      <c r="E1007" s="20">
        <v>45550</v>
      </c>
      <c r="F1007" s="21">
        <v>36112</v>
      </c>
      <c r="G1007" s="21">
        <v>23009.599999999999</v>
      </c>
      <c r="H1007" s="21">
        <v>13638.4</v>
      </c>
      <c r="I1007" s="18">
        <v>2936.4</v>
      </c>
      <c r="J1007" s="18">
        <v>8987.7759999999998</v>
      </c>
      <c r="K1007" s="18" t="s">
        <v>43</v>
      </c>
      <c r="L1007" s="18" t="s">
        <v>31</v>
      </c>
      <c r="M1007" s="18" t="s">
        <v>24</v>
      </c>
      <c r="N1007" s="22">
        <f t="shared" si="90"/>
        <v>0.63717323881258303</v>
      </c>
      <c r="O1007" s="22">
        <f t="shared" si="91"/>
        <v>0.59272651415061495</v>
      </c>
      <c r="P1007" s="23">
        <f t="shared" si="92"/>
        <v>0.12761629928377699</v>
      </c>
      <c r="Q1007" s="23">
        <f t="shared" si="93"/>
        <v>0.215303847958705</v>
      </c>
      <c r="R1007" s="22">
        <f t="shared" si="94"/>
        <v>2.06081460291513</v>
      </c>
      <c r="S1007" s="22">
        <f t="shared" si="95"/>
        <v>3.06081460291513</v>
      </c>
    </row>
    <row r="1008" spans="1:19">
      <c r="A1008" s="18" t="s">
        <v>1047</v>
      </c>
      <c r="B1008" s="18" t="s">
        <v>26</v>
      </c>
      <c r="C1008" s="18" t="s">
        <v>48</v>
      </c>
      <c r="D1008" s="19">
        <v>44896</v>
      </c>
      <c r="E1008" s="20">
        <v>45514</v>
      </c>
      <c r="F1008" s="21">
        <v>58308.800000000003</v>
      </c>
      <c r="G1008" s="21">
        <v>1267.2</v>
      </c>
      <c r="H1008" s="21">
        <v>1144</v>
      </c>
      <c r="I1008" s="18">
        <v>1473.7760000000001</v>
      </c>
      <c r="J1008" s="18">
        <v>5871.616</v>
      </c>
      <c r="K1008" s="18" t="s">
        <v>38</v>
      </c>
      <c r="L1008" s="18" t="s">
        <v>23</v>
      </c>
      <c r="M1008" s="18" t="s">
        <v>24</v>
      </c>
      <c r="N1008" s="22">
        <f t="shared" si="90"/>
        <v>2.1732568668880198E-2</v>
      </c>
      <c r="O1008" s="22">
        <f t="shared" si="91"/>
        <v>0.90277777777777801</v>
      </c>
      <c r="P1008" s="23">
        <f t="shared" si="92"/>
        <v>1.1630176767676801</v>
      </c>
      <c r="Q1008" s="23">
        <f t="shared" si="93"/>
        <v>1.28826573426573</v>
      </c>
      <c r="R1008" s="22">
        <f t="shared" si="94"/>
        <v>2.9840627069513999</v>
      </c>
      <c r="S1008" s="22">
        <f t="shared" si="95"/>
        <v>3.9840627069513999</v>
      </c>
    </row>
    <row r="1009" spans="1:19">
      <c r="A1009" s="18" t="s">
        <v>1048</v>
      </c>
      <c r="B1009" s="18" t="s">
        <v>34</v>
      </c>
      <c r="C1009" s="18" t="s">
        <v>21</v>
      </c>
      <c r="D1009" s="19">
        <v>44895</v>
      </c>
      <c r="E1009" s="20">
        <v>45513</v>
      </c>
      <c r="F1009" s="21">
        <v>71401.600000000006</v>
      </c>
      <c r="G1009" s="21">
        <v>30844.799999999999</v>
      </c>
      <c r="H1009" s="21">
        <v>5289.6</v>
      </c>
      <c r="I1009" s="18">
        <v>2170.4</v>
      </c>
      <c r="J1009" s="18">
        <v>4623.7280000000001</v>
      </c>
      <c r="K1009" s="18" t="s">
        <v>65</v>
      </c>
      <c r="L1009" s="18" t="s">
        <v>23</v>
      </c>
      <c r="M1009" s="18" t="s">
        <v>24</v>
      </c>
      <c r="N1009" s="22">
        <f t="shared" si="90"/>
        <v>0.43199031954466</v>
      </c>
      <c r="O1009" s="22">
        <f t="shared" si="91"/>
        <v>0.17149081854964199</v>
      </c>
      <c r="P1009" s="23">
        <f t="shared" si="92"/>
        <v>7.0365183110281199E-2</v>
      </c>
      <c r="Q1009" s="23">
        <f t="shared" si="93"/>
        <v>0.41031457955232897</v>
      </c>
      <c r="R1009" s="22">
        <f t="shared" si="94"/>
        <v>1.13035753778105</v>
      </c>
      <c r="S1009" s="22">
        <f t="shared" si="95"/>
        <v>2.13035753778105</v>
      </c>
    </row>
    <row r="1010" spans="1:19">
      <c r="A1010" s="18" t="s">
        <v>1049</v>
      </c>
      <c r="B1010" s="18" t="s">
        <v>26</v>
      </c>
      <c r="C1010" s="18" t="s">
        <v>29</v>
      </c>
      <c r="D1010" s="19">
        <v>44930</v>
      </c>
      <c r="E1010" s="20">
        <v>45546</v>
      </c>
      <c r="F1010" s="21">
        <v>10844.8</v>
      </c>
      <c r="G1010" s="21">
        <v>4739.2</v>
      </c>
      <c r="H1010" s="21">
        <v>4318.3999999999996</v>
      </c>
      <c r="I1010" s="18">
        <v>7129.1040000000003</v>
      </c>
      <c r="J1010" s="18">
        <v>14789.328</v>
      </c>
      <c r="K1010" s="18" t="s">
        <v>30</v>
      </c>
      <c r="L1010" s="18" t="s">
        <v>44</v>
      </c>
      <c r="M1010" s="18" t="s">
        <v>24</v>
      </c>
      <c r="N1010" s="22">
        <f t="shared" si="90"/>
        <v>0.43700206550604898</v>
      </c>
      <c r="O1010" s="22">
        <f t="shared" si="91"/>
        <v>0.91120864280891301</v>
      </c>
      <c r="P1010" s="23">
        <f t="shared" si="92"/>
        <v>1.5042842673868999</v>
      </c>
      <c r="Q1010" s="23">
        <f t="shared" si="93"/>
        <v>1.65086698777325</v>
      </c>
      <c r="R1010" s="22">
        <f t="shared" si="94"/>
        <v>1.07450024575318</v>
      </c>
      <c r="S1010" s="22">
        <f t="shared" si="95"/>
        <v>2.07450024575318</v>
      </c>
    </row>
    <row r="1011" spans="1:19">
      <c r="A1011" s="18" t="s">
        <v>1050</v>
      </c>
      <c r="B1011" s="18" t="s">
        <v>26</v>
      </c>
      <c r="C1011" s="18" t="s">
        <v>29</v>
      </c>
      <c r="D1011" s="19">
        <v>44896</v>
      </c>
      <c r="E1011" s="20">
        <v>45521</v>
      </c>
      <c r="F1011" s="21">
        <v>7854.4</v>
      </c>
      <c r="G1011" s="21">
        <v>1491.2</v>
      </c>
      <c r="H1011" s="21">
        <v>6.4</v>
      </c>
      <c r="I1011" s="18">
        <v>1884.3520000000001</v>
      </c>
      <c r="J1011" s="18">
        <v>3162.1120000000001</v>
      </c>
      <c r="K1011" s="18" t="s">
        <v>30</v>
      </c>
      <c r="L1011" s="18" t="s">
        <v>31</v>
      </c>
      <c r="M1011" s="18" t="s">
        <v>32</v>
      </c>
      <c r="N1011" s="22">
        <f t="shared" si="90"/>
        <v>0.18985536769199399</v>
      </c>
      <c r="O1011" s="22">
        <f t="shared" si="91"/>
        <v>4.29184549356223E-3</v>
      </c>
      <c r="P1011" s="23">
        <f t="shared" si="92"/>
        <v>1.2636480686695299</v>
      </c>
      <c r="Q1011" s="23">
        <f t="shared" si="93"/>
        <v>294.43</v>
      </c>
      <c r="R1011" s="22">
        <f t="shared" si="94"/>
        <v>0.67808986855958997</v>
      </c>
      <c r="S1011" s="22">
        <f t="shared" si="95"/>
        <v>1.67808986855959</v>
      </c>
    </row>
    <row r="1012" spans="1:19">
      <c r="A1012" s="18" t="s">
        <v>1051</v>
      </c>
      <c r="B1012" s="18" t="s">
        <v>26</v>
      </c>
      <c r="C1012" s="18" t="s">
        <v>29</v>
      </c>
      <c r="D1012" s="19">
        <v>44757</v>
      </c>
      <c r="E1012" s="20">
        <v>45386</v>
      </c>
      <c r="F1012" s="21">
        <v>64689.599999999999</v>
      </c>
      <c r="G1012" s="21">
        <v>61350.400000000001</v>
      </c>
      <c r="H1012" s="21">
        <v>20267.2</v>
      </c>
      <c r="I1012" s="18">
        <v>419.44</v>
      </c>
      <c r="J1012" s="18">
        <v>892.52800000000002</v>
      </c>
      <c r="K1012" s="18" t="s">
        <v>43</v>
      </c>
      <c r="L1012" s="18" t="s">
        <v>50</v>
      </c>
      <c r="M1012" s="18" t="s">
        <v>24</v>
      </c>
      <c r="N1012" s="22">
        <f t="shared" si="90"/>
        <v>0.94838119264920495</v>
      </c>
      <c r="O1012" s="22">
        <f t="shared" si="91"/>
        <v>0.330351554350094</v>
      </c>
      <c r="P1012" s="23">
        <f t="shared" si="92"/>
        <v>6.8367932401418698E-3</v>
      </c>
      <c r="Q1012" s="23">
        <f t="shared" si="93"/>
        <v>2.0695508012946999E-2</v>
      </c>
      <c r="R1012" s="22">
        <f t="shared" si="94"/>
        <v>1.1279038718291099</v>
      </c>
      <c r="S1012" s="22">
        <f t="shared" si="95"/>
        <v>2.1279038718291101</v>
      </c>
    </row>
    <row r="1013" spans="1:19">
      <c r="A1013" s="18" t="s">
        <v>1052</v>
      </c>
      <c r="B1013" s="18" t="s">
        <v>26</v>
      </c>
      <c r="C1013" s="18" t="s">
        <v>29</v>
      </c>
      <c r="D1013" s="19">
        <v>44990</v>
      </c>
      <c r="E1013" s="20">
        <v>45607</v>
      </c>
      <c r="F1013" s="21">
        <v>36945.599999999999</v>
      </c>
      <c r="G1013" s="21">
        <v>14752</v>
      </c>
      <c r="H1013" s="21">
        <v>2774.4</v>
      </c>
      <c r="I1013" s="18">
        <v>2876.0320000000002</v>
      </c>
      <c r="J1013" s="18">
        <v>9063.7440000000006</v>
      </c>
      <c r="K1013" s="18" t="s">
        <v>43</v>
      </c>
      <c r="L1013" s="18" t="s">
        <v>31</v>
      </c>
      <c r="M1013" s="18" t="s">
        <v>24</v>
      </c>
      <c r="N1013" s="22">
        <f t="shared" si="90"/>
        <v>0.39928976657572202</v>
      </c>
      <c r="O1013" s="22">
        <f t="shared" si="91"/>
        <v>0.18806941431670299</v>
      </c>
      <c r="P1013" s="23">
        <f t="shared" si="92"/>
        <v>0.19495878524945801</v>
      </c>
      <c r="Q1013" s="23">
        <f t="shared" si="93"/>
        <v>1.03663206459054</v>
      </c>
      <c r="R1013" s="22">
        <f t="shared" si="94"/>
        <v>2.1514753660599002</v>
      </c>
      <c r="S1013" s="22">
        <f t="shared" si="95"/>
        <v>3.1514753660599002</v>
      </c>
    </row>
    <row r="1014" spans="1:19">
      <c r="A1014" s="18" t="s">
        <v>1053</v>
      </c>
      <c r="B1014" s="18" t="s">
        <v>40</v>
      </c>
      <c r="C1014" s="18" t="s">
        <v>41</v>
      </c>
      <c r="D1014" s="19">
        <v>44962</v>
      </c>
      <c r="E1014" s="20">
        <v>45570</v>
      </c>
      <c r="F1014" s="21">
        <v>49683.199999999997</v>
      </c>
      <c r="G1014" s="21">
        <v>10979.2</v>
      </c>
      <c r="H1014" s="21">
        <v>8180.8</v>
      </c>
      <c r="I1014" s="18">
        <v>616.78399999999999</v>
      </c>
      <c r="J1014" s="18">
        <v>2432.4960000000001</v>
      </c>
      <c r="K1014" s="18" t="s">
        <v>38</v>
      </c>
      <c r="L1014" s="18" t="s">
        <v>44</v>
      </c>
      <c r="M1014" s="18" t="s">
        <v>24</v>
      </c>
      <c r="N1014" s="22">
        <f t="shared" si="90"/>
        <v>0.220984155609945</v>
      </c>
      <c r="O1014" s="22">
        <f t="shared" si="91"/>
        <v>0.74511804138735105</v>
      </c>
      <c r="P1014" s="23">
        <f t="shared" si="92"/>
        <v>5.6177499271349497E-2</v>
      </c>
      <c r="Q1014" s="23">
        <f t="shared" si="93"/>
        <v>7.5394093487189506E-2</v>
      </c>
      <c r="R1014" s="22">
        <f t="shared" si="94"/>
        <v>2.94383771304055</v>
      </c>
      <c r="S1014" s="22">
        <f t="shared" si="95"/>
        <v>3.94383771304055</v>
      </c>
    </row>
    <row r="1015" spans="1:19">
      <c r="A1015" s="18" t="s">
        <v>1054</v>
      </c>
      <c r="B1015" s="18" t="s">
        <v>34</v>
      </c>
      <c r="C1015" s="18" t="s">
        <v>48</v>
      </c>
      <c r="D1015" s="19">
        <v>44866</v>
      </c>
      <c r="E1015" s="20">
        <v>45486</v>
      </c>
      <c r="F1015" s="21">
        <v>13428.8</v>
      </c>
      <c r="G1015" s="21">
        <v>1497.6</v>
      </c>
      <c r="H1015" s="21">
        <v>550.4</v>
      </c>
      <c r="I1015" s="18">
        <v>4523.5519999999997</v>
      </c>
      <c r="J1015" s="18">
        <v>13765.472</v>
      </c>
      <c r="K1015" s="18" t="s">
        <v>22</v>
      </c>
      <c r="L1015" s="18" t="s">
        <v>44</v>
      </c>
      <c r="M1015" s="18" t="s">
        <v>24</v>
      </c>
      <c r="N1015" s="22">
        <f t="shared" si="90"/>
        <v>0.111521506016919</v>
      </c>
      <c r="O1015" s="22">
        <f t="shared" si="91"/>
        <v>0.36752136752136799</v>
      </c>
      <c r="P1015" s="23">
        <f t="shared" si="92"/>
        <v>3.02053418803419</v>
      </c>
      <c r="Q1015" s="23">
        <f t="shared" si="93"/>
        <v>8.2186627906976693</v>
      </c>
      <c r="R1015" s="22">
        <f t="shared" si="94"/>
        <v>2.0430670411216698</v>
      </c>
      <c r="S1015" s="22">
        <f t="shared" si="95"/>
        <v>3.0430670411216698</v>
      </c>
    </row>
    <row r="1016" spans="1:19">
      <c r="A1016" s="18" t="s">
        <v>1055</v>
      </c>
      <c r="B1016" s="18" t="s">
        <v>20</v>
      </c>
      <c r="C1016" s="18" t="s">
        <v>21</v>
      </c>
      <c r="D1016" s="19">
        <v>44799</v>
      </c>
      <c r="E1016" s="20">
        <v>45418</v>
      </c>
      <c r="F1016" s="21">
        <v>15278.4</v>
      </c>
      <c r="G1016" s="21">
        <v>10254.4</v>
      </c>
      <c r="H1016" s="21">
        <v>6812.8</v>
      </c>
      <c r="I1016" s="18">
        <v>1819.664</v>
      </c>
      <c r="J1016" s="18">
        <v>7032.1760000000004</v>
      </c>
      <c r="K1016" s="18" t="s">
        <v>38</v>
      </c>
      <c r="L1016" s="18" t="s">
        <v>44</v>
      </c>
      <c r="M1016" s="18" t="s">
        <v>24</v>
      </c>
      <c r="N1016" s="22">
        <f t="shared" si="90"/>
        <v>0.67116975599539197</v>
      </c>
      <c r="O1016" s="22">
        <f t="shared" si="91"/>
        <v>0.66437821813075404</v>
      </c>
      <c r="P1016" s="23">
        <f t="shared" si="92"/>
        <v>0.17745202059603701</v>
      </c>
      <c r="Q1016" s="23">
        <f t="shared" si="93"/>
        <v>0.26709488022545802</v>
      </c>
      <c r="R1016" s="22">
        <f t="shared" si="94"/>
        <v>2.8645464217569798</v>
      </c>
      <c r="S1016" s="22">
        <f t="shared" si="95"/>
        <v>3.8645464217569798</v>
      </c>
    </row>
    <row r="1017" spans="1:19">
      <c r="A1017" s="18" t="s">
        <v>1056</v>
      </c>
      <c r="B1017" s="18" t="s">
        <v>34</v>
      </c>
      <c r="C1017" s="18" t="s">
        <v>29</v>
      </c>
      <c r="D1017" s="19">
        <v>44846</v>
      </c>
      <c r="E1017" s="20">
        <v>45458</v>
      </c>
      <c r="F1017" s="21">
        <v>25171.200000000001</v>
      </c>
      <c r="G1017" s="21">
        <v>16889.599999999999</v>
      </c>
      <c r="H1017" s="21">
        <v>2944</v>
      </c>
      <c r="I1017" s="18">
        <v>6382.32</v>
      </c>
      <c r="J1017" s="18">
        <v>8403.9680000000008</v>
      </c>
      <c r="K1017" s="18" t="s">
        <v>65</v>
      </c>
      <c r="L1017" s="18" t="s">
        <v>50</v>
      </c>
      <c r="M1017" s="18" t="s">
        <v>32</v>
      </c>
      <c r="N1017" s="22">
        <f t="shared" si="90"/>
        <v>0.67098906687007398</v>
      </c>
      <c r="O1017" s="22">
        <f t="shared" si="91"/>
        <v>0.17430845017051899</v>
      </c>
      <c r="P1017" s="23">
        <f t="shared" si="92"/>
        <v>0.37788461538461499</v>
      </c>
      <c r="Q1017" s="23">
        <f t="shared" si="93"/>
        <v>2.1679076086956499</v>
      </c>
      <c r="R1017" s="22">
        <f t="shared" si="94"/>
        <v>0.316757542711741</v>
      </c>
      <c r="S1017" s="22">
        <f t="shared" si="95"/>
        <v>1.3167575427117399</v>
      </c>
    </row>
    <row r="1018" spans="1:19">
      <c r="A1018" s="18" t="s">
        <v>1057</v>
      </c>
      <c r="B1018" s="18" t="s">
        <v>28</v>
      </c>
      <c r="C1018" s="18" t="s">
        <v>41</v>
      </c>
      <c r="D1018" s="19">
        <v>44987</v>
      </c>
      <c r="E1018" s="20">
        <v>45597</v>
      </c>
      <c r="F1018" s="21">
        <v>58496</v>
      </c>
      <c r="G1018" s="21">
        <v>52862.400000000001</v>
      </c>
      <c r="H1018" s="21">
        <v>8070.4</v>
      </c>
      <c r="I1018" s="18">
        <v>1263.328</v>
      </c>
      <c r="J1018" s="18">
        <v>3433.0720000000001</v>
      </c>
      <c r="K1018" s="18" t="s">
        <v>30</v>
      </c>
      <c r="L1018" s="18" t="s">
        <v>44</v>
      </c>
      <c r="M1018" s="18" t="s">
        <v>24</v>
      </c>
      <c r="N1018" s="22">
        <f t="shared" si="90"/>
        <v>0.90369256017505495</v>
      </c>
      <c r="O1018" s="22">
        <f t="shared" si="91"/>
        <v>0.15266805896062199</v>
      </c>
      <c r="P1018" s="23">
        <f t="shared" si="92"/>
        <v>2.3898423075758901E-2</v>
      </c>
      <c r="Q1018" s="23">
        <f t="shared" si="93"/>
        <v>0.15653846153846199</v>
      </c>
      <c r="R1018" s="22">
        <f t="shared" si="94"/>
        <v>1.71748271232807</v>
      </c>
      <c r="S1018" s="22">
        <f t="shared" si="95"/>
        <v>2.7174827123280698</v>
      </c>
    </row>
    <row r="1019" spans="1:19">
      <c r="A1019" s="18" t="s">
        <v>1058</v>
      </c>
      <c r="B1019" s="18" t="s">
        <v>34</v>
      </c>
      <c r="C1019" s="18" t="s">
        <v>41</v>
      </c>
      <c r="D1019" s="19">
        <v>44770</v>
      </c>
      <c r="E1019" s="20">
        <v>45375</v>
      </c>
      <c r="F1019" s="21">
        <v>6022.4</v>
      </c>
      <c r="G1019" s="21">
        <v>2726.4</v>
      </c>
      <c r="H1019" s="21">
        <v>1073.5999999999999</v>
      </c>
      <c r="I1019" s="18">
        <v>6272.08</v>
      </c>
      <c r="J1019" s="18">
        <v>14560.048000000001</v>
      </c>
      <c r="K1019" s="18" t="s">
        <v>43</v>
      </c>
      <c r="L1019" s="18" t="s">
        <v>35</v>
      </c>
      <c r="M1019" s="18" t="s">
        <v>32</v>
      </c>
      <c r="N1019" s="22">
        <f t="shared" si="90"/>
        <v>0.45270988310308202</v>
      </c>
      <c r="O1019" s="22">
        <f t="shared" si="91"/>
        <v>0.39377934272300502</v>
      </c>
      <c r="P1019" s="23">
        <f t="shared" si="92"/>
        <v>2.3004988262910802</v>
      </c>
      <c r="Q1019" s="23">
        <f t="shared" si="93"/>
        <v>5.84210134128167</v>
      </c>
      <c r="R1019" s="22">
        <f t="shared" si="94"/>
        <v>1.32140661471155</v>
      </c>
      <c r="S1019" s="22">
        <f t="shared" si="95"/>
        <v>2.3214066147115502</v>
      </c>
    </row>
    <row r="1020" spans="1:19">
      <c r="A1020" s="18" t="s">
        <v>1059</v>
      </c>
      <c r="B1020" s="18" t="s">
        <v>26</v>
      </c>
      <c r="C1020" s="18" t="s">
        <v>41</v>
      </c>
      <c r="D1020" s="19">
        <v>44903</v>
      </c>
      <c r="E1020" s="20">
        <v>45518</v>
      </c>
      <c r="F1020" s="21">
        <v>14985.6</v>
      </c>
      <c r="G1020" s="21">
        <v>9966.4</v>
      </c>
      <c r="H1020" s="21">
        <v>681.6</v>
      </c>
      <c r="I1020" s="18">
        <v>5093.9840000000004</v>
      </c>
      <c r="J1020" s="18">
        <v>10823.696</v>
      </c>
      <c r="K1020" s="18" t="s">
        <v>30</v>
      </c>
      <c r="L1020" s="18" t="s">
        <v>35</v>
      </c>
      <c r="M1020" s="18" t="s">
        <v>24</v>
      </c>
      <c r="N1020" s="22">
        <f t="shared" si="90"/>
        <v>0.66506512919069005</v>
      </c>
      <c r="O1020" s="22">
        <f t="shared" si="91"/>
        <v>6.8389789693369701E-2</v>
      </c>
      <c r="P1020" s="23">
        <f t="shared" si="92"/>
        <v>0.51111574891635903</v>
      </c>
      <c r="Q1020" s="23">
        <f t="shared" si="93"/>
        <v>7.4735680751173703</v>
      </c>
      <c r="R1020" s="22">
        <f t="shared" si="94"/>
        <v>1.1247997637998099</v>
      </c>
      <c r="S1020" s="22">
        <f t="shared" si="95"/>
        <v>2.1247997637998099</v>
      </c>
    </row>
    <row r="1021" spans="1:19">
      <c r="A1021" s="18" t="s">
        <v>1060</v>
      </c>
      <c r="B1021" s="18" t="s">
        <v>34</v>
      </c>
      <c r="C1021" s="18" t="s">
        <v>21</v>
      </c>
      <c r="D1021" s="19">
        <v>44857</v>
      </c>
      <c r="E1021" s="20">
        <v>45483</v>
      </c>
      <c r="F1021" s="21">
        <v>2163.1999999999998</v>
      </c>
      <c r="G1021" s="21">
        <v>619.20000000000005</v>
      </c>
      <c r="H1021" s="21">
        <v>284.8</v>
      </c>
      <c r="I1021" s="18">
        <v>1669.856</v>
      </c>
      <c r="J1021" s="18">
        <v>6674.6239999999998</v>
      </c>
      <c r="K1021" s="18" t="s">
        <v>65</v>
      </c>
      <c r="L1021" s="18" t="s">
        <v>23</v>
      </c>
      <c r="M1021" s="18" t="s">
        <v>32</v>
      </c>
      <c r="N1021" s="22">
        <f t="shared" si="90"/>
        <v>0.28624260355029602</v>
      </c>
      <c r="O1021" s="22">
        <f t="shared" si="91"/>
        <v>0.45994832041343697</v>
      </c>
      <c r="P1021" s="23">
        <f t="shared" si="92"/>
        <v>2.6967958656330699</v>
      </c>
      <c r="Q1021" s="23">
        <f t="shared" si="93"/>
        <v>5.86325842696629</v>
      </c>
      <c r="R1021" s="22">
        <f t="shared" si="94"/>
        <v>2.9971255006419701</v>
      </c>
      <c r="S1021" s="22">
        <f t="shared" si="95"/>
        <v>3.9971255006419701</v>
      </c>
    </row>
    <row r="1022" spans="1:19">
      <c r="A1022" s="18" t="s">
        <v>1061</v>
      </c>
      <c r="B1022" s="18" t="s">
        <v>26</v>
      </c>
      <c r="C1022" s="18" t="s">
        <v>29</v>
      </c>
      <c r="D1022" s="19">
        <v>44917</v>
      </c>
      <c r="E1022" s="20">
        <v>45534</v>
      </c>
      <c r="F1022" s="21">
        <v>16355.2</v>
      </c>
      <c r="G1022" s="21">
        <v>3748.8</v>
      </c>
      <c r="H1022" s="21">
        <v>1332.8</v>
      </c>
      <c r="I1022" s="18">
        <v>6507.4080000000004</v>
      </c>
      <c r="J1022" s="18">
        <v>23523.328000000001</v>
      </c>
      <c r="K1022" s="18" t="s">
        <v>30</v>
      </c>
      <c r="L1022" s="18" t="s">
        <v>44</v>
      </c>
      <c r="M1022" s="18" t="s">
        <v>32</v>
      </c>
      <c r="N1022" s="22">
        <f t="shared" si="90"/>
        <v>0.229211504597926</v>
      </c>
      <c r="O1022" s="22">
        <f t="shared" si="91"/>
        <v>0.35552710200597498</v>
      </c>
      <c r="P1022" s="23">
        <f t="shared" si="92"/>
        <v>1.7358642765685</v>
      </c>
      <c r="Q1022" s="23">
        <f t="shared" si="93"/>
        <v>4.8825090036014398</v>
      </c>
      <c r="R1022" s="22">
        <f t="shared" si="94"/>
        <v>2.61485371748629</v>
      </c>
      <c r="S1022" s="22">
        <f t="shared" si="95"/>
        <v>3.61485371748629</v>
      </c>
    </row>
    <row r="1023" spans="1:19">
      <c r="A1023" s="18" t="s">
        <v>1062</v>
      </c>
      <c r="B1023" s="18" t="s">
        <v>47</v>
      </c>
      <c r="C1023" s="18" t="s">
        <v>21</v>
      </c>
      <c r="D1023" s="19">
        <v>44813</v>
      </c>
      <c r="E1023" s="20">
        <v>45429</v>
      </c>
      <c r="F1023" s="21">
        <v>10910.4</v>
      </c>
      <c r="G1023" s="21">
        <v>8755.2000000000007</v>
      </c>
      <c r="H1023" s="21">
        <v>1425.6</v>
      </c>
      <c r="I1023" s="18">
        <v>5247.7920000000004</v>
      </c>
      <c r="J1023" s="18">
        <v>11830.72</v>
      </c>
      <c r="K1023" s="18" t="s">
        <v>22</v>
      </c>
      <c r="L1023" s="18" t="s">
        <v>23</v>
      </c>
      <c r="M1023" s="18" t="s">
        <v>32</v>
      </c>
      <c r="N1023" s="22">
        <f t="shared" si="90"/>
        <v>0.80246370435547698</v>
      </c>
      <c r="O1023" s="22">
        <f t="shared" si="91"/>
        <v>0.16282894736842099</v>
      </c>
      <c r="P1023" s="23">
        <f t="shared" si="92"/>
        <v>0.59939144736842098</v>
      </c>
      <c r="Q1023" s="23">
        <f t="shared" si="93"/>
        <v>3.6811111111111101</v>
      </c>
      <c r="R1023" s="22">
        <f t="shared" si="94"/>
        <v>1.2544186202501899</v>
      </c>
      <c r="S1023" s="22">
        <f t="shared" si="95"/>
        <v>2.2544186202501901</v>
      </c>
    </row>
    <row r="1024" spans="1:19">
      <c r="A1024" s="18" t="s">
        <v>1063</v>
      </c>
      <c r="B1024" s="18" t="s">
        <v>40</v>
      </c>
      <c r="C1024" s="18" t="s">
        <v>41</v>
      </c>
      <c r="D1024" s="19">
        <v>44811</v>
      </c>
      <c r="E1024" s="20">
        <v>45428</v>
      </c>
      <c r="F1024" s="21">
        <v>71686.399999999994</v>
      </c>
      <c r="G1024" s="21">
        <v>3321.6</v>
      </c>
      <c r="H1024" s="21">
        <v>2188.8000000000002</v>
      </c>
      <c r="I1024" s="18">
        <v>2997.1840000000002</v>
      </c>
      <c r="J1024" s="18">
        <v>4761.0720000000001</v>
      </c>
      <c r="K1024" s="18" t="s">
        <v>43</v>
      </c>
      <c r="L1024" s="18" t="s">
        <v>31</v>
      </c>
      <c r="M1024" s="18" t="s">
        <v>24</v>
      </c>
      <c r="N1024" s="22">
        <f t="shared" si="90"/>
        <v>4.6335148647442197E-2</v>
      </c>
      <c r="O1024" s="22">
        <f t="shared" si="91"/>
        <v>0.65895953757225401</v>
      </c>
      <c r="P1024" s="23">
        <f t="shared" si="92"/>
        <v>0.90233140655106003</v>
      </c>
      <c r="Q1024" s="23">
        <f t="shared" si="93"/>
        <v>1.3693274853801201</v>
      </c>
      <c r="R1024" s="22">
        <f t="shared" si="94"/>
        <v>0.588515086160876</v>
      </c>
      <c r="S1024" s="22">
        <f t="shared" si="95"/>
        <v>1.5885150861608801</v>
      </c>
    </row>
    <row r="1025" spans="1:19">
      <c r="A1025" s="18" t="s">
        <v>1064</v>
      </c>
      <c r="B1025" s="18" t="s">
        <v>20</v>
      </c>
      <c r="C1025" s="18" t="s">
        <v>29</v>
      </c>
      <c r="D1025" s="19">
        <v>44809</v>
      </c>
      <c r="E1025" s="20">
        <v>45427</v>
      </c>
      <c r="F1025" s="21">
        <v>35864</v>
      </c>
      <c r="G1025" s="21">
        <v>35796.800000000003</v>
      </c>
      <c r="H1025" s="21">
        <v>26936</v>
      </c>
      <c r="I1025" s="18">
        <v>6669.7280000000001</v>
      </c>
      <c r="J1025" s="18">
        <v>8805.52</v>
      </c>
      <c r="K1025" s="18" t="s">
        <v>38</v>
      </c>
      <c r="L1025" s="18" t="s">
        <v>50</v>
      </c>
      <c r="M1025" s="18" t="s">
        <v>24</v>
      </c>
      <c r="N1025" s="22">
        <f t="shared" si="90"/>
        <v>0.99812625474012995</v>
      </c>
      <c r="O1025" s="22">
        <f t="shared" si="91"/>
        <v>0.75246949447995304</v>
      </c>
      <c r="P1025" s="23">
        <f t="shared" si="92"/>
        <v>0.186321905868681</v>
      </c>
      <c r="Q1025" s="23">
        <f t="shared" si="93"/>
        <v>0.24761389961390001</v>
      </c>
      <c r="R1025" s="22">
        <f t="shared" si="94"/>
        <v>0.32022175417048498</v>
      </c>
      <c r="S1025" s="22">
        <f t="shared" si="95"/>
        <v>1.3202217541704899</v>
      </c>
    </row>
    <row r="1026" spans="1:19">
      <c r="A1026" s="18" t="s">
        <v>1065</v>
      </c>
      <c r="B1026" s="18" t="s">
        <v>34</v>
      </c>
      <c r="C1026" s="18" t="s">
        <v>29</v>
      </c>
      <c r="D1026" s="19">
        <v>44894</v>
      </c>
      <c r="E1026" s="20">
        <v>45523</v>
      </c>
      <c r="F1026" s="21">
        <v>23627.200000000001</v>
      </c>
      <c r="G1026" s="21">
        <v>14953.6</v>
      </c>
      <c r="H1026" s="21">
        <v>5136</v>
      </c>
      <c r="I1026" s="18">
        <v>2625.68</v>
      </c>
      <c r="J1026" s="18">
        <v>3321.232</v>
      </c>
      <c r="K1026" s="18" t="s">
        <v>65</v>
      </c>
      <c r="L1026" s="18" t="s">
        <v>31</v>
      </c>
      <c r="M1026" s="18" t="s">
        <v>32</v>
      </c>
      <c r="N1026" s="22">
        <f t="shared" ref="N1026:N1089" si="96">G1026/F1026</f>
        <v>0.63289767725333501</v>
      </c>
      <c r="O1026" s="22">
        <f t="shared" ref="O1026:O1089" si="97">H1026/G1026</f>
        <v>0.34346244382623597</v>
      </c>
      <c r="P1026" s="23">
        <f t="shared" ref="P1026:P1089" si="98">I1026/G1026</f>
        <v>0.175588487053285</v>
      </c>
      <c r="Q1026" s="23">
        <f t="shared" ref="Q1026:Q1089" si="99">I1026/H1026</f>
        <v>0.51123052959501603</v>
      </c>
      <c r="R1026" s="22">
        <f t="shared" ref="R1026:R1089" si="100">(J1026-I1026)/I1026</f>
        <v>0.264903567837665</v>
      </c>
      <c r="S1026" s="22">
        <f t="shared" ref="S1026:S1089" si="101">J1026/I1026</f>
        <v>1.2649035678376599</v>
      </c>
    </row>
    <row r="1027" spans="1:19">
      <c r="A1027" s="18" t="s">
        <v>1066</v>
      </c>
      <c r="B1027" s="18" t="s">
        <v>40</v>
      </c>
      <c r="C1027" s="18" t="s">
        <v>21</v>
      </c>
      <c r="D1027" s="19">
        <v>44947</v>
      </c>
      <c r="E1027" s="20">
        <v>45567</v>
      </c>
      <c r="F1027" s="21">
        <v>48430.400000000001</v>
      </c>
      <c r="G1027" s="21">
        <v>33712</v>
      </c>
      <c r="H1027" s="21">
        <v>5516.8</v>
      </c>
      <c r="I1027" s="18">
        <v>4611.6639999999998</v>
      </c>
      <c r="J1027" s="18">
        <v>16278.768</v>
      </c>
      <c r="K1027" s="18" t="s">
        <v>22</v>
      </c>
      <c r="L1027" s="18" t="s">
        <v>23</v>
      </c>
      <c r="M1027" s="18" t="s">
        <v>32</v>
      </c>
      <c r="N1027" s="22">
        <f t="shared" si="96"/>
        <v>0.69609171099144296</v>
      </c>
      <c r="O1027" s="22">
        <f t="shared" si="97"/>
        <v>0.163644992880873</v>
      </c>
      <c r="P1027" s="23">
        <f t="shared" si="98"/>
        <v>0.136795918367347</v>
      </c>
      <c r="Q1027" s="23">
        <f t="shared" si="99"/>
        <v>0.83593097447795806</v>
      </c>
      <c r="R1027" s="22">
        <f t="shared" si="100"/>
        <v>2.52991197971058</v>
      </c>
      <c r="S1027" s="22">
        <f t="shared" si="101"/>
        <v>3.52991197971058</v>
      </c>
    </row>
    <row r="1028" spans="1:19">
      <c r="A1028" s="18" t="s">
        <v>1067</v>
      </c>
      <c r="B1028" s="18" t="s">
        <v>26</v>
      </c>
      <c r="C1028" s="18" t="s">
        <v>29</v>
      </c>
      <c r="D1028" s="19">
        <v>44971</v>
      </c>
      <c r="E1028" s="20">
        <v>45582</v>
      </c>
      <c r="F1028" s="21">
        <v>76963.199999999997</v>
      </c>
      <c r="G1028" s="21">
        <v>64147.199999999997</v>
      </c>
      <c r="H1028" s="21">
        <v>21828.799999999999</v>
      </c>
      <c r="I1028" s="18">
        <v>5695.28</v>
      </c>
      <c r="J1028" s="18">
        <v>12624.736000000001</v>
      </c>
      <c r="K1028" s="18" t="s">
        <v>65</v>
      </c>
      <c r="L1028" s="18" t="s">
        <v>35</v>
      </c>
      <c r="M1028" s="18" t="s">
        <v>24</v>
      </c>
      <c r="N1028" s="22">
        <f t="shared" si="96"/>
        <v>0.83347885742796601</v>
      </c>
      <c r="O1028" s="22">
        <f t="shared" si="97"/>
        <v>0.34029232764641298</v>
      </c>
      <c r="P1028" s="23">
        <f t="shared" si="98"/>
        <v>8.8784545545245896E-2</v>
      </c>
      <c r="Q1028" s="23">
        <f t="shared" si="99"/>
        <v>0.26090669207652301</v>
      </c>
      <c r="R1028" s="22">
        <f t="shared" si="100"/>
        <v>1.2167015493531499</v>
      </c>
      <c r="S1028" s="22">
        <f t="shared" si="101"/>
        <v>2.2167015493531501</v>
      </c>
    </row>
    <row r="1029" spans="1:19">
      <c r="A1029" s="18" t="s">
        <v>1068</v>
      </c>
      <c r="B1029" s="18" t="s">
        <v>28</v>
      </c>
      <c r="C1029" s="18" t="s">
        <v>21</v>
      </c>
      <c r="D1029" s="19">
        <v>44777</v>
      </c>
      <c r="E1029" s="20">
        <v>45379</v>
      </c>
      <c r="F1029" s="21">
        <v>53105.599999999999</v>
      </c>
      <c r="G1029" s="21">
        <v>42360</v>
      </c>
      <c r="H1029" s="21">
        <v>38012.800000000003</v>
      </c>
      <c r="I1029" s="18">
        <v>5501.84</v>
      </c>
      <c r="J1029" s="18">
        <v>17608.544000000002</v>
      </c>
      <c r="K1029" s="18" t="s">
        <v>30</v>
      </c>
      <c r="L1029" s="18" t="s">
        <v>31</v>
      </c>
      <c r="M1029" s="18" t="s">
        <v>32</v>
      </c>
      <c r="N1029" s="22">
        <f t="shared" si="96"/>
        <v>0.79765599108191998</v>
      </c>
      <c r="O1029" s="22">
        <f t="shared" si="97"/>
        <v>0.89737488196411697</v>
      </c>
      <c r="P1029" s="23">
        <f t="shared" si="98"/>
        <v>0.12988290840415501</v>
      </c>
      <c r="Q1029" s="23">
        <f t="shared" si="99"/>
        <v>0.144736509807223</v>
      </c>
      <c r="R1029" s="22">
        <f t="shared" si="100"/>
        <v>2.2004827475898998</v>
      </c>
      <c r="S1029" s="22">
        <f t="shared" si="101"/>
        <v>3.2004827475898998</v>
      </c>
    </row>
    <row r="1030" spans="1:19">
      <c r="A1030" s="18" t="s">
        <v>1069</v>
      </c>
      <c r="B1030" s="18" t="s">
        <v>34</v>
      </c>
      <c r="C1030" s="18" t="s">
        <v>41</v>
      </c>
      <c r="D1030" s="19">
        <v>44953</v>
      </c>
      <c r="E1030" s="20">
        <v>45569</v>
      </c>
      <c r="F1030" s="21">
        <v>31614.400000000001</v>
      </c>
      <c r="G1030" s="21">
        <v>18313.599999999999</v>
      </c>
      <c r="H1030" s="21">
        <v>10409.6</v>
      </c>
      <c r="I1030" s="18">
        <v>630.20799999999997</v>
      </c>
      <c r="J1030" s="18">
        <v>2143.4879999999998</v>
      </c>
      <c r="K1030" s="18" t="s">
        <v>22</v>
      </c>
      <c r="L1030" s="18" t="s">
        <v>35</v>
      </c>
      <c r="M1030" s="18" t="s">
        <v>24</v>
      </c>
      <c r="N1030" s="22">
        <f t="shared" si="96"/>
        <v>0.57928032795181905</v>
      </c>
      <c r="O1030" s="22">
        <f t="shared" si="97"/>
        <v>0.56840817752926798</v>
      </c>
      <c r="P1030" s="23">
        <f t="shared" si="98"/>
        <v>3.44120216669579E-2</v>
      </c>
      <c r="Q1030" s="23">
        <f t="shared" si="99"/>
        <v>6.05410390408853E-2</v>
      </c>
      <c r="R1030" s="22">
        <f t="shared" si="100"/>
        <v>2.4012389560272198</v>
      </c>
      <c r="S1030" s="22">
        <f t="shared" si="101"/>
        <v>3.4012389560272198</v>
      </c>
    </row>
    <row r="1031" spans="1:19">
      <c r="A1031" s="18" t="s">
        <v>1070</v>
      </c>
      <c r="B1031" s="18" t="s">
        <v>20</v>
      </c>
      <c r="C1031" s="18" t="s">
        <v>21</v>
      </c>
      <c r="D1031" s="19">
        <v>44892</v>
      </c>
      <c r="E1031" s="20">
        <v>45507</v>
      </c>
      <c r="F1031" s="21">
        <v>42400</v>
      </c>
      <c r="G1031" s="21">
        <v>18737.599999999999</v>
      </c>
      <c r="H1031" s="21">
        <v>16139.2</v>
      </c>
      <c r="I1031" s="18">
        <v>1836.8</v>
      </c>
      <c r="J1031" s="18">
        <v>2712.8</v>
      </c>
      <c r="K1031" s="18" t="s">
        <v>65</v>
      </c>
      <c r="L1031" s="18" t="s">
        <v>31</v>
      </c>
      <c r="M1031" s="18" t="s">
        <v>24</v>
      </c>
      <c r="N1031" s="22">
        <f t="shared" si="96"/>
        <v>0.441924528301887</v>
      </c>
      <c r="O1031" s="22">
        <f t="shared" si="97"/>
        <v>0.86132695756126698</v>
      </c>
      <c r="P1031" s="23">
        <f t="shared" si="98"/>
        <v>9.8027495517035296E-2</v>
      </c>
      <c r="Q1031" s="23">
        <f t="shared" si="99"/>
        <v>0.11380985426787001</v>
      </c>
      <c r="R1031" s="22">
        <f t="shared" si="100"/>
        <v>0.47691637630661998</v>
      </c>
      <c r="S1031" s="22">
        <f t="shared" si="101"/>
        <v>1.47691637630662</v>
      </c>
    </row>
    <row r="1032" spans="1:19">
      <c r="A1032" s="18" t="s">
        <v>1071</v>
      </c>
      <c r="B1032" s="18" t="s">
        <v>20</v>
      </c>
      <c r="C1032" s="18" t="s">
        <v>48</v>
      </c>
      <c r="D1032" s="19">
        <v>44761</v>
      </c>
      <c r="E1032" s="20">
        <v>45365</v>
      </c>
      <c r="F1032" s="21">
        <v>43772.800000000003</v>
      </c>
      <c r="G1032" s="21">
        <v>29051.200000000001</v>
      </c>
      <c r="H1032" s="21">
        <v>1364.8</v>
      </c>
      <c r="I1032" s="18">
        <v>1744.32</v>
      </c>
      <c r="J1032" s="18">
        <v>5052.2560000000003</v>
      </c>
      <c r="K1032" s="18" t="s">
        <v>30</v>
      </c>
      <c r="L1032" s="18" t="s">
        <v>35</v>
      </c>
      <c r="M1032" s="18" t="s">
        <v>24</v>
      </c>
      <c r="N1032" s="22">
        <f t="shared" si="96"/>
        <v>0.663681555669274</v>
      </c>
      <c r="O1032" s="22">
        <f t="shared" si="97"/>
        <v>4.6979126507683003E-2</v>
      </c>
      <c r="P1032" s="23">
        <f t="shared" si="98"/>
        <v>6.0042958638541602E-2</v>
      </c>
      <c r="Q1032" s="23">
        <f t="shared" si="99"/>
        <v>1.27807737397421</v>
      </c>
      <c r="R1032" s="22">
        <f t="shared" si="100"/>
        <v>1.8964043294808299</v>
      </c>
      <c r="S1032" s="22">
        <f t="shared" si="101"/>
        <v>2.8964043294808302</v>
      </c>
    </row>
    <row r="1033" spans="1:19">
      <c r="A1033" s="18" t="s">
        <v>1072</v>
      </c>
      <c r="B1033" s="18" t="s">
        <v>34</v>
      </c>
      <c r="C1033" s="18" t="s">
        <v>29</v>
      </c>
      <c r="D1033" s="19">
        <v>44806</v>
      </c>
      <c r="E1033" s="20">
        <v>45430</v>
      </c>
      <c r="F1033" s="21">
        <v>70460.800000000003</v>
      </c>
      <c r="G1033" s="21">
        <v>25934.400000000001</v>
      </c>
      <c r="H1033" s="21">
        <v>21633.599999999999</v>
      </c>
      <c r="I1033" s="18">
        <v>1474.624</v>
      </c>
      <c r="J1033" s="18">
        <v>5615.6959999999999</v>
      </c>
      <c r="K1033" s="18" t="s">
        <v>65</v>
      </c>
      <c r="L1033" s="18" t="s">
        <v>44</v>
      </c>
      <c r="M1033" s="18" t="s">
        <v>32</v>
      </c>
      <c r="N1033" s="22">
        <f t="shared" si="96"/>
        <v>0.36806848630728001</v>
      </c>
      <c r="O1033" s="22">
        <f t="shared" si="97"/>
        <v>0.83416620396076202</v>
      </c>
      <c r="P1033" s="23">
        <f t="shared" si="98"/>
        <v>5.6859769263989099E-2</v>
      </c>
      <c r="Q1033" s="23">
        <f t="shared" si="99"/>
        <v>6.8163597367058695E-2</v>
      </c>
      <c r="R1033" s="22">
        <f t="shared" si="100"/>
        <v>2.80822229937937</v>
      </c>
      <c r="S1033" s="22">
        <f t="shared" si="101"/>
        <v>3.80822229937937</v>
      </c>
    </row>
    <row r="1034" spans="1:19">
      <c r="A1034" s="18" t="s">
        <v>1073</v>
      </c>
      <c r="B1034" s="18" t="s">
        <v>28</v>
      </c>
      <c r="C1034" s="18" t="s">
        <v>41</v>
      </c>
      <c r="D1034" s="19">
        <v>44861</v>
      </c>
      <c r="E1034" s="20">
        <v>45469</v>
      </c>
      <c r="F1034" s="21">
        <v>28619.200000000001</v>
      </c>
      <c r="G1034" s="21">
        <v>21419.200000000001</v>
      </c>
      <c r="H1034" s="21">
        <v>7937.6</v>
      </c>
      <c r="I1034" s="18">
        <v>1046.096</v>
      </c>
      <c r="J1034" s="18">
        <v>2276.2399999999998</v>
      </c>
      <c r="K1034" s="18" t="s">
        <v>43</v>
      </c>
      <c r="L1034" s="18" t="s">
        <v>50</v>
      </c>
      <c r="M1034" s="18" t="s">
        <v>32</v>
      </c>
      <c r="N1034" s="22">
        <f t="shared" si="96"/>
        <v>0.74842064068876801</v>
      </c>
      <c r="O1034" s="22">
        <f t="shared" si="97"/>
        <v>0.37058340180772398</v>
      </c>
      <c r="P1034" s="23">
        <f t="shared" si="98"/>
        <v>4.8839172331366199E-2</v>
      </c>
      <c r="Q1034" s="23">
        <f t="shared" si="99"/>
        <v>0.13178996170127</v>
      </c>
      <c r="R1034" s="22">
        <f t="shared" si="100"/>
        <v>1.1759379636285801</v>
      </c>
      <c r="S1034" s="22">
        <f t="shared" si="101"/>
        <v>2.1759379636285798</v>
      </c>
    </row>
    <row r="1035" spans="1:19">
      <c r="A1035" s="18" t="s">
        <v>1074</v>
      </c>
      <c r="B1035" s="18" t="s">
        <v>28</v>
      </c>
      <c r="C1035" s="18" t="s">
        <v>48</v>
      </c>
      <c r="D1035" s="19">
        <v>44924</v>
      </c>
      <c r="E1035" s="20">
        <v>45543</v>
      </c>
      <c r="F1035" s="21">
        <v>27515.200000000001</v>
      </c>
      <c r="G1035" s="21">
        <v>27086.400000000001</v>
      </c>
      <c r="H1035" s="21">
        <v>356.8</v>
      </c>
      <c r="I1035" s="18">
        <v>4890.576</v>
      </c>
      <c r="J1035" s="18">
        <v>15314.896000000001</v>
      </c>
      <c r="K1035" s="18" t="s">
        <v>30</v>
      </c>
      <c r="L1035" s="18" t="s">
        <v>23</v>
      </c>
      <c r="M1035" s="18" t="s">
        <v>24</v>
      </c>
      <c r="N1035" s="22">
        <f t="shared" si="96"/>
        <v>0.98441588649182998</v>
      </c>
      <c r="O1035" s="22">
        <f t="shared" si="97"/>
        <v>1.31726622954693E-2</v>
      </c>
      <c r="P1035" s="23">
        <f t="shared" si="98"/>
        <v>0.180554669502038</v>
      </c>
      <c r="Q1035" s="23">
        <f t="shared" si="99"/>
        <v>13.7067713004484</v>
      </c>
      <c r="R1035" s="22">
        <f t="shared" si="100"/>
        <v>2.1315117074144201</v>
      </c>
      <c r="S1035" s="22">
        <f t="shared" si="101"/>
        <v>3.1315117074144201</v>
      </c>
    </row>
    <row r="1036" spans="1:19">
      <c r="A1036" s="18" t="s">
        <v>1075</v>
      </c>
      <c r="B1036" s="18" t="s">
        <v>20</v>
      </c>
      <c r="C1036" s="18" t="s">
        <v>41</v>
      </c>
      <c r="D1036" s="19">
        <v>44692</v>
      </c>
      <c r="E1036" s="20">
        <v>45320</v>
      </c>
      <c r="F1036" s="21">
        <v>66118.399999999994</v>
      </c>
      <c r="G1036" s="21">
        <v>46544</v>
      </c>
      <c r="H1036" s="21">
        <v>35721.599999999999</v>
      </c>
      <c r="I1036" s="18">
        <v>7695.0240000000003</v>
      </c>
      <c r="J1036" s="18">
        <v>14986.352000000001</v>
      </c>
      <c r="K1036" s="18" t="s">
        <v>65</v>
      </c>
      <c r="L1036" s="18" t="s">
        <v>50</v>
      </c>
      <c r="M1036" s="18" t="s">
        <v>24</v>
      </c>
      <c r="N1036" s="22">
        <f t="shared" si="96"/>
        <v>0.70394927886942205</v>
      </c>
      <c r="O1036" s="22">
        <f t="shared" si="97"/>
        <v>0.76748023375730501</v>
      </c>
      <c r="P1036" s="23">
        <f t="shared" si="98"/>
        <v>0.16532794774836701</v>
      </c>
      <c r="Q1036" s="23">
        <f t="shared" si="99"/>
        <v>0.2154165546896</v>
      </c>
      <c r="R1036" s="22">
        <f t="shared" si="100"/>
        <v>0.94753804536542097</v>
      </c>
      <c r="S1036" s="22">
        <f t="shared" si="101"/>
        <v>1.9475380453654201</v>
      </c>
    </row>
    <row r="1037" spans="1:19">
      <c r="A1037" s="18" t="s">
        <v>1076</v>
      </c>
      <c r="B1037" s="18" t="s">
        <v>28</v>
      </c>
      <c r="C1037" s="18" t="s">
        <v>48</v>
      </c>
      <c r="D1037" s="19">
        <v>44909</v>
      </c>
      <c r="E1037" s="20">
        <v>45515</v>
      </c>
      <c r="F1037" s="21">
        <v>73212.800000000003</v>
      </c>
      <c r="G1037" s="21">
        <v>32147.200000000001</v>
      </c>
      <c r="H1037" s="21">
        <v>5452.8</v>
      </c>
      <c r="I1037" s="18">
        <v>6795.3119999999999</v>
      </c>
      <c r="J1037" s="18">
        <v>10637.023999999999</v>
      </c>
      <c r="K1037" s="18" t="s">
        <v>22</v>
      </c>
      <c r="L1037" s="18" t="s">
        <v>44</v>
      </c>
      <c r="M1037" s="18" t="s">
        <v>24</v>
      </c>
      <c r="N1037" s="22">
        <f t="shared" si="96"/>
        <v>0.43909261768433899</v>
      </c>
      <c r="O1037" s="22">
        <f t="shared" si="97"/>
        <v>0.169619749153892</v>
      </c>
      <c r="P1037" s="23">
        <f t="shared" si="98"/>
        <v>0.211381146725065</v>
      </c>
      <c r="Q1037" s="23">
        <f t="shared" si="99"/>
        <v>1.2462059859154899</v>
      </c>
      <c r="R1037" s="22">
        <f t="shared" si="100"/>
        <v>0.56534740421043195</v>
      </c>
      <c r="S1037" s="22">
        <f t="shared" si="101"/>
        <v>1.5653474042104301</v>
      </c>
    </row>
    <row r="1038" spans="1:19">
      <c r="A1038" s="18" t="s">
        <v>1077</v>
      </c>
      <c r="B1038" s="18" t="s">
        <v>40</v>
      </c>
      <c r="C1038" s="18" t="s">
        <v>29</v>
      </c>
      <c r="D1038" s="19">
        <v>44737</v>
      </c>
      <c r="E1038" s="20">
        <v>45348</v>
      </c>
      <c r="F1038" s="21">
        <v>54872</v>
      </c>
      <c r="G1038" s="21">
        <v>14075.2</v>
      </c>
      <c r="H1038" s="21">
        <v>1092.8</v>
      </c>
      <c r="I1038" s="18">
        <v>6094.0479999999998</v>
      </c>
      <c r="J1038" s="18">
        <v>16701.52</v>
      </c>
      <c r="K1038" s="18" t="s">
        <v>65</v>
      </c>
      <c r="L1038" s="18" t="s">
        <v>31</v>
      </c>
      <c r="M1038" s="18" t="s">
        <v>32</v>
      </c>
      <c r="N1038" s="22">
        <f t="shared" si="96"/>
        <v>0.25650969529085899</v>
      </c>
      <c r="O1038" s="22">
        <f t="shared" si="97"/>
        <v>7.7640104581107205E-2</v>
      </c>
      <c r="P1038" s="23">
        <f t="shared" si="98"/>
        <v>0.432963510287598</v>
      </c>
      <c r="Q1038" s="23">
        <f t="shared" si="99"/>
        <v>5.5765446559297196</v>
      </c>
      <c r="R1038" s="22">
        <f t="shared" si="100"/>
        <v>1.7406282326624301</v>
      </c>
      <c r="S1038" s="22">
        <f t="shared" si="101"/>
        <v>2.7406282326624298</v>
      </c>
    </row>
    <row r="1039" spans="1:19">
      <c r="A1039" s="18" t="s">
        <v>1078</v>
      </c>
      <c r="B1039" s="18" t="s">
        <v>40</v>
      </c>
      <c r="C1039" s="18" t="s">
        <v>21</v>
      </c>
      <c r="D1039" s="19">
        <v>44790</v>
      </c>
      <c r="E1039" s="20">
        <v>45406</v>
      </c>
      <c r="F1039" s="21">
        <v>40881.599999999999</v>
      </c>
      <c r="G1039" s="21">
        <v>4609.6000000000004</v>
      </c>
      <c r="H1039" s="21">
        <v>3284.8</v>
      </c>
      <c r="I1039" s="18">
        <v>4409.3119999999999</v>
      </c>
      <c r="J1039" s="18">
        <v>12939.328</v>
      </c>
      <c r="K1039" s="18" t="s">
        <v>65</v>
      </c>
      <c r="L1039" s="18" t="s">
        <v>31</v>
      </c>
      <c r="M1039" s="18" t="s">
        <v>32</v>
      </c>
      <c r="N1039" s="22">
        <f t="shared" si="96"/>
        <v>0.11275488239207899</v>
      </c>
      <c r="O1039" s="22">
        <f t="shared" si="97"/>
        <v>0.71259979173897903</v>
      </c>
      <c r="P1039" s="23">
        <f t="shared" si="98"/>
        <v>0.95654980909406495</v>
      </c>
      <c r="Q1039" s="23">
        <f t="shared" si="99"/>
        <v>1.34233804188992</v>
      </c>
      <c r="R1039" s="22">
        <f t="shared" si="100"/>
        <v>1.9345457976210301</v>
      </c>
      <c r="S1039" s="22">
        <f t="shared" si="101"/>
        <v>2.9345457976210301</v>
      </c>
    </row>
    <row r="1040" spans="1:19">
      <c r="A1040" s="18" t="s">
        <v>1079</v>
      </c>
      <c r="B1040" s="18" t="s">
        <v>26</v>
      </c>
      <c r="C1040" s="18" t="s">
        <v>21</v>
      </c>
      <c r="D1040" s="19">
        <v>44840</v>
      </c>
      <c r="E1040" s="20">
        <v>45442</v>
      </c>
      <c r="F1040" s="21">
        <v>29440</v>
      </c>
      <c r="G1040" s="21">
        <v>18460.8</v>
      </c>
      <c r="H1040" s="21">
        <v>7224</v>
      </c>
      <c r="I1040" s="18">
        <v>1808.24</v>
      </c>
      <c r="J1040" s="18">
        <v>2714.0479999999998</v>
      </c>
      <c r="K1040" s="18" t="s">
        <v>22</v>
      </c>
      <c r="L1040" s="18" t="s">
        <v>31</v>
      </c>
      <c r="M1040" s="18" t="s">
        <v>24</v>
      </c>
      <c r="N1040" s="22">
        <f t="shared" si="96"/>
        <v>0.62706521739130405</v>
      </c>
      <c r="O1040" s="22">
        <f t="shared" si="97"/>
        <v>0.39131565262610501</v>
      </c>
      <c r="P1040" s="23">
        <f t="shared" si="98"/>
        <v>9.7950251343387099E-2</v>
      </c>
      <c r="Q1040" s="23">
        <f t="shared" si="99"/>
        <v>0.25031007751938</v>
      </c>
      <c r="R1040" s="22">
        <f t="shared" si="100"/>
        <v>0.50093350440206996</v>
      </c>
      <c r="S1040" s="22">
        <f t="shared" si="101"/>
        <v>1.50093350440207</v>
      </c>
    </row>
    <row r="1041" spans="1:19">
      <c r="A1041" s="18" t="s">
        <v>1080</v>
      </c>
      <c r="B1041" s="18" t="s">
        <v>40</v>
      </c>
      <c r="C1041" s="18" t="s">
        <v>41</v>
      </c>
      <c r="D1041" s="19">
        <v>44923</v>
      </c>
      <c r="E1041" s="20">
        <v>45552</v>
      </c>
      <c r="F1041" s="21">
        <v>19190.400000000001</v>
      </c>
      <c r="G1041" s="21">
        <v>14910.4</v>
      </c>
      <c r="H1041" s="21">
        <v>10158.4</v>
      </c>
      <c r="I1041" s="18">
        <v>3619.4720000000002</v>
      </c>
      <c r="J1041" s="18">
        <v>12565.552</v>
      </c>
      <c r="K1041" s="18" t="s">
        <v>43</v>
      </c>
      <c r="L1041" s="18" t="s">
        <v>31</v>
      </c>
      <c r="M1041" s="18" t="s">
        <v>24</v>
      </c>
      <c r="N1041" s="22">
        <f t="shared" si="96"/>
        <v>0.776971819242955</v>
      </c>
      <c r="O1041" s="22">
        <f t="shared" si="97"/>
        <v>0.68129627642450896</v>
      </c>
      <c r="P1041" s="23">
        <f t="shared" si="98"/>
        <v>0.24274814894301999</v>
      </c>
      <c r="Q1041" s="23">
        <f t="shared" si="99"/>
        <v>0.35630335485903297</v>
      </c>
      <c r="R1041" s="22">
        <f t="shared" si="100"/>
        <v>2.4716533240207399</v>
      </c>
      <c r="S1041" s="22">
        <f t="shared" si="101"/>
        <v>3.4716533240207399</v>
      </c>
    </row>
    <row r="1042" spans="1:19">
      <c r="A1042" s="18" t="s">
        <v>1081</v>
      </c>
      <c r="B1042" s="18" t="s">
        <v>28</v>
      </c>
      <c r="C1042" s="18" t="s">
        <v>41</v>
      </c>
      <c r="D1042" s="19">
        <v>44860</v>
      </c>
      <c r="E1042" s="20">
        <v>45481</v>
      </c>
      <c r="F1042" s="21">
        <v>72441.600000000006</v>
      </c>
      <c r="G1042" s="21">
        <v>36862.400000000001</v>
      </c>
      <c r="H1042" s="21">
        <v>15816</v>
      </c>
      <c r="I1042" s="18">
        <v>1569.3119999999999</v>
      </c>
      <c r="J1042" s="18">
        <v>5346.08</v>
      </c>
      <c r="K1042" s="18" t="s">
        <v>38</v>
      </c>
      <c r="L1042" s="18" t="s">
        <v>35</v>
      </c>
      <c r="M1042" s="18" t="s">
        <v>24</v>
      </c>
      <c r="N1042" s="22">
        <f t="shared" si="96"/>
        <v>0.50885678946903401</v>
      </c>
      <c r="O1042" s="22">
        <f t="shared" si="97"/>
        <v>0.429055080515647</v>
      </c>
      <c r="P1042" s="23">
        <f t="shared" si="98"/>
        <v>4.2572160250010899E-2</v>
      </c>
      <c r="Q1042" s="23">
        <f t="shared" si="99"/>
        <v>9.9223065250379397E-2</v>
      </c>
      <c r="R1042" s="22">
        <f t="shared" si="100"/>
        <v>2.4066393425908901</v>
      </c>
      <c r="S1042" s="22">
        <f t="shared" si="101"/>
        <v>3.4066393425908901</v>
      </c>
    </row>
    <row r="1043" spans="1:19">
      <c r="A1043" s="18" t="s">
        <v>1082</v>
      </c>
      <c r="B1043" s="18" t="s">
        <v>40</v>
      </c>
      <c r="C1043" s="18" t="s">
        <v>21</v>
      </c>
      <c r="D1043" s="19">
        <v>44841</v>
      </c>
      <c r="E1043" s="20">
        <v>45447</v>
      </c>
      <c r="F1043" s="21">
        <v>68022.399999999994</v>
      </c>
      <c r="G1043" s="21">
        <v>12633.6</v>
      </c>
      <c r="H1043" s="21">
        <v>4168</v>
      </c>
      <c r="I1043" s="18">
        <v>1677.9680000000001</v>
      </c>
      <c r="J1043" s="18">
        <v>3927.712</v>
      </c>
      <c r="K1043" s="18" t="s">
        <v>65</v>
      </c>
      <c r="L1043" s="18" t="s">
        <v>35</v>
      </c>
      <c r="M1043" s="18" t="s">
        <v>24</v>
      </c>
      <c r="N1043" s="22">
        <f t="shared" si="96"/>
        <v>0.18572705461730299</v>
      </c>
      <c r="O1043" s="22">
        <f t="shared" si="97"/>
        <v>0.329913880445795</v>
      </c>
      <c r="P1043" s="23">
        <f t="shared" si="98"/>
        <v>0.13281788247213799</v>
      </c>
      <c r="Q1043" s="23">
        <f t="shared" si="99"/>
        <v>0.40258349328214998</v>
      </c>
      <c r="R1043" s="22">
        <f t="shared" si="100"/>
        <v>1.34075500843878</v>
      </c>
      <c r="S1043" s="22">
        <f t="shared" si="101"/>
        <v>2.34075500843878</v>
      </c>
    </row>
    <row r="1044" spans="1:19">
      <c r="A1044" s="18" t="s">
        <v>1083</v>
      </c>
      <c r="B1044" s="18" t="s">
        <v>26</v>
      </c>
      <c r="C1044" s="18" t="s">
        <v>41</v>
      </c>
      <c r="D1044" s="19">
        <v>44875</v>
      </c>
      <c r="E1044" s="20">
        <v>45490</v>
      </c>
      <c r="F1044" s="21">
        <v>33374.400000000001</v>
      </c>
      <c r="G1044" s="21">
        <v>23208</v>
      </c>
      <c r="H1044" s="21">
        <v>8262.4</v>
      </c>
      <c r="I1044" s="18">
        <v>3326.384</v>
      </c>
      <c r="J1044" s="18">
        <v>8537.2479999999996</v>
      </c>
      <c r="K1044" s="18" t="s">
        <v>22</v>
      </c>
      <c r="L1044" s="18" t="s">
        <v>50</v>
      </c>
      <c r="M1044" s="18" t="s">
        <v>24</v>
      </c>
      <c r="N1044" s="22">
        <f t="shared" si="96"/>
        <v>0.69538328778944303</v>
      </c>
      <c r="O1044" s="22">
        <f t="shared" si="97"/>
        <v>0.35601516718373</v>
      </c>
      <c r="P1044" s="23">
        <f t="shared" si="98"/>
        <v>0.14332919682868001</v>
      </c>
      <c r="Q1044" s="23">
        <f t="shared" si="99"/>
        <v>0.40259295120062</v>
      </c>
      <c r="R1044" s="22">
        <f t="shared" si="100"/>
        <v>1.56652509151078</v>
      </c>
      <c r="S1044" s="22">
        <f t="shared" si="101"/>
        <v>2.5665250915107798</v>
      </c>
    </row>
    <row r="1045" spans="1:19">
      <c r="A1045" s="18" t="s">
        <v>1084</v>
      </c>
      <c r="B1045" s="18" t="s">
        <v>47</v>
      </c>
      <c r="C1045" s="18" t="s">
        <v>41</v>
      </c>
      <c r="D1045" s="19">
        <v>44878</v>
      </c>
      <c r="E1045" s="20">
        <v>45486</v>
      </c>
      <c r="F1045" s="21">
        <v>26587.200000000001</v>
      </c>
      <c r="G1045" s="21">
        <v>21438.400000000001</v>
      </c>
      <c r="H1045" s="21">
        <v>3478.4</v>
      </c>
      <c r="I1045" s="18">
        <v>2883.2640000000001</v>
      </c>
      <c r="J1045" s="18">
        <v>3976.4319999999998</v>
      </c>
      <c r="K1045" s="18" t="s">
        <v>22</v>
      </c>
      <c r="L1045" s="18" t="s">
        <v>44</v>
      </c>
      <c r="M1045" s="18" t="s">
        <v>32</v>
      </c>
      <c r="N1045" s="22">
        <f t="shared" si="96"/>
        <v>0.80634290184750601</v>
      </c>
      <c r="O1045" s="22">
        <f t="shared" si="97"/>
        <v>0.16225091424733201</v>
      </c>
      <c r="P1045" s="23">
        <f t="shared" si="98"/>
        <v>0.13449063362937499</v>
      </c>
      <c r="Q1045" s="23">
        <f t="shared" si="99"/>
        <v>0.82890524379024799</v>
      </c>
      <c r="R1045" s="22">
        <f t="shared" si="100"/>
        <v>0.37914252735788301</v>
      </c>
      <c r="S1045" s="22">
        <f t="shared" si="101"/>
        <v>1.3791425273578799</v>
      </c>
    </row>
    <row r="1046" spans="1:19">
      <c r="A1046" s="18" t="s">
        <v>1085</v>
      </c>
      <c r="B1046" s="18" t="s">
        <v>20</v>
      </c>
      <c r="C1046" s="18" t="s">
        <v>21</v>
      </c>
      <c r="D1046" s="19">
        <v>44871</v>
      </c>
      <c r="E1046" s="20">
        <v>45494</v>
      </c>
      <c r="F1046" s="21">
        <v>72876.800000000003</v>
      </c>
      <c r="G1046" s="21">
        <v>53488</v>
      </c>
      <c r="H1046" s="21">
        <v>39390.400000000001</v>
      </c>
      <c r="I1046" s="18">
        <v>6600.88</v>
      </c>
      <c r="J1046" s="18">
        <v>14403.248</v>
      </c>
      <c r="K1046" s="18" t="s">
        <v>22</v>
      </c>
      <c r="L1046" s="18" t="s">
        <v>35</v>
      </c>
      <c r="M1046" s="18" t="s">
        <v>24</v>
      </c>
      <c r="N1046" s="22">
        <f t="shared" si="96"/>
        <v>0.73395099675068098</v>
      </c>
      <c r="O1046" s="22">
        <f t="shared" si="97"/>
        <v>0.73643434041280298</v>
      </c>
      <c r="P1046" s="23">
        <f t="shared" si="98"/>
        <v>0.12340861501645201</v>
      </c>
      <c r="Q1046" s="23">
        <f t="shared" si="99"/>
        <v>0.167575856046143</v>
      </c>
      <c r="R1046" s="22">
        <f t="shared" si="100"/>
        <v>1.1820193671146899</v>
      </c>
      <c r="S1046" s="22">
        <f t="shared" si="101"/>
        <v>2.1820193671146901</v>
      </c>
    </row>
    <row r="1047" spans="1:19">
      <c r="A1047" s="18" t="s">
        <v>1086</v>
      </c>
      <c r="B1047" s="18" t="s">
        <v>40</v>
      </c>
      <c r="C1047" s="18" t="s">
        <v>41</v>
      </c>
      <c r="D1047" s="19">
        <v>44719</v>
      </c>
      <c r="E1047" s="20">
        <v>45320</v>
      </c>
      <c r="F1047" s="21">
        <v>7006.4</v>
      </c>
      <c r="G1047" s="21">
        <v>3158.4</v>
      </c>
      <c r="H1047" s="21">
        <v>2534.4</v>
      </c>
      <c r="I1047" s="18">
        <v>4399.6000000000004</v>
      </c>
      <c r="J1047" s="18">
        <v>8514.2240000000002</v>
      </c>
      <c r="K1047" s="18" t="s">
        <v>22</v>
      </c>
      <c r="L1047" s="18" t="s">
        <v>23</v>
      </c>
      <c r="M1047" s="18" t="s">
        <v>24</v>
      </c>
      <c r="N1047" s="22">
        <f t="shared" si="96"/>
        <v>0.45078785110755898</v>
      </c>
      <c r="O1047" s="22">
        <f t="shared" si="97"/>
        <v>0.80243161094224902</v>
      </c>
      <c r="P1047" s="23">
        <f t="shared" si="98"/>
        <v>1.39298378926039</v>
      </c>
      <c r="Q1047" s="23">
        <f t="shared" si="99"/>
        <v>1.73595328282828</v>
      </c>
      <c r="R1047" s="22">
        <f t="shared" si="100"/>
        <v>0.93522683880352697</v>
      </c>
      <c r="S1047" s="22">
        <f t="shared" si="101"/>
        <v>1.9352268388035301</v>
      </c>
    </row>
    <row r="1048" spans="1:19">
      <c r="A1048" s="18" t="s">
        <v>1087</v>
      </c>
      <c r="B1048" s="18" t="s">
        <v>20</v>
      </c>
      <c r="C1048" s="18" t="s">
        <v>48</v>
      </c>
      <c r="D1048" s="19">
        <v>44803</v>
      </c>
      <c r="E1048" s="20">
        <v>45427</v>
      </c>
      <c r="F1048" s="21">
        <v>76286.399999999994</v>
      </c>
      <c r="G1048" s="21">
        <v>50638.400000000001</v>
      </c>
      <c r="H1048" s="21">
        <v>39886.400000000001</v>
      </c>
      <c r="I1048" s="18">
        <v>217.04</v>
      </c>
      <c r="J1048" s="18">
        <v>764.03200000000004</v>
      </c>
      <c r="K1048" s="18" t="s">
        <v>22</v>
      </c>
      <c r="L1048" s="18" t="s">
        <v>44</v>
      </c>
      <c r="M1048" s="18" t="s">
        <v>32</v>
      </c>
      <c r="N1048" s="22">
        <f t="shared" si="96"/>
        <v>0.66379328425512296</v>
      </c>
      <c r="O1048" s="22">
        <f t="shared" si="97"/>
        <v>0.78767101646181603</v>
      </c>
      <c r="P1048" s="23">
        <f t="shared" si="98"/>
        <v>4.2860753894277898E-3</v>
      </c>
      <c r="Q1048" s="23">
        <f t="shared" si="99"/>
        <v>5.4414537285891896E-3</v>
      </c>
      <c r="R1048" s="22">
        <f t="shared" si="100"/>
        <v>2.52023590121637</v>
      </c>
      <c r="S1048" s="22">
        <f t="shared" si="101"/>
        <v>3.52023590121637</v>
      </c>
    </row>
    <row r="1049" spans="1:19">
      <c r="A1049" s="18" t="s">
        <v>1088</v>
      </c>
      <c r="B1049" s="18" t="s">
        <v>28</v>
      </c>
      <c r="C1049" s="18" t="s">
        <v>48</v>
      </c>
      <c r="D1049" s="19">
        <v>44897</v>
      </c>
      <c r="E1049" s="20">
        <v>45501</v>
      </c>
      <c r="F1049" s="21">
        <v>60579.199999999997</v>
      </c>
      <c r="G1049" s="21">
        <v>44712</v>
      </c>
      <c r="H1049" s="21">
        <v>30123.200000000001</v>
      </c>
      <c r="I1049" s="18">
        <v>6987.3919999999998</v>
      </c>
      <c r="J1049" s="18">
        <v>11356.24</v>
      </c>
      <c r="K1049" s="18" t="s">
        <v>30</v>
      </c>
      <c r="L1049" s="18" t="s">
        <v>31</v>
      </c>
      <c r="M1049" s="18" t="s">
        <v>32</v>
      </c>
      <c r="N1049" s="22">
        <f t="shared" si="96"/>
        <v>0.73807511489092004</v>
      </c>
      <c r="O1049" s="22">
        <f t="shared" si="97"/>
        <v>0.67371622830559996</v>
      </c>
      <c r="P1049" s="23">
        <f t="shared" si="98"/>
        <v>0.15627554124172499</v>
      </c>
      <c r="Q1049" s="23">
        <f t="shared" si="99"/>
        <v>0.23196048228607799</v>
      </c>
      <c r="R1049" s="22">
        <f t="shared" si="100"/>
        <v>0.62524730257011496</v>
      </c>
      <c r="S1049" s="22">
        <f t="shared" si="101"/>
        <v>1.62524730257011</v>
      </c>
    </row>
    <row r="1050" spans="1:19">
      <c r="A1050" s="18" t="s">
        <v>1089</v>
      </c>
      <c r="B1050" s="18" t="s">
        <v>40</v>
      </c>
      <c r="C1050" s="18" t="s">
        <v>29</v>
      </c>
      <c r="D1050" s="19">
        <v>44748</v>
      </c>
      <c r="E1050" s="20">
        <v>45365</v>
      </c>
      <c r="F1050" s="21">
        <v>9377.6</v>
      </c>
      <c r="G1050" s="21">
        <v>1916.8</v>
      </c>
      <c r="H1050" s="21">
        <v>432</v>
      </c>
      <c r="I1050" s="18">
        <v>6154.0159999999996</v>
      </c>
      <c r="J1050" s="18">
        <v>16907.936000000002</v>
      </c>
      <c r="K1050" s="18" t="s">
        <v>65</v>
      </c>
      <c r="L1050" s="18" t="s">
        <v>23</v>
      </c>
      <c r="M1050" s="18" t="s">
        <v>24</v>
      </c>
      <c r="N1050" s="22">
        <f t="shared" si="96"/>
        <v>0.20440197918444</v>
      </c>
      <c r="O1050" s="22">
        <f t="shared" si="97"/>
        <v>0.225375626043406</v>
      </c>
      <c r="P1050" s="23">
        <f t="shared" si="98"/>
        <v>3.21056761268781</v>
      </c>
      <c r="Q1050" s="23">
        <f t="shared" si="99"/>
        <v>14.2454074074074</v>
      </c>
      <c r="R1050" s="22">
        <f t="shared" si="100"/>
        <v>1.74746376999995</v>
      </c>
      <c r="S1050" s="22">
        <f t="shared" si="101"/>
        <v>2.7474637699999498</v>
      </c>
    </row>
    <row r="1051" spans="1:19">
      <c r="A1051" s="18" t="s">
        <v>1090</v>
      </c>
      <c r="B1051" s="18" t="s">
        <v>40</v>
      </c>
      <c r="C1051" s="18" t="s">
        <v>21</v>
      </c>
      <c r="D1051" s="19">
        <v>44974</v>
      </c>
      <c r="E1051" s="20">
        <v>45575</v>
      </c>
      <c r="F1051" s="21">
        <v>20131.2</v>
      </c>
      <c r="G1051" s="21">
        <v>18416</v>
      </c>
      <c r="H1051" s="21">
        <v>5390.4</v>
      </c>
      <c r="I1051" s="18">
        <v>1388.3679999999999</v>
      </c>
      <c r="J1051" s="18">
        <v>4514.2240000000002</v>
      </c>
      <c r="K1051" s="18" t="s">
        <v>38</v>
      </c>
      <c r="L1051" s="18" t="s">
        <v>35</v>
      </c>
      <c r="M1051" s="18" t="s">
        <v>24</v>
      </c>
      <c r="N1051" s="22">
        <f t="shared" si="96"/>
        <v>0.91479891909076505</v>
      </c>
      <c r="O1051" s="22">
        <f t="shared" si="97"/>
        <v>0.29270199826238102</v>
      </c>
      <c r="P1051" s="23">
        <f t="shared" si="98"/>
        <v>7.5389226759339706E-2</v>
      </c>
      <c r="Q1051" s="23">
        <f t="shared" si="99"/>
        <v>0.25756307509646797</v>
      </c>
      <c r="R1051" s="22">
        <f t="shared" si="100"/>
        <v>2.2514607078238602</v>
      </c>
      <c r="S1051" s="22">
        <f t="shared" si="101"/>
        <v>3.2514607078238602</v>
      </c>
    </row>
    <row r="1052" spans="1:19">
      <c r="A1052" s="18" t="s">
        <v>1091</v>
      </c>
      <c r="B1052" s="18" t="s">
        <v>26</v>
      </c>
      <c r="C1052" s="18" t="s">
        <v>41</v>
      </c>
      <c r="D1052" s="19">
        <v>44942</v>
      </c>
      <c r="E1052" s="20">
        <v>45546</v>
      </c>
      <c r="F1052" s="21">
        <v>79641.600000000006</v>
      </c>
      <c r="G1052" s="21">
        <v>49016</v>
      </c>
      <c r="H1052" s="21">
        <v>23929.599999999999</v>
      </c>
      <c r="I1052" s="18">
        <v>379.31200000000001</v>
      </c>
      <c r="J1052" s="18">
        <v>573.58399999999995</v>
      </c>
      <c r="K1052" s="18" t="s">
        <v>22</v>
      </c>
      <c r="L1052" s="18" t="s">
        <v>23</v>
      </c>
      <c r="M1052" s="18" t="s">
        <v>24</v>
      </c>
      <c r="N1052" s="22">
        <f t="shared" si="96"/>
        <v>0.61545724847315997</v>
      </c>
      <c r="O1052" s="22">
        <f t="shared" si="97"/>
        <v>0.488199771503183</v>
      </c>
      <c r="P1052" s="23">
        <f t="shared" si="98"/>
        <v>7.7385343561286101E-3</v>
      </c>
      <c r="Q1052" s="23">
        <f t="shared" si="99"/>
        <v>1.5851163412677199E-2</v>
      </c>
      <c r="R1052" s="22">
        <f t="shared" si="100"/>
        <v>0.51216940144261203</v>
      </c>
      <c r="S1052" s="22">
        <f t="shared" si="101"/>
        <v>1.5121694014426099</v>
      </c>
    </row>
    <row r="1053" spans="1:19">
      <c r="A1053" s="18" t="s">
        <v>1092</v>
      </c>
      <c r="B1053" s="18" t="s">
        <v>28</v>
      </c>
      <c r="C1053" s="18" t="s">
        <v>41</v>
      </c>
      <c r="D1053" s="19">
        <v>44947</v>
      </c>
      <c r="E1053" s="20">
        <v>45551</v>
      </c>
      <c r="F1053" s="21">
        <v>67230.399999999994</v>
      </c>
      <c r="G1053" s="21">
        <v>44344</v>
      </c>
      <c r="H1053" s="21">
        <v>17006.400000000001</v>
      </c>
      <c r="I1053" s="18">
        <v>5705.04</v>
      </c>
      <c r="J1053" s="18">
        <v>9124.4</v>
      </c>
      <c r="K1053" s="18" t="s">
        <v>38</v>
      </c>
      <c r="L1053" s="18" t="s">
        <v>35</v>
      </c>
      <c r="M1053" s="18" t="s">
        <v>32</v>
      </c>
      <c r="N1053" s="22">
        <f t="shared" si="96"/>
        <v>0.65958256978985697</v>
      </c>
      <c r="O1053" s="22">
        <f t="shared" si="97"/>
        <v>0.383510734259426</v>
      </c>
      <c r="P1053" s="23">
        <f t="shared" si="98"/>
        <v>0.128654158397979</v>
      </c>
      <c r="Q1053" s="23">
        <f t="shared" si="99"/>
        <v>0.33546429579452403</v>
      </c>
      <c r="R1053" s="22">
        <f t="shared" si="100"/>
        <v>0.59935776085706705</v>
      </c>
      <c r="S1053" s="22">
        <f t="shared" si="101"/>
        <v>1.5993577608570699</v>
      </c>
    </row>
    <row r="1054" spans="1:19">
      <c r="A1054" s="18" t="s">
        <v>1093</v>
      </c>
      <c r="B1054" s="18" t="s">
        <v>26</v>
      </c>
      <c r="C1054" s="18" t="s">
        <v>41</v>
      </c>
      <c r="D1054" s="19">
        <v>44855</v>
      </c>
      <c r="E1054" s="20">
        <v>45484</v>
      </c>
      <c r="F1054" s="21">
        <v>68542.399999999994</v>
      </c>
      <c r="G1054" s="21">
        <v>60745.599999999999</v>
      </c>
      <c r="H1054" s="21">
        <v>30692.799999999999</v>
      </c>
      <c r="I1054" s="18">
        <v>5175.1840000000002</v>
      </c>
      <c r="J1054" s="18">
        <v>20458.784</v>
      </c>
      <c r="K1054" s="18" t="s">
        <v>30</v>
      </c>
      <c r="L1054" s="18" t="s">
        <v>31</v>
      </c>
      <c r="M1054" s="18" t="s">
        <v>24</v>
      </c>
      <c r="N1054" s="22">
        <f t="shared" si="96"/>
        <v>0.88624851187002496</v>
      </c>
      <c r="O1054" s="22">
        <f t="shared" si="97"/>
        <v>0.50526787125322703</v>
      </c>
      <c r="P1054" s="23">
        <f t="shared" si="98"/>
        <v>8.5194384449244098E-2</v>
      </c>
      <c r="Q1054" s="23">
        <f t="shared" si="99"/>
        <v>0.16861231298545601</v>
      </c>
      <c r="R1054" s="22">
        <f t="shared" si="100"/>
        <v>2.9532476526438498</v>
      </c>
      <c r="S1054" s="22">
        <f t="shared" si="101"/>
        <v>3.9532476526438498</v>
      </c>
    </row>
    <row r="1055" spans="1:19">
      <c r="A1055" s="18" t="s">
        <v>1094</v>
      </c>
      <c r="B1055" s="18" t="s">
        <v>20</v>
      </c>
      <c r="C1055" s="18" t="s">
        <v>48</v>
      </c>
      <c r="D1055" s="19">
        <v>44918</v>
      </c>
      <c r="E1055" s="20">
        <v>45541</v>
      </c>
      <c r="F1055" s="21">
        <v>31054.400000000001</v>
      </c>
      <c r="G1055" s="21">
        <v>4054.4</v>
      </c>
      <c r="H1055" s="21">
        <v>3700.8</v>
      </c>
      <c r="I1055" s="18">
        <v>1055.5840000000001</v>
      </c>
      <c r="J1055" s="18">
        <v>3805.6</v>
      </c>
      <c r="K1055" s="18" t="s">
        <v>65</v>
      </c>
      <c r="L1055" s="18" t="s">
        <v>44</v>
      </c>
      <c r="M1055" s="18" t="s">
        <v>24</v>
      </c>
      <c r="N1055" s="22">
        <f t="shared" si="96"/>
        <v>0.13055798856200701</v>
      </c>
      <c r="O1055" s="22">
        <f t="shared" si="97"/>
        <v>0.91278610891870604</v>
      </c>
      <c r="P1055" s="23">
        <f t="shared" si="98"/>
        <v>0.26035516969218597</v>
      </c>
      <c r="Q1055" s="23">
        <f t="shared" si="99"/>
        <v>0.28523130134025099</v>
      </c>
      <c r="R1055" s="22">
        <f t="shared" si="100"/>
        <v>2.6052081122866602</v>
      </c>
      <c r="S1055" s="22">
        <f t="shared" si="101"/>
        <v>3.6052081122866602</v>
      </c>
    </row>
    <row r="1056" spans="1:19">
      <c r="A1056" s="18" t="s">
        <v>1095</v>
      </c>
      <c r="B1056" s="18" t="s">
        <v>26</v>
      </c>
      <c r="C1056" s="18" t="s">
        <v>29</v>
      </c>
      <c r="D1056" s="19">
        <v>44695</v>
      </c>
      <c r="E1056" s="20">
        <v>45316</v>
      </c>
      <c r="F1056" s="21">
        <v>45561.599999999999</v>
      </c>
      <c r="G1056" s="21">
        <v>16216</v>
      </c>
      <c r="H1056" s="21">
        <v>3328</v>
      </c>
      <c r="I1056" s="18">
        <v>4759.7759999999998</v>
      </c>
      <c r="J1056" s="18">
        <v>6799.3119999999999</v>
      </c>
      <c r="K1056" s="18" t="s">
        <v>38</v>
      </c>
      <c r="L1056" s="18" t="s">
        <v>31</v>
      </c>
      <c r="M1056" s="18" t="s">
        <v>24</v>
      </c>
      <c r="N1056" s="22">
        <f t="shared" si="96"/>
        <v>0.35591375193145097</v>
      </c>
      <c r="O1056" s="22">
        <f t="shared" si="97"/>
        <v>0.20522940305870699</v>
      </c>
      <c r="P1056" s="23">
        <f t="shared" si="98"/>
        <v>0.29352343364578198</v>
      </c>
      <c r="Q1056" s="23">
        <f t="shared" si="99"/>
        <v>1.43022115384615</v>
      </c>
      <c r="R1056" s="22">
        <f t="shared" si="100"/>
        <v>0.428494114008727</v>
      </c>
      <c r="S1056" s="22">
        <f t="shared" si="101"/>
        <v>1.4284941140087299</v>
      </c>
    </row>
    <row r="1057" spans="1:19">
      <c r="A1057" s="18" t="s">
        <v>1096</v>
      </c>
      <c r="B1057" s="18" t="s">
        <v>40</v>
      </c>
      <c r="C1057" s="18" t="s">
        <v>21</v>
      </c>
      <c r="D1057" s="19">
        <v>44768</v>
      </c>
      <c r="E1057" s="20">
        <v>45388</v>
      </c>
      <c r="F1057" s="21">
        <v>11081.6</v>
      </c>
      <c r="G1057" s="21">
        <v>3952</v>
      </c>
      <c r="H1057" s="21">
        <v>257.60000000000002</v>
      </c>
      <c r="I1057" s="18">
        <v>1161.3440000000001</v>
      </c>
      <c r="J1057" s="18">
        <v>3772.16</v>
      </c>
      <c r="K1057" s="18" t="s">
        <v>30</v>
      </c>
      <c r="L1057" s="18" t="s">
        <v>31</v>
      </c>
      <c r="M1057" s="18" t="s">
        <v>24</v>
      </c>
      <c r="N1057" s="22">
        <f t="shared" si="96"/>
        <v>0.35662720184810898</v>
      </c>
      <c r="O1057" s="22">
        <f t="shared" si="97"/>
        <v>6.5182186234817793E-2</v>
      </c>
      <c r="P1057" s="23">
        <f t="shared" si="98"/>
        <v>0.293862348178138</v>
      </c>
      <c r="Q1057" s="23">
        <f t="shared" si="99"/>
        <v>4.5083229813664598</v>
      </c>
      <c r="R1057" s="22">
        <f t="shared" si="100"/>
        <v>2.2480987545464601</v>
      </c>
      <c r="S1057" s="22">
        <f t="shared" si="101"/>
        <v>3.2480987545464601</v>
      </c>
    </row>
    <row r="1058" spans="1:19">
      <c r="A1058" s="18" t="s">
        <v>1097</v>
      </c>
      <c r="B1058" s="18" t="s">
        <v>20</v>
      </c>
      <c r="C1058" s="18" t="s">
        <v>48</v>
      </c>
      <c r="D1058" s="19">
        <v>44950</v>
      </c>
      <c r="E1058" s="20">
        <v>45565</v>
      </c>
      <c r="F1058" s="21">
        <v>66374.399999999994</v>
      </c>
      <c r="G1058" s="21">
        <v>29100.799999999999</v>
      </c>
      <c r="H1058" s="21">
        <v>304</v>
      </c>
      <c r="I1058" s="18">
        <v>2514.3679999999999</v>
      </c>
      <c r="J1058" s="18">
        <v>5917.68</v>
      </c>
      <c r="K1058" s="18" t="s">
        <v>30</v>
      </c>
      <c r="L1058" s="18" t="s">
        <v>35</v>
      </c>
      <c r="M1058" s="18" t="s">
        <v>24</v>
      </c>
      <c r="N1058" s="22">
        <f t="shared" si="96"/>
        <v>0.43843409507279901</v>
      </c>
      <c r="O1058" s="22">
        <f t="shared" si="97"/>
        <v>1.0446448207609401E-2</v>
      </c>
      <c r="P1058" s="23">
        <f t="shared" si="98"/>
        <v>8.6402023312073903E-2</v>
      </c>
      <c r="Q1058" s="23">
        <f t="shared" si="99"/>
        <v>8.2709473684210497</v>
      </c>
      <c r="R1058" s="22">
        <f t="shared" si="100"/>
        <v>1.3535457021406601</v>
      </c>
      <c r="S1058" s="22">
        <f t="shared" si="101"/>
        <v>2.3535457021406598</v>
      </c>
    </row>
    <row r="1059" spans="1:19">
      <c r="A1059" s="18" t="s">
        <v>1098</v>
      </c>
      <c r="B1059" s="18" t="s">
        <v>26</v>
      </c>
      <c r="C1059" s="18" t="s">
        <v>41</v>
      </c>
      <c r="D1059" s="19">
        <v>44855</v>
      </c>
      <c r="E1059" s="20">
        <v>45475</v>
      </c>
      <c r="F1059" s="21">
        <v>47729.599999999999</v>
      </c>
      <c r="G1059" s="21">
        <v>46825.599999999999</v>
      </c>
      <c r="H1059" s="21">
        <v>12374.4</v>
      </c>
      <c r="I1059" s="18">
        <v>3709.4720000000002</v>
      </c>
      <c r="J1059" s="18">
        <v>5300.32</v>
      </c>
      <c r="K1059" s="18" t="s">
        <v>22</v>
      </c>
      <c r="L1059" s="18" t="s">
        <v>35</v>
      </c>
      <c r="M1059" s="18" t="s">
        <v>24</v>
      </c>
      <c r="N1059" s="22">
        <f t="shared" si="96"/>
        <v>0.98105997117093002</v>
      </c>
      <c r="O1059" s="22">
        <f t="shared" si="97"/>
        <v>0.26426570081322998</v>
      </c>
      <c r="P1059" s="23">
        <f t="shared" si="98"/>
        <v>7.9218888812956995E-2</v>
      </c>
      <c r="Q1059" s="23">
        <f t="shared" si="99"/>
        <v>0.29976984742694601</v>
      </c>
      <c r="R1059" s="22">
        <f t="shared" si="100"/>
        <v>0.42886103467016301</v>
      </c>
      <c r="S1059" s="22">
        <f t="shared" si="101"/>
        <v>1.42886103467016</v>
      </c>
    </row>
    <row r="1060" spans="1:19">
      <c r="A1060" s="18" t="s">
        <v>1099</v>
      </c>
      <c r="B1060" s="18" t="s">
        <v>40</v>
      </c>
      <c r="C1060" s="18" t="s">
        <v>41</v>
      </c>
      <c r="D1060" s="19">
        <v>44978</v>
      </c>
      <c r="E1060" s="20">
        <v>45592</v>
      </c>
      <c r="F1060" s="21">
        <v>17152</v>
      </c>
      <c r="G1060" s="21">
        <v>13699.2</v>
      </c>
      <c r="H1060" s="21">
        <v>2664</v>
      </c>
      <c r="I1060" s="18">
        <v>2244.6559999999999</v>
      </c>
      <c r="J1060" s="18">
        <v>4644.4319999999998</v>
      </c>
      <c r="K1060" s="18" t="s">
        <v>30</v>
      </c>
      <c r="L1060" s="18" t="s">
        <v>50</v>
      </c>
      <c r="M1060" s="18" t="s">
        <v>24</v>
      </c>
      <c r="N1060" s="22">
        <f t="shared" si="96"/>
        <v>0.798694029850746</v>
      </c>
      <c r="O1060" s="22">
        <f t="shared" si="97"/>
        <v>0.19446391030133101</v>
      </c>
      <c r="P1060" s="23">
        <f t="shared" si="98"/>
        <v>0.163853071712217</v>
      </c>
      <c r="Q1060" s="23">
        <f t="shared" si="99"/>
        <v>0.84258858858858898</v>
      </c>
      <c r="R1060" s="22">
        <f t="shared" si="100"/>
        <v>1.0691063574997699</v>
      </c>
      <c r="S1060" s="22">
        <f t="shared" si="101"/>
        <v>2.0691063574997699</v>
      </c>
    </row>
    <row r="1061" spans="1:19">
      <c r="A1061" s="18" t="s">
        <v>1100</v>
      </c>
      <c r="B1061" s="18" t="s">
        <v>47</v>
      </c>
      <c r="C1061" s="18" t="s">
        <v>41</v>
      </c>
      <c r="D1061" s="19">
        <v>44917</v>
      </c>
      <c r="E1061" s="20">
        <v>45529</v>
      </c>
      <c r="F1061" s="21">
        <v>76014.399999999994</v>
      </c>
      <c r="G1061" s="21">
        <v>32417.599999999999</v>
      </c>
      <c r="H1061" s="21">
        <v>28806.400000000001</v>
      </c>
      <c r="I1061" s="18">
        <v>4115.8239999999996</v>
      </c>
      <c r="J1061" s="18">
        <v>6067.232</v>
      </c>
      <c r="K1061" s="18" t="s">
        <v>22</v>
      </c>
      <c r="L1061" s="18" t="s">
        <v>50</v>
      </c>
      <c r="M1061" s="18" t="s">
        <v>24</v>
      </c>
      <c r="N1061" s="22">
        <f t="shared" si="96"/>
        <v>0.42646656422993501</v>
      </c>
      <c r="O1061" s="22">
        <f t="shared" si="97"/>
        <v>0.88860372143527</v>
      </c>
      <c r="P1061" s="23">
        <f t="shared" si="98"/>
        <v>0.12696263757958601</v>
      </c>
      <c r="Q1061" s="23">
        <f t="shared" si="99"/>
        <v>0.14287880471006401</v>
      </c>
      <c r="R1061" s="22">
        <f t="shared" si="100"/>
        <v>0.47412328612690902</v>
      </c>
      <c r="S1061" s="22">
        <f t="shared" si="101"/>
        <v>1.47412328612691</v>
      </c>
    </row>
    <row r="1062" spans="1:19">
      <c r="A1062" s="18" t="s">
        <v>1101</v>
      </c>
      <c r="B1062" s="18" t="s">
        <v>47</v>
      </c>
      <c r="C1062" s="18" t="s">
        <v>41</v>
      </c>
      <c r="D1062" s="19">
        <v>44871</v>
      </c>
      <c r="E1062" s="20">
        <v>45493</v>
      </c>
      <c r="F1062" s="21">
        <v>53878.400000000001</v>
      </c>
      <c r="G1062" s="21">
        <v>24083.200000000001</v>
      </c>
      <c r="H1062" s="21">
        <v>10963.2</v>
      </c>
      <c r="I1062" s="18">
        <v>1202.752</v>
      </c>
      <c r="J1062" s="18">
        <v>3123.4560000000001</v>
      </c>
      <c r="K1062" s="18" t="s">
        <v>43</v>
      </c>
      <c r="L1062" s="18" t="s">
        <v>44</v>
      </c>
      <c r="M1062" s="18" t="s">
        <v>24</v>
      </c>
      <c r="N1062" s="22">
        <f t="shared" si="96"/>
        <v>0.44699174437251299</v>
      </c>
      <c r="O1062" s="22">
        <f t="shared" si="97"/>
        <v>0.45522189742226898</v>
      </c>
      <c r="P1062" s="23">
        <f t="shared" si="98"/>
        <v>4.9941536008503901E-2</v>
      </c>
      <c r="Q1062" s="23">
        <f t="shared" si="99"/>
        <v>0.109708114419148</v>
      </c>
      <c r="R1062" s="22">
        <f t="shared" si="100"/>
        <v>1.59692438673974</v>
      </c>
      <c r="S1062" s="22">
        <f t="shared" si="101"/>
        <v>2.5969243867397398</v>
      </c>
    </row>
    <row r="1063" spans="1:19">
      <c r="A1063" s="18" t="s">
        <v>1102</v>
      </c>
      <c r="B1063" s="18" t="s">
        <v>34</v>
      </c>
      <c r="C1063" s="18" t="s">
        <v>21</v>
      </c>
      <c r="D1063" s="19">
        <v>44878</v>
      </c>
      <c r="E1063" s="20">
        <v>45495</v>
      </c>
      <c r="F1063" s="21">
        <v>2924.8</v>
      </c>
      <c r="G1063" s="21">
        <v>2208</v>
      </c>
      <c r="H1063" s="21">
        <v>24</v>
      </c>
      <c r="I1063" s="18">
        <v>7345.9520000000002</v>
      </c>
      <c r="J1063" s="18">
        <v>12941.056</v>
      </c>
      <c r="K1063" s="18" t="s">
        <v>22</v>
      </c>
      <c r="L1063" s="18" t="s">
        <v>23</v>
      </c>
      <c r="M1063" s="18" t="s">
        <v>24</v>
      </c>
      <c r="N1063" s="22">
        <f t="shared" si="96"/>
        <v>0.75492341356673998</v>
      </c>
      <c r="O1063" s="22">
        <f t="shared" si="97"/>
        <v>1.0869565217391301E-2</v>
      </c>
      <c r="P1063" s="23">
        <f t="shared" si="98"/>
        <v>3.32697101449275</v>
      </c>
      <c r="Q1063" s="23">
        <f t="shared" si="99"/>
        <v>306.08133333333302</v>
      </c>
      <c r="R1063" s="22">
        <f t="shared" si="100"/>
        <v>0.76165812137079003</v>
      </c>
      <c r="S1063" s="22">
        <f t="shared" si="101"/>
        <v>1.76165812137079</v>
      </c>
    </row>
    <row r="1064" spans="1:19">
      <c r="A1064" s="18" t="s">
        <v>1103</v>
      </c>
      <c r="B1064" s="18" t="s">
        <v>47</v>
      </c>
      <c r="C1064" s="18" t="s">
        <v>48</v>
      </c>
      <c r="D1064" s="19">
        <v>44715</v>
      </c>
      <c r="E1064" s="20">
        <v>45332</v>
      </c>
      <c r="F1064" s="21">
        <v>2635.2</v>
      </c>
      <c r="G1064" s="21">
        <v>2580.8000000000002</v>
      </c>
      <c r="H1064" s="21">
        <v>2286.4</v>
      </c>
      <c r="I1064" s="18">
        <v>4163.4399999999996</v>
      </c>
      <c r="J1064" s="18">
        <v>15581.84</v>
      </c>
      <c r="K1064" s="18" t="s">
        <v>22</v>
      </c>
      <c r="L1064" s="18" t="s">
        <v>50</v>
      </c>
      <c r="M1064" s="18" t="s">
        <v>24</v>
      </c>
      <c r="N1064" s="22">
        <f t="shared" si="96"/>
        <v>0.97935640558591397</v>
      </c>
      <c r="O1064" s="22">
        <f t="shared" si="97"/>
        <v>0.885926844389337</v>
      </c>
      <c r="P1064" s="23">
        <f t="shared" si="98"/>
        <v>1.6132362058276499</v>
      </c>
      <c r="Q1064" s="23">
        <f t="shared" si="99"/>
        <v>1.82095871238628</v>
      </c>
      <c r="R1064" s="22">
        <f t="shared" si="100"/>
        <v>2.7425398228388098</v>
      </c>
      <c r="S1064" s="22">
        <f t="shared" si="101"/>
        <v>3.7425398228388098</v>
      </c>
    </row>
    <row r="1065" spans="1:19">
      <c r="A1065" s="18" t="s">
        <v>1104</v>
      </c>
      <c r="B1065" s="18" t="s">
        <v>28</v>
      </c>
      <c r="C1065" s="18" t="s">
        <v>21</v>
      </c>
      <c r="D1065" s="19">
        <v>44785</v>
      </c>
      <c r="E1065" s="20">
        <v>45406</v>
      </c>
      <c r="F1065" s="21">
        <v>24302.400000000001</v>
      </c>
      <c r="G1065" s="21">
        <v>1256</v>
      </c>
      <c r="H1065" s="21">
        <v>745.6</v>
      </c>
      <c r="I1065" s="18">
        <v>3027.5839999999998</v>
      </c>
      <c r="J1065" s="18">
        <v>8897.4079999999994</v>
      </c>
      <c r="K1065" s="18" t="s">
        <v>43</v>
      </c>
      <c r="L1065" s="18" t="s">
        <v>50</v>
      </c>
      <c r="M1065" s="18" t="s">
        <v>32</v>
      </c>
      <c r="N1065" s="22">
        <f t="shared" si="96"/>
        <v>5.1682138389624099E-2</v>
      </c>
      <c r="O1065" s="22">
        <f t="shared" si="97"/>
        <v>0.59363057324840796</v>
      </c>
      <c r="P1065" s="23">
        <f t="shared" si="98"/>
        <v>2.4104968152866202</v>
      </c>
      <c r="Q1065" s="23">
        <f t="shared" si="99"/>
        <v>4.0606008583691002</v>
      </c>
      <c r="R1065" s="22">
        <f t="shared" si="100"/>
        <v>1.9387815499090999</v>
      </c>
      <c r="S1065" s="22">
        <f t="shared" si="101"/>
        <v>2.9387815499091001</v>
      </c>
    </row>
    <row r="1066" spans="1:19">
      <c r="A1066" s="18" t="s">
        <v>1105</v>
      </c>
      <c r="B1066" s="18" t="s">
        <v>28</v>
      </c>
      <c r="C1066" s="18" t="s">
        <v>21</v>
      </c>
      <c r="D1066" s="19">
        <v>44937</v>
      </c>
      <c r="E1066" s="20">
        <v>45542</v>
      </c>
      <c r="F1066" s="21">
        <v>3932.8</v>
      </c>
      <c r="G1066" s="21">
        <v>2824</v>
      </c>
      <c r="H1066" s="21">
        <v>92.8</v>
      </c>
      <c r="I1066" s="18">
        <v>7153.2640000000001</v>
      </c>
      <c r="J1066" s="18">
        <v>22454.383999999998</v>
      </c>
      <c r="K1066" s="18" t="s">
        <v>38</v>
      </c>
      <c r="L1066" s="18" t="s">
        <v>50</v>
      </c>
      <c r="M1066" s="18" t="s">
        <v>24</v>
      </c>
      <c r="N1066" s="22">
        <f t="shared" si="96"/>
        <v>0.718063466232709</v>
      </c>
      <c r="O1066" s="22">
        <f t="shared" si="97"/>
        <v>3.2861189801699699E-2</v>
      </c>
      <c r="P1066" s="23">
        <f t="shared" si="98"/>
        <v>2.5330254957507101</v>
      </c>
      <c r="Q1066" s="23">
        <f t="shared" si="99"/>
        <v>77.082586206896593</v>
      </c>
      <c r="R1066" s="22">
        <f t="shared" si="100"/>
        <v>2.1390403038389199</v>
      </c>
      <c r="S1066" s="22">
        <f t="shared" si="101"/>
        <v>3.1390403038389199</v>
      </c>
    </row>
    <row r="1067" spans="1:19">
      <c r="A1067" s="18" t="s">
        <v>1106</v>
      </c>
      <c r="B1067" s="18" t="s">
        <v>47</v>
      </c>
      <c r="C1067" s="18" t="s">
        <v>41</v>
      </c>
      <c r="D1067" s="19">
        <v>44892</v>
      </c>
      <c r="E1067" s="20">
        <v>45510</v>
      </c>
      <c r="F1067" s="21">
        <v>78347.199999999997</v>
      </c>
      <c r="G1067" s="21">
        <v>25238.400000000001</v>
      </c>
      <c r="H1067" s="21">
        <v>18932.8</v>
      </c>
      <c r="I1067" s="18">
        <v>3149.9679999999998</v>
      </c>
      <c r="J1067" s="18">
        <v>6778.3360000000002</v>
      </c>
      <c r="K1067" s="18" t="s">
        <v>30</v>
      </c>
      <c r="L1067" s="18" t="s">
        <v>23</v>
      </c>
      <c r="M1067" s="18" t="s">
        <v>32</v>
      </c>
      <c r="N1067" s="22">
        <f t="shared" si="96"/>
        <v>0.32213531562072401</v>
      </c>
      <c r="O1067" s="22">
        <f t="shared" si="97"/>
        <v>0.75015848865221202</v>
      </c>
      <c r="P1067" s="23">
        <f t="shared" si="98"/>
        <v>0.12480854570812699</v>
      </c>
      <c r="Q1067" s="23">
        <f t="shared" si="99"/>
        <v>0.16637623595030801</v>
      </c>
      <c r="R1067" s="22">
        <f t="shared" si="100"/>
        <v>1.15187455872568</v>
      </c>
      <c r="S1067" s="22">
        <f t="shared" si="101"/>
        <v>2.1518745587256798</v>
      </c>
    </row>
    <row r="1068" spans="1:19">
      <c r="A1068" s="18" t="s">
        <v>1107</v>
      </c>
      <c r="B1068" s="18" t="s">
        <v>26</v>
      </c>
      <c r="C1068" s="18" t="s">
        <v>48</v>
      </c>
      <c r="D1068" s="19">
        <v>44912</v>
      </c>
      <c r="E1068" s="20">
        <v>45539</v>
      </c>
      <c r="F1068" s="21">
        <v>37534.400000000001</v>
      </c>
      <c r="G1068" s="21">
        <v>32056</v>
      </c>
      <c r="H1068" s="21">
        <v>20273.599999999999</v>
      </c>
      <c r="I1068" s="18">
        <v>5085.3599999999997</v>
      </c>
      <c r="J1068" s="18">
        <v>9127.1039999999994</v>
      </c>
      <c r="K1068" s="18" t="s">
        <v>65</v>
      </c>
      <c r="L1068" s="18" t="s">
        <v>44</v>
      </c>
      <c r="M1068" s="18" t="s">
        <v>24</v>
      </c>
      <c r="N1068" s="22">
        <f t="shared" si="96"/>
        <v>0.85404322434886404</v>
      </c>
      <c r="O1068" s="22">
        <f t="shared" si="97"/>
        <v>0.63244322435737499</v>
      </c>
      <c r="P1068" s="23">
        <f t="shared" si="98"/>
        <v>0.15863988020963299</v>
      </c>
      <c r="Q1068" s="23">
        <f t="shared" si="99"/>
        <v>0.25083655591508203</v>
      </c>
      <c r="R1068" s="22">
        <f t="shared" si="100"/>
        <v>0.79478031053848697</v>
      </c>
      <c r="S1068" s="22">
        <f t="shared" si="101"/>
        <v>1.7947803105384901</v>
      </c>
    </row>
    <row r="1069" spans="1:19">
      <c r="A1069" s="18" t="s">
        <v>1108</v>
      </c>
      <c r="B1069" s="18" t="s">
        <v>40</v>
      </c>
      <c r="C1069" s="18" t="s">
        <v>21</v>
      </c>
      <c r="D1069" s="19">
        <v>44746</v>
      </c>
      <c r="E1069" s="20">
        <v>45356</v>
      </c>
      <c r="F1069" s="21">
        <v>70755.199999999997</v>
      </c>
      <c r="G1069" s="21">
        <v>34366.400000000001</v>
      </c>
      <c r="H1069" s="21">
        <v>3923.2</v>
      </c>
      <c r="I1069" s="18">
        <v>627.12</v>
      </c>
      <c r="J1069" s="18">
        <v>1145.0239999999999</v>
      </c>
      <c r="K1069" s="18" t="s">
        <v>22</v>
      </c>
      <c r="L1069" s="18" t="s">
        <v>23</v>
      </c>
      <c r="M1069" s="18" t="s">
        <v>32</v>
      </c>
      <c r="N1069" s="22">
        <f t="shared" si="96"/>
        <v>0.485708470896839</v>
      </c>
      <c r="O1069" s="22">
        <f t="shared" si="97"/>
        <v>0.114158014805159</v>
      </c>
      <c r="P1069" s="23">
        <f t="shared" si="98"/>
        <v>1.8248056240979599E-2</v>
      </c>
      <c r="Q1069" s="23">
        <f t="shared" si="99"/>
        <v>0.15984910277324599</v>
      </c>
      <c r="R1069" s="22">
        <f t="shared" si="100"/>
        <v>0.82584513330781995</v>
      </c>
      <c r="S1069" s="22">
        <f t="shared" si="101"/>
        <v>1.8258451333078201</v>
      </c>
    </row>
    <row r="1070" spans="1:19">
      <c r="A1070" s="18" t="s">
        <v>1109</v>
      </c>
      <c r="B1070" s="18" t="s">
        <v>20</v>
      </c>
      <c r="C1070" s="18" t="s">
        <v>29</v>
      </c>
      <c r="D1070" s="19">
        <v>44893</v>
      </c>
      <c r="E1070" s="20">
        <v>45521</v>
      </c>
      <c r="F1070" s="21">
        <v>18464</v>
      </c>
      <c r="G1070" s="21">
        <v>15083.2</v>
      </c>
      <c r="H1070" s="21">
        <v>9116.7999999999993</v>
      </c>
      <c r="I1070" s="18">
        <v>575.85599999999999</v>
      </c>
      <c r="J1070" s="18">
        <v>2141.5839999999998</v>
      </c>
      <c r="K1070" s="18" t="s">
        <v>65</v>
      </c>
      <c r="L1070" s="18" t="s">
        <v>50</v>
      </c>
      <c r="M1070" s="18" t="s">
        <v>24</v>
      </c>
      <c r="N1070" s="22">
        <f t="shared" si="96"/>
        <v>0.81689774696707096</v>
      </c>
      <c r="O1070" s="22">
        <f t="shared" si="97"/>
        <v>0.60443407234539104</v>
      </c>
      <c r="P1070" s="23">
        <f t="shared" si="98"/>
        <v>3.8178635833244899E-2</v>
      </c>
      <c r="Q1070" s="23">
        <f t="shared" si="99"/>
        <v>6.3164268164268206E-2</v>
      </c>
      <c r="R1070" s="22">
        <f t="shared" si="100"/>
        <v>2.7189575171570701</v>
      </c>
      <c r="S1070" s="22">
        <f t="shared" si="101"/>
        <v>3.7189575171570701</v>
      </c>
    </row>
    <row r="1071" spans="1:19">
      <c r="A1071" s="18" t="s">
        <v>1110</v>
      </c>
      <c r="B1071" s="18" t="s">
        <v>28</v>
      </c>
      <c r="C1071" s="18" t="s">
        <v>48</v>
      </c>
      <c r="D1071" s="19">
        <v>44807</v>
      </c>
      <c r="E1071" s="20">
        <v>45415</v>
      </c>
      <c r="F1071" s="21">
        <v>15617.6</v>
      </c>
      <c r="G1071" s="21">
        <v>7710.4</v>
      </c>
      <c r="H1071" s="21">
        <v>7081.6</v>
      </c>
      <c r="I1071" s="18">
        <v>3675.136</v>
      </c>
      <c r="J1071" s="18">
        <v>6854.6080000000002</v>
      </c>
      <c r="K1071" s="18" t="s">
        <v>22</v>
      </c>
      <c r="L1071" s="18" t="s">
        <v>35</v>
      </c>
      <c r="M1071" s="18" t="s">
        <v>24</v>
      </c>
      <c r="N1071" s="22">
        <f t="shared" si="96"/>
        <v>0.49369941604343798</v>
      </c>
      <c r="O1071" s="22">
        <f t="shared" si="97"/>
        <v>0.91844781074911797</v>
      </c>
      <c r="P1071" s="23">
        <f t="shared" si="98"/>
        <v>0.47664660717991297</v>
      </c>
      <c r="Q1071" s="23">
        <f t="shared" si="99"/>
        <v>0.51896972435607802</v>
      </c>
      <c r="R1071" s="22">
        <f t="shared" si="100"/>
        <v>0.86513043326831995</v>
      </c>
      <c r="S1071" s="22">
        <f t="shared" si="101"/>
        <v>1.8651304332683201</v>
      </c>
    </row>
    <row r="1072" spans="1:19">
      <c r="A1072" s="18" t="s">
        <v>1111</v>
      </c>
      <c r="B1072" s="18" t="s">
        <v>26</v>
      </c>
      <c r="C1072" s="18" t="s">
        <v>41</v>
      </c>
      <c r="D1072" s="19">
        <v>44927</v>
      </c>
      <c r="E1072" s="20">
        <v>45554</v>
      </c>
      <c r="F1072" s="21">
        <v>60580.800000000003</v>
      </c>
      <c r="G1072" s="21">
        <v>19980.8</v>
      </c>
      <c r="H1072" s="21">
        <v>6395.2</v>
      </c>
      <c r="I1072" s="18">
        <v>5312.384</v>
      </c>
      <c r="J1072" s="18">
        <v>17893.04</v>
      </c>
      <c r="K1072" s="18" t="s">
        <v>22</v>
      </c>
      <c r="L1072" s="18" t="s">
        <v>44</v>
      </c>
      <c r="M1072" s="18" t="s">
        <v>24</v>
      </c>
      <c r="N1072" s="22">
        <f t="shared" si="96"/>
        <v>0.32982066925494502</v>
      </c>
      <c r="O1072" s="22">
        <f t="shared" si="97"/>
        <v>0.32006726457399098</v>
      </c>
      <c r="P1072" s="23">
        <f t="shared" si="98"/>
        <v>0.26587443946188299</v>
      </c>
      <c r="Q1072" s="23">
        <f t="shared" si="99"/>
        <v>0.83068301225919405</v>
      </c>
      <c r="R1072" s="22">
        <f t="shared" si="100"/>
        <v>2.36817519215478</v>
      </c>
      <c r="S1072" s="22">
        <f t="shared" si="101"/>
        <v>3.36817519215478</v>
      </c>
    </row>
    <row r="1073" spans="1:19">
      <c r="A1073" s="18" t="s">
        <v>1112</v>
      </c>
      <c r="B1073" s="18" t="s">
        <v>26</v>
      </c>
      <c r="C1073" s="18" t="s">
        <v>48</v>
      </c>
      <c r="D1073" s="19">
        <v>44980</v>
      </c>
      <c r="E1073" s="20">
        <v>45584</v>
      </c>
      <c r="F1073" s="21">
        <v>51867.199999999997</v>
      </c>
      <c r="G1073" s="21">
        <v>21608</v>
      </c>
      <c r="H1073" s="21">
        <v>3891.2</v>
      </c>
      <c r="I1073" s="18">
        <v>6942.72</v>
      </c>
      <c r="J1073" s="18">
        <v>18143.36</v>
      </c>
      <c r="K1073" s="18" t="s">
        <v>22</v>
      </c>
      <c r="L1073" s="18" t="s">
        <v>31</v>
      </c>
      <c r="M1073" s="18" t="s">
        <v>24</v>
      </c>
      <c r="N1073" s="22">
        <f t="shared" si="96"/>
        <v>0.416602399975322</v>
      </c>
      <c r="O1073" s="22">
        <f t="shared" si="97"/>
        <v>0.18008145131432801</v>
      </c>
      <c r="P1073" s="23">
        <f t="shared" si="98"/>
        <v>0.32130322102924802</v>
      </c>
      <c r="Q1073" s="23">
        <f t="shared" si="99"/>
        <v>1.7842105263157899</v>
      </c>
      <c r="R1073" s="22">
        <f t="shared" si="100"/>
        <v>1.61329277286136</v>
      </c>
      <c r="S1073" s="22">
        <f t="shared" si="101"/>
        <v>2.6132927728613602</v>
      </c>
    </row>
    <row r="1074" spans="1:19">
      <c r="A1074" s="18" t="s">
        <v>1113</v>
      </c>
      <c r="B1074" s="18" t="s">
        <v>34</v>
      </c>
      <c r="C1074" s="18" t="s">
        <v>48</v>
      </c>
      <c r="D1074" s="19">
        <v>44805</v>
      </c>
      <c r="E1074" s="20">
        <v>45434</v>
      </c>
      <c r="F1074" s="21">
        <v>47652.800000000003</v>
      </c>
      <c r="G1074" s="21">
        <v>11334.4</v>
      </c>
      <c r="H1074" s="21">
        <v>6867.2</v>
      </c>
      <c r="I1074" s="18">
        <v>6700.8320000000003</v>
      </c>
      <c r="J1074" s="18">
        <v>19421.168000000001</v>
      </c>
      <c r="K1074" s="18" t="s">
        <v>38</v>
      </c>
      <c r="L1074" s="18" t="s">
        <v>23</v>
      </c>
      <c r="M1074" s="18" t="s">
        <v>32</v>
      </c>
      <c r="N1074" s="22">
        <f t="shared" si="96"/>
        <v>0.237853809220025</v>
      </c>
      <c r="O1074" s="22">
        <f t="shared" si="97"/>
        <v>0.60587238848108405</v>
      </c>
      <c r="P1074" s="23">
        <f t="shared" si="98"/>
        <v>0.59119424054206704</v>
      </c>
      <c r="Q1074" s="23">
        <f t="shared" si="99"/>
        <v>0.97577353215284302</v>
      </c>
      <c r="R1074" s="22">
        <f t="shared" si="100"/>
        <v>1.8983218800292301</v>
      </c>
      <c r="S1074" s="22">
        <f t="shared" si="101"/>
        <v>2.8983218800292301</v>
      </c>
    </row>
    <row r="1075" spans="1:19">
      <c r="A1075" s="18" t="s">
        <v>1114</v>
      </c>
      <c r="B1075" s="18" t="s">
        <v>47</v>
      </c>
      <c r="C1075" s="18" t="s">
        <v>41</v>
      </c>
      <c r="D1075" s="19">
        <v>44839</v>
      </c>
      <c r="E1075" s="20">
        <v>45464</v>
      </c>
      <c r="F1075" s="21">
        <v>15153.6</v>
      </c>
      <c r="G1075" s="21">
        <v>2992</v>
      </c>
      <c r="H1075" s="21">
        <v>795.2</v>
      </c>
      <c r="I1075" s="18">
        <v>480.096</v>
      </c>
      <c r="J1075" s="18">
        <v>1328.5119999999999</v>
      </c>
      <c r="K1075" s="18" t="s">
        <v>22</v>
      </c>
      <c r="L1075" s="18" t="s">
        <v>23</v>
      </c>
      <c r="M1075" s="18" t="s">
        <v>32</v>
      </c>
      <c r="N1075" s="22">
        <f t="shared" si="96"/>
        <v>0.19744483159117299</v>
      </c>
      <c r="O1075" s="22">
        <f t="shared" si="97"/>
        <v>0.26577540106951902</v>
      </c>
      <c r="P1075" s="23">
        <f t="shared" si="98"/>
        <v>0.16045989304812799</v>
      </c>
      <c r="Q1075" s="23">
        <f t="shared" si="99"/>
        <v>0.60374245472836996</v>
      </c>
      <c r="R1075" s="22">
        <f t="shared" si="100"/>
        <v>1.7671798973538599</v>
      </c>
      <c r="S1075" s="22">
        <f t="shared" si="101"/>
        <v>2.7671798973538602</v>
      </c>
    </row>
    <row r="1076" spans="1:19">
      <c r="A1076" s="18" t="s">
        <v>1115</v>
      </c>
      <c r="B1076" s="18" t="s">
        <v>26</v>
      </c>
      <c r="C1076" s="18" t="s">
        <v>48</v>
      </c>
      <c r="D1076" s="19">
        <v>44987</v>
      </c>
      <c r="E1076" s="20">
        <v>45616</v>
      </c>
      <c r="F1076" s="21">
        <v>57073.599999999999</v>
      </c>
      <c r="G1076" s="21">
        <v>18272</v>
      </c>
      <c r="H1076" s="21">
        <v>3148.8</v>
      </c>
      <c r="I1076" s="18">
        <v>5120.0159999999996</v>
      </c>
      <c r="J1076" s="18">
        <v>12012.832</v>
      </c>
      <c r="K1076" s="18" t="s">
        <v>30</v>
      </c>
      <c r="L1076" s="18" t="s">
        <v>23</v>
      </c>
      <c r="M1076" s="18" t="s">
        <v>24</v>
      </c>
      <c r="N1076" s="22">
        <f t="shared" si="96"/>
        <v>0.32014801939951198</v>
      </c>
      <c r="O1076" s="22">
        <f t="shared" si="97"/>
        <v>0.17232924693520099</v>
      </c>
      <c r="P1076" s="23">
        <f t="shared" si="98"/>
        <v>0.280211033274956</v>
      </c>
      <c r="Q1076" s="23">
        <f t="shared" si="99"/>
        <v>1.6260213414634099</v>
      </c>
      <c r="R1076" s="22">
        <f t="shared" si="100"/>
        <v>1.34624891797213</v>
      </c>
      <c r="S1076" s="22">
        <f t="shared" si="101"/>
        <v>2.34624891797213</v>
      </c>
    </row>
    <row r="1077" spans="1:19">
      <c r="A1077" s="18" t="s">
        <v>1116</v>
      </c>
      <c r="B1077" s="18" t="s">
        <v>26</v>
      </c>
      <c r="C1077" s="18" t="s">
        <v>48</v>
      </c>
      <c r="D1077" s="19">
        <v>44761</v>
      </c>
      <c r="E1077" s="20">
        <v>45378</v>
      </c>
      <c r="F1077" s="21">
        <v>9750.4</v>
      </c>
      <c r="G1077" s="21">
        <v>4729.6000000000004</v>
      </c>
      <c r="H1077" s="21">
        <v>3224</v>
      </c>
      <c r="I1077" s="18">
        <v>3645.0720000000001</v>
      </c>
      <c r="J1077" s="18">
        <v>13489.888000000001</v>
      </c>
      <c r="K1077" s="18" t="s">
        <v>22</v>
      </c>
      <c r="L1077" s="18" t="s">
        <v>44</v>
      </c>
      <c r="M1077" s="18" t="s">
        <v>32</v>
      </c>
      <c r="N1077" s="22">
        <f t="shared" si="96"/>
        <v>0.48506727929110599</v>
      </c>
      <c r="O1077" s="22">
        <f t="shared" si="97"/>
        <v>0.68166441136671196</v>
      </c>
      <c r="P1077" s="23">
        <f t="shared" si="98"/>
        <v>0.77069350473612996</v>
      </c>
      <c r="Q1077" s="23">
        <f t="shared" si="99"/>
        <v>1.13060545905707</v>
      </c>
      <c r="R1077" s="22">
        <f t="shared" si="100"/>
        <v>2.7008563891193398</v>
      </c>
      <c r="S1077" s="22">
        <f t="shared" si="101"/>
        <v>3.7008563891193398</v>
      </c>
    </row>
    <row r="1078" spans="1:19">
      <c r="A1078" s="18" t="s">
        <v>1117</v>
      </c>
      <c r="B1078" s="18" t="s">
        <v>40</v>
      </c>
      <c r="C1078" s="18" t="s">
        <v>21</v>
      </c>
      <c r="D1078" s="19">
        <v>44746</v>
      </c>
      <c r="E1078" s="20">
        <v>45349</v>
      </c>
      <c r="F1078" s="21">
        <v>19123.2</v>
      </c>
      <c r="G1078" s="21">
        <v>15089.6</v>
      </c>
      <c r="H1078" s="21">
        <v>11083.2</v>
      </c>
      <c r="I1078" s="18">
        <v>6122.848</v>
      </c>
      <c r="J1078" s="18">
        <v>15679.616</v>
      </c>
      <c r="K1078" s="18" t="s">
        <v>38</v>
      </c>
      <c r="L1078" s="18" t="s">
        <v>35</v>
      </c>
      <c r="M1078" s="18" t="s">
        <v>32</v>
      </c>
      <c r="N1078" s="22">
        <f t="shared" si="96"/>
        <v>0.78907295850066905</v>
      </c>
      <c r="O1078" s="22">
        <f t="shared" si="97"/>
        <v>0.73449263068603499</v>
      </c>
      <c r="P1078" s="23">
        <f t="shared" si="98"/>
        <v>0.40576609055243301</v>
      </c>
      <c r="Q1078" s="23">
        <f t="shared" si="99"/>
        <v>0.55244405947740705</v>
      </c>
      <c r="R1078" s="22">
        <f t="shared" si="100"/>
        <v>1.5608370483801</v>
      </c>
      <c r="S1078" s="22">
        <f t="shared" si="101"/>
        <v>2.5608370483801002</v>
      </c>
    </row>
    <row r="1079" spans="1:19">
      <c r="A1079" s="18" t="s">
        <v>1118</v>
      </c>
      <c r="B1079" s="18" t="s">
        <v>26</v>
      </c>
      <c r="C1079" s="18" t="s">
        <v>48</v>
      </c>
      <c r="D1079" s="19">
        <v>44962</v>
      </c>
      <c r="E1079" s="20">
        <v>45591</v>
      </c>
      <c r="F1079" s="21">
        <v>59030.400000000001</v>
      </c>
      <c r="G1079" s="21">
        <v>32483.200000000001</v>
      </c>
      <c r="H1079" s="21">
        <v>13068.8</v>
      </c>
      <c r="I1079" s="18">
        <v>3028.576</v>
      </c>
      <c r="J1079" s="18">
        <v>11599.152</v>
      </c>
      <c r="K1079" s="18" t="s">
        <v>30</v>
      </c>
      <c r="L1079" s="18" t="s">
        <v>35</v>
      </c>
      <c r="M1079" s="18" t="s">
        <v>24</v>
      </c>
      <c r="N1079" s="22">
        <f t="shared" si="96"/>
        <v>0.55027917818615502</v>
      </c>
      <c r="O1079" s="22">
        <f t="shared" si="97"/>
        <v>0.40232489409910299</v>
      </c>
      <c r="P1079" s="23">
        <f t="shared" si="98"/>
        <v>9.3235149246379698E-2</v>
      </c>
      <c r="Q1079" s="23">
        <f t="shared" si="99"/>
        <v>0.231740940254652</v>
      </c>
      <c r="R1079" s="22">
        <f t="shared" si="100"/>
        <v>2.82990289825978</v>
      </c>
      <c r="S1079" s="22">
        <f t="shared" si="101"/>
        <v>3.82990289825978</v>
      </c>
    </row>
    <row r="1080" spans="1:19">
      <c r="A1080" s="18" t="s">
        <v>1119</v>
      </c>
      <c r="B1080" s="18" t="s">
        <v>28</v>
      </c>
      <c r="C1080" s="18" t="s">
        <v>41</v>
      </c>
      <c r="D1080" s="19">
        <v>44990</v>
      </c>
      <c r="E1080" s="20">
        <v>45593</v>
      </c>
      <c r="F1080" s="21">
        <v>46224</v>
      </c>
      <c r="G1080" s="21">
        <v>8225.6</v>
      </c>
      <c r="H1080" s="21">
        <v>2187.1999999999998</v>
      </c>
      <c r="I1080" s="18">
        <v>7958.2240000000002</v>
      </c>
      <c r="J1080" s="18">
        <v>19829.712</v>
      </c>
      <c r="K1080" s="18" t="s">
        <v>30</v>
      </c>
      <c r="L1080" s="18" t="s">
        <v>31</v>
      </c>
      <c r="M1080" s="18" t="s">
        <v>32</v>
      </c>
      <c r="N1080" s="22">
        <f t="shared" si="96"/>
        <v>0.177950848044306</v>
      </c>
      <c r="O1080" s="22">
        <f t="shared" si="97"/>
        <v>0.265901575568955</v>
      </c>
      <c r="P1080" s="23">
        <f t="shared" si="98"/>
        <v>0.96749465084613895</v>
      </c>
      <c r="Q1080" s="23">
        <f t="shared" si="99"/>
        <v>3.6385442574981699</v>
      </c>
      <c r="R1080" s="22">
        <f t="shared" si="100"/>
        <v>1.4917257920862701</v>
      </c>
      <c r="S1080" s="22">
        <f t="shared" si="101"/>
        <v>2.4917257920862701</v>
      </c>
    </row>
    <row r="1081" spans="1:19">
      <c r="A1081" s="18" t="s">
        <v>1120</v>
      </c>
      <c r="B1081" s="18" t="s">
        <v>34</v>
      </c>
      <c r="C1081" s="18" t="s">
        <v>48</v>
      </c>
      <c r="D1081" s="19">
        <v>44757</v>
      </c>
      <c r="E1081" s="20">
        <v>45363</v>
      </c>
      <c r="F1081" s="21">
        <v>3164.8</v>
      </c>
      <c r="G1081" s="21">
        <v>3089.6</v>
      </c>
      <c r="H1081" s="21">
        <v>2187.1999999999998</v>
      </c>
      <c r="I1081" s="18">
        <v>2737.9520000000002</v>
      </c>
      <c r="J1081" s="18">
        <v>3696.6239999999998</v>
      </c>
      <c r="K1081" s="18" t="s">
        <v>65</v>
      </c>
      <c r="L1081" s="18" t="s">
        <v>50</v>
      </c>
      <c r="M1081" s="18" t="s">
        <v>24</v>
      </c>
      <c r="N1081" s="22">
        <f t="shared" si="96"/>
        <v>0.97623862487361002</v>
      </c>
      <c r="O1081" s="22">
        <f t="shared" si="97"/>
        <v>0.70792335577420995</v>
      </c>
      <c r="P1081" s="23">
        <f t="shared" si="98"/>
        <v>0.88618332470222705</v>
      </c>
      <c r="Q1081" s="23">
        <f t="shared" si="99"/>
        <v>1.2518068763716199</v>
      </c>
      <c r="R1081" s="22">
        <f t="shared" si="100"/>
        <v>0.35014200395039802</v>
      </c>
      <c r="S1081" s="22">
        <f t="shared" si="101"/>
        <v>1.3501420039504</v>
      </c>
    </row>
    <row r="1082" spans="1:19">
      <c r="A1082" s="18" t="s">
        <v>1121</v>
      </c>
      <c r="B1082" s="18" t="s">
        <v>26</v>
      </c>
      <c r="C1082" s="18" t="s">
        <v>41</v>
      </c>
      <c r="D1082" s="19">
        <v>44940</v>
      </c>
      <c r="E1082" s="20">
        <v>45564</v>
      </c>
      <c r="F1082" s="21">
        <v>13292.8</v>
      </c>
      <c r="G1082" s="21">
        <v>11876.8</v>
      </c>
      <c r="H1082" s="21">
        <v>2008</v>
      </c>
      <c r="I1082" s="18">
        <v>448</v>
      </c>
      <c r="J1082" s="18">
        <v>1771.0239999999999</v>
      </c>
      <c r="K1082" s="18" t="s">
        <v>22</v>
      </c>
      <c r="L1082" s="18" t="s">
        <v>35</v>
      </c>
      <c r="M1082" s="18" t="s">
        <v>32</v>
      </c>
      <c r="N1082" s="22">
        <f t="shared" si="96"/>
        <v>0.89347616754935</v>
      </c>
      <c r="O1082" s="22">
        <f t="shared" si="97"/>
        <v>0.16906910952445101</v>
      </c>
      <c r="P1082" s="23">
        <f t="shared" si="98"/>
        <v>3.77205981409134E-2</v>
      </c>
      <c r="Q1082" s="23">
        <f t="shared" si="99"/>
        <v>0.22310756972111601</v>
      </c>
      <c r="R1082" s="22">
        <f t="shared" si="100"/>
        <v>2.9531785714285701</v>
      </c>
      <c r="S1082" s="22">
        <f t="shared" si="101"/>
        <v>3.9531785714285701</v>
      </c>
    </row>
    <row r="1083" spans="1:19">
      <c r="A1083" s="18" t="s">
        <v>1122</v>
      </c>
      <c r="B1083" s="18" t="s">
        <v>20</v>
      </c>
      <c r="C1083" s="18" t="s">
        <v>41</v>
      </c>
      <c r="D1083" s="19">
        <v>44936</v>
      </c>
      <c r="E1083" s="20">
        <v>45547</v>
      </c>
      <c r="F1083" s="21">
        <v>44499.199999999997</v>
      </c>
      <c r="G1083" s="21">
        <v>4952</v>
      </c>
      <c r="H1083" s="21">
        <v>504</v>
      </c>
      <c r="I1083" s="18">
        <v>1344.624</v>
      </c>
      <c r="J1083" s="18">
        <v>3800.864</v>
      </c>
      <c r="K1083" s="18" t="s">
        <v>22</v>
      </c>
      <c r="L1083" s="18" t="s">
        <v>50</v>
      </c>
      <c r="M1083" s="18" t="s">
        <v>32</v>
      </c>
      <c r="N1083" s="22">
        <f t="shared" si="96"/>
        <v>0.11128289946785599</v>
      </c>
      <c r="O1083" s="22">
        <f t="shared" si="97"/>
        <v>0.101777059773829</v>
      </c>
      <c r="P1083" s="23">
        <f t="shared" si="98"/>
        <v>0.27153150242326302</v>
      </c>
      <c r="Q1083" s="23">
        <f t="shared" si="99"/>
        <v>2.6679047619047598</v>
      </c>
      <c r="R1083" s="22">
        <f t="shared" si="100"/>
        <v>1.8267114077987601</v>
      </c>
      <c r="S1083" s="22">
        <f t="shared" si="101"/>
        <v>2.8267114077987601</v>
      </c>
    </row>
    <row r="1084" spans="1:19">
      <c r="A1084" s="18" t="s">
        <v>1123</v>
      </c>
      <c r="B1084" s="18" t="s">
        <v>34</v>
      </c>
      <c r="C1084" s="18" t="s">
        <v>41</v>
      </c>
      <c r="D1084" s="19">
        <v>44946</v>
      </c>
      <c r="E1084" s="20">
        <v>45562</v>
      </c>
      <c r="F1084" s="21">
        <v>13028.8</v>
      </c>
      <c r="G1084" s="21">
        <v>6673.6</v>
      </c>
      <c r="H1084" s="21">
        <v>884.8</v>
      </c>
      <c r="I1084" s="18">
        <v>6124.9759999999997</v>
      </c>
      <c r="J1084" s="18">
        <v>20333.455999999998</v>
      </c>
      <c r="K1084" s="18" t="s">
        <v>22</v>
      </c>
      <c r="L1084" s="18" t="s">
        <v>23</v>
      </c>
      <c r="M1084" s="18" t="s">
        <v>24</v>
      </c>
      <c r="N1084" s="22">
        <f t="shared" si="96"/>
        <v>0.51221908387572201</v>
      </c>
      <c r="O1084" s="22">
        <f t="shared" si="97"/>
        <v>0.13258211460081501</v>
      </c>
      <c r="P1084" s="23">
        <f t="shared" si="98"/>
        <v>0.91779189642771497</v>
      </c>
      <c r="Q1084" s="23">
        <f t="shared" si="99"/>
        <v>6.9224412296564202</v>
      </c>
      <c r="R1084" s="22">
        <f t="shared" si="100"/>
        <v>2.3197609264101602</v>
      </c>
      <c r="S1084" s="22">
        <f t="shared" si="101"/>
        <v>3.3197609264101602</v>
      </c>
    </row>
    <row r="1085" spans="1:19">
      <c r="A1085" s="18" t="s">
        <v>1124</v>
      </c>
      <c r="B1085" s="18" t="s">
        <v>34</v>
      </c>
      <c r="C1085" s="18" t="s">
        <v>29</v>
      </c>
      <c r="D1085" s="19">
        <v>44904</v>
      </c>
      <c r="E1085" s="20">
        <v>45511</v>
      </c>
      <c r="F1085" s="21">
        <v>67456</v>
      </c>
      <c r="G1085" s="21">
        <v>32796.800000000003</v>
      </c>
      <c r="H1085" s="21">
        <v>11963.2</v>
      </c>
      <c r="I1085" s="18">
        <v>2563.7440000000001</v>
      </c>
      <c r="J1085" s="18">
        <v>6111.2960000000003</v>
      </c>
      <c r="K1085" s="18" t="s">
        <v>22</v>
      </c>
      <c r="L1085" s="18" t="s">
        <v>35</v>
      </c>
      <c r="M1085" s="18" t="s">
        <v>24</v>
      </c>
      <c r="N1085" s="22">
        <f t="shared" si="96"/>
        <v>0.486195445920304</v>
      </c>
      <c r="O1085" s="22">
        <f t="shared" si="97"/>
        <v>0.36476729437018202</v>
      </c>
      <c r="P1085" s="23">
        <f t="shared" si="98"/>
        <v>7.81705532247048E-2</v>
      </c>
      <c r="Q1085" s="23">
        <f t="shared" si="99"/>
        <v>0.214302527751772</v>
      </c>
      <c r="R1085" s="22">
        <f t="shared" si="100"/>
        <v>1.3837387820312801</v>
      </c>
      <c r="S1085" s="22">
        <f t="shared" si="101"/>
        <v>2.3837387820312799</v>
      </c>
    </row>
    <row r="1086" spans="1:19">
      <c r="A1086" s="18" t="s">
        <v>1125</v>
      </c>
      <c r="B1086" s="18" t="s">
        <v>28</v>
      </c>
      <c r="C1086" s="18" t="s">
        <v>48</v>
      </c>
      <c r="D1086" s="19">
        <v>44910</v>
      </c>
      <c r="E1086" s="20">
        <v>45540</v>
      </c>
      <c r="F1086" s="21">
        <v>62404.800000000003</v>
      </c>
      <c r="G1086" s="21">
        <v>41939.199999999997</v>
      </c>
      <c r="H1086" s="21">
        <v>41648</v>
      </c>
      <c r="I1086" s="18">
        <v>7721.7120000000004</v>
      </c>
      <c r="J1086" s="18">
        <v>12783.487999999999</v>
      </c>
      <c r="K1086" s="18" t="s">
        <v>22</v>
      </c>
      <c r="L1086" s="18" t="s">
        <v>23</v>
      </c>
      <c r="M1086" s="18" t="s">
        <v>24</v>
      </c>
      <c r="N1086" s="22">
        <f t="shared" si="96"/>
        <v>0.672050867881958</v>
      </c>
      <c r="O1086" s="22">
        <f t="shared" si="97"/>
        <v>0.99305661529070699</v>
      </c>
      <c r="P1086" s="23">
        <f t="shared" si="98"/>
        <v>0.184116816725164</v>
      </c>
      <c r="Q1086" s="23">
        <f t="shared" si="99"/>
        <v>0.185404149058778</v>
      </c>
      <c r="R1086" s="22">
        <f t="shared" si="100"/>
        <v>0.65552509598907605</v>
      </c>
      <c r="S1086" s="22">
        <f t="shared" si="101"/>
        <v>1.6555250959890799</v>
      </c>
    </row>
    <row r="1087" spans="1:19">
      <c r="A1087" s="18" t="s">
        <v>1126</v>
      </c>
      <c r="B1087" s="18" t="s">
        <v>26</v>
      </c>
      <c r="C1087" s="18" t="s">
        <v>21</v>
      </c>
      <c r="D1087" s="19">
        <v>44978</v>
      </c>
      <c r="E1087" s="20">
        <v>45587</v>
      </c>
      <c r="F1087" s="21">
        <v>57316.800000000003</v>
      </c>
      <c r="G1087" s="21">
        <v>49825.599999999999</v>
      </c>
      <c r="H1087" s="21">
        <v>7155.2</v>
      </c>
      <c r="I1087" s="18">
        <v>5952.7520000000004</v>
      </c>
      <c r="J1087" s="18">
        <v>7959.9679999999998</v>
      </c>
      <c r="K1087" s="18" t="s">
        <v>22</v>
      </c>
      <c r="L1087" s="18" t="s">
        <v>23</v>
      </c>
      <c r="M1087" s="18" t="s">
        <v>32</v>
      </c>
      <c r="N1087" s="22">
        <f t="shared" si="96"/>
        <v>0.86930184518326203</v>
      </c>
      <c r="O1087" s="22">
        <f t="shared" si="97"/>
        <v>0.14360489386981801</v>
      </c>
      <c r="P1087" s="23">
        <f t="shared" si="98"/>
        <v>0.11947175749012599</v>
      </c>
      <c r="Q1087" s="23">
        <f t="shared" si="99"/>
        <v>0.83194767441860495</v>
      </c>
      <c r="R1087" s="22">
        <f t="shared" si="100"/>
        <v>0.33719126884506501</v>
      </c>
      <c r="S1087" s="22">
        <f t="shared" si="101"/>
        <v>1.33719126884507</v>
      </c>
    </row>
    <row r="1088" spans="1:19">
      <c r="A1088" s="18" t="s">
        <v>1127</v>
      </c>
      <c r="B1088" s="18" t="s">
        <v>20</v>
      </c>
      <c r="C1088" s="18" t="s">
        <v>21</v>
      </c>
      <c r="D1088" s="19">
        <v>44866</v>
      </c>
      <c r="E1088" s="20">
        <v>45474</v>
      </c>
      <c r="F1088" s="21">
        <v>37374.400000000001</v>
      </c>
      <c r="G1088" s="21">
        <v>25963.200000000001</v>
      </c>
      <c r="H1088" s="21">
        <v>19364.8</v>
      </c>
      <c r="I1088" s="18">
        <v>949.10400000000004</v>
      </c>
      <c r="J1088" s="18">
        <v>2249.5839999999998</v>
      </c>
      <c r="K1088" s="18" t="s">
        <v>65</v>
      </c>
      <c r="L1088" s="18" t="s">
        <v>31</v>
      </c>
      <c r="M1088" s="18" t="s">
        <v>32</v>
      </c>
      <c r="N1088" s="22">
        <f t="shared" si="96"/>
        <v>0.69467871056123998</v>
      </c>
      <c r="O1088" s="22">
        <f t="shared" si="97"/>
        <v>0.74585567264435804</v>
      </c>
      <c r="P1088" s="23">
        <f t="shared" si="98"/>
        <v>3.6555740432612303E-2</v>
      </c>
      <c r="Q1088" s="23">
        <f t="shared" si="99"/>
        <v>4.9011815252416803E-2</v>
      </c>
      <c r="R1088" s="22">
        <f t="shared" si="100"/>
        <v>1.3702186483251599</v>
      </c>
      <c r="S1088" s="22">
        <f t="shared" si="101"/>
        <v>2.3702186483251602</v>
      </c>
    </row>
    <row r="1089" spans="1:19">
      <c r="A1089" s="18" t="s">
        <v>1128</v>
      </c>
      <c r="B1089" s="18" t="s">
        <v>47</v>
      </c>
      <c r="C1089" s="18" t="s">
        <v>41</v>
      </c>
      <c r="D1089" s="19">
        <v>44968</v>
      </c>
      <c r="E1089" s="20">
        <v>45589</v>
      </c>
      <c r="F1089" s="21">
        <v>42593.599999999999</v>
      </c>
      <c r="G1089" s="21">
        <v>35921.599999999999</v>
      </c>
      <c r="H1089" s="21">
        <v>7334.4</v>
      </c>
      <c r="I1089" s="18">
        <v>615.34400000000005</v>
      </c>
      <c r="J1089" s="18">
        <v>1936.4159999999999</v>
      </c>
      <c r="K1089" s="18" t="s">
        <v>22</v>
      </c>
      <c r="L1089" s="18" t="s">
        <v>35</v>
      </c>
      <c r="M1089" s="18" t="s">
        <v>24</v>
      </c>
      <c r="N1089" s="22">
        <f t="shared" si="96"/>
        <v>0.84335674843168895</v>
      </c>
      <c r="O1089" s="22">
        <f t="shared" si="97"/>
        <v>0.20417798761747799</v>
      </c>
      <c r="P1089" s="23">
        <f t="shared" si="98"/>
        <v>1.7130194646118199E-2</v>
      </c>
      <c r="Q1089" s="23">
        <f t="shared" si="99"/>
        <v>8.38983420593368E-2</v>
      </c>
      <c r="R1089" s="22">
        <f t="shared" si="100"/>
        <v>2.1468836943238201</v>
      </c>
      <c r="S1089" s="22">
        <f t="shared" si="101"/>
        <v>3.1468836943238201</v>
      </c>
    </row>
    <row r="1090" spans="1:19">
      <c r="A1090" s="18" t="s">
        <v>1129</v>
      </c>
      <c r="B1090" s="18" t="s">
        <v>47</v>
      </c>
      <c r="C1090" s="18" t="s">
        <v>48</v>
      </c>
      <c r="D1090" s="19">
        <v>44973</v>
      </c>
      <c r="E1090" s="20">
        <v>45590</v>
      </c>
      <c r="F1090" s="21">
        <v>20004.8</v>
      </c>
      <c r="G1090" s="21">
        <v>17036.8</v>
      </c>
      <c r="H1090" s="21">
        <v>4443.2</v>
      </c>
      <c r="I1090" s="18">
        <v>3919.8879999999999</v>
      </c>
      <c r="J1090" s="18">
        <v>12787.407999999999</v>
      </c>
      <c r="K1090" s="18" t="s">
        <v>43</v>
      </c>
      <c r="L1090" s="18" t="s">
        <v>44</v>
      </c>
      <c r="M1090" s="18" t="s">
        <v>24</v>
      </c>
      <c r="N1090" s="22">
        <f t="shared" ref="N1090:N1153" si="102">G1090/F1090</f>
        <v>0.85163560745421096</v>
      </c>
      <c r="O1090" s="22">
        <f t="shared" ref="O1090:O1153" si="103">H1090/G1090</f>
        <v>0.26080015026296</v>
      </c>
      <c r="P1090" s="23">
        <f t="shared" ref="P1090:P1153" si="104">I1090/G1090</f>
        <v>0.23008358377159999</v>
      </c>
      <c r="Q1090" s="23">
        <f t="shared" ref="Q1090:Q1153" si="105">I1090/H1090</f>
        <v>0.88222182211019096</v>
      </c>
      <c r="R1090" s="22">
        <f t="shared" ref="R1090:R1153" si="106">(J1090-I1090)/I1090</f>
        <v>2.2621870828962498</v>
      </c>
      <c r="S1090" s="22">
        <f t="shared" ref="S1090:S1153" si="107">J1090/I1090</f>
        <v>3.2621870828962498</v>
      </c>
    </row>
    <row r="1091" spans="1:19">
      <c r="A1091" s="18" t="s">
        <v>1130</v>
      </c>
      <c r="B1091" s="18" t="s">
        <v>26</v>
      </c>
      <c r="C1091" s="18" t="s">
        <v>29</v>
      </c>
      <c r="D1091" s="19">
        <v>44975</v>
      </c>
      <c r="E1091" s="20">
        <v>45589</v>
      </c>
      <c r="F1091" s="21">
        <v>42561.599999999999</v>
      </c>
      <c r="G1091" s="21">
        <v>41548.800000000003</v>
      </c>
      <c r="H1091" s="21">
        <v>29774.400000000001</v>
      </c>
      <c r="I1091" s="18">
        <v>3757.6320000000001</v>
      </c>
      <c r="J1091" s="18">
        <v>10839.152</v>
      </c>
      <c r="K1091" s="18" t="s">
        <v>38</v>
      </c>
      <c r="L1091" s="18" t="s">
        <v>50</v>
      </c>
      <c r="M1091" s="18" t="s">
        <v>24</v>
      </c>
      <c r="N1091" s="22">
        <f t="shared" si="102"/>
        <v>0.97620390210894303</v>
      </c>
      <c r="O1091" s="22">
        <f t="shared" si="103"/>
        <v>0.71661275415896497</v>
      </c>
      <c r="P1091" s="23">
        <f t="shared" si="104"/>
        <v>9.0439001848428804E-2</v>
      </c>
      <c r="Q1091" s="23">
        <f t="shared" si="105"/>
        <v>0.12620344994357599</v>
      </c>
      <c r="R1091" s="22">
        <f t="shared" si="106"/>
        <v>1.88456985676085</v>
      </c>
      <c r="S1091" s="22">
        <f t="shared" si="107"/>
        <v>2.8845698567608502</v>
      </c>
    </row>
    <row r="1092" spans="1:19">
      <c r="A1092" s="18" t="s">
        <v>1131</v>
      </c>
      <c r="B1092" s="18" t="s">
        <v>20</v>
      </c>
      <c r="C1092" s="18" t="s">
        <v>41</v>
      </c>
      <c r="D1092" s="19">
        <v>44895</v>
      </c>
      <c r="E1092" s="20">
        <v>45510</v>
      </c>
      <c r="F1092" s="21">
        <v>20891.2</v>
      </c>
      <c r="G1092" s="21">
        <v>18043.2</v>
      </c>
      <c r="H1092" s="21">
        <v>9612.7999999999993</v>
      </c>
      <c r="I1092" s="18">
        <v>537.952</v>
      </c>
      <c r="J1092" s="18">
        <v>1482.0640000000001</v>
      </c>
      <c r="K1092" s="18" t="s">
        <v>38</v>
      </c>
      <c r="L1092" s="18" t="s">
        <v>50</v>
      </c>
      <c r="M1092" s="18" t="s">
        <v>32</v>
      </c>
      <c r="N1092" s="22">
        <f t="shared" si="102"/>
        <v>0.86367465727196102</v>
      </c>
      <c r="O1092" s="22">
        <f t="shared" si="103"/>
        <v>0.53276580650882299</v>
      </c>
      <c r="P1092" s="23">
        <f t="shared" si="104"/>
        <v>2.9814667021370901E-2</v>
      </c>
      <c r="Q1092" s="23">
        <f t="shared" si="105"/>
        <v>5.5962050599201098E-2</v>
      </c>
      <c r="R1092" s="22">
        <f t="shared" si="106"/>
        <v>1.7550115995479201</v>
      </c>
      <c r="S1092" s="22">
        <f t="shared" si="107"/>
        <v>2.7550115995479199</v>
      </c>
    </row>
    <row r="1093" spans="1:19">
      <c r="A1093" s="18" t="s">
        <v>1132</v>
      </c>
      <c r="B1093" s="18" t="s">
        <v>28</v>
      </c>
      <c r="C1093" s="18" t="s">
        <v>21</v>
      </c>
      <c r="D1093" s="19">
        <v>44812</v>
      </c>
      <c r="E1093" s="20">
        <v>45431</v>
      </c>
      <c r="F1093" s="21">
        <v>22073.599999999999</v>
      </c>
      <c r="G1093" s="21">
        <v>18561.599999999999</v>
      </c>
      <c r="H1093" s="21">
        <v>2860.8</v>
      </c>
      <c r="I1093" s="18">
        <v>7826.72</v>
      </c>
      <c r="J1093" s="18">
        <v>9640.2080000000005</v>
      </c>
      <c r="K1093" s="18" t="s">
        <v>65</v>
      </c>
      <c r="L1093" s="18" t="s">
        <v>35</v>
      </c>
      <c r="M1093" s="18" t="s">
        <v>24</v>
      </c>
      <c r="N1093" s="22">
        <f t="shared" si="102"/>
        <v>0.84089591185850998</v>
      </c>
      <c r="O1093" s="22">
        <f t="shared" si="103"/>
        <v>0.154124644427205</v>
      </c>
      <c r="P1093" s="23">
        <f t="shared" si="104"/>
        <v>0.42166192569606098</v>
      </c>
      <c r="Q1093" s="23">
        <f t="shared" si="105"/>
        <v>2.7358501118568199</v>
      </c>
      <c r="R1093" s="22">
        <f t="shared" si="106"/>
        <v>0.23170472432896499</v>
      </c>
      <c r="S1093" s="22">
        <f t="shared" si="107"/>
        <v>1.23170472432897</v>
      </c>
    </row>
    <row r="1094" spans="1:19">
      <c r="A1094" s="18" t="s">
        <v>1133</v>
      </c>
      <c r="B1094" s="18" t="s">
        <v>47</v>
      </c>
      <c r="C1094" s="18" t="s">
        <v>29</v>
      </c>
      <c r="D1094" s="19">
        <v>44728</v>
      </c>
      <c r="E1094" s="20">
        <v>45345</v>
      </c>
      <c r="F1094" s="21">
        <v>43376</v>
      </c>
      <c r="G1094" s="21">
        <v>427.2</v>
      </c>
      <c r="H1094" s="21">
        <v>12.8</v>
      </c>
      <c r="I1094" s="18">
        <v>916.89599999999996</v>
      </c>
      <c r="J1094" s="18">
        <v>2511.8719999999998</v>
      </c>
      <c r="K1094" s="18" t="s">
        <v>22</v>
      </c>
      <c r="L1094" s="18" t="s">
        <v>50</v>
      </c>
      <c r="M1094" s="18" t="s">
        <v>32</v>
      </c>
      <c r="N1094" s="22">
        <f t="shared" si="102"/>
        <v>9.8487642936185907E-3</v>
      </c>
      <c r="O1094" s="22">
        <f t="shared" si="103"/>
        <v>2.9962546816479401E-2</v>
      </c>
      <c r="P1094" s="23">
        <f t="shared" si="104"/>
        <v>2.1462921348314601</v>
      </c>
      <c r="Q1094" s="23">
        <f t="shared" si="105"/>
        <v>71.632499999999993</v>
      </c>
      <c r="R1094" s="22">
        <f t="shared" si="106"/>
        <v>1.73953861724776</v>
      </c>
      <c r="S1094" s="22">
        <f t="shared" si="107"/>
        <v>2.73953861724776</v>
      </c>
    </row>
    <row r="1095" spans="1:19">
      <c r="A1095" s="18" t="s">
        <v>1134</v>
      </c>
      <c r="B1095" s="18" t="s">
        <v>20</v>
      </c>
      <c r="C1095" s="18" t="s">
        <v>48</v>
      </c>
      <c r="D1095" s="19">
        <v>44841</v>
      </c>
      <c r="E1095" s="20">
        <v>45447</v>
      </c>
      <c r="F1095" s="21">
        <v>13300.8</v>
      </c>
      <c r="G1095" s="21">
        <v>12614.4</v>
      </c>
      <c r="H1095" s="21">
        <v>6144</v>
      </c>
      <c r="I1095" s="18">
        <v>815.05600000000004</v>
      </c>
      <c r="J1095" s="18">
        <v>1755.52</v>
      </c>
      <c r="K1095" s="18" t="s">
        <v>43</v>
      </c>
      <c r="L1095" s="18" t="s">
        <v>44</v>
      </c>
      <c r="M1095" s="18" t="s">
        <v>32</v>
      </c>
      <c r="N1095" s="22">
        <f t="shared" si="102"/>
        <v>0.94839408155900395</v>
      </c>
      <c r="O1095" s="22">
        <f t="shared" si="103"/>
        <v>0.48706240487062402</v>
      </c>
      <c r="P1095" s="23">
        <f t="shared" si="104"/>
        <v>6.4613140537798097E-2</v>
      </c>
      <c r="Q1095" s="23">
        <f t="shared" si="105"/>
        <v>0.13265885416666701</v>
      </c>
      <c r="R1095" s="22">
        <f t="shared" si="106"/>
        <v>1.1538642743566101</v>
      </c>
      <c r="S1095" s="22">
        <f t="shared" si="107"/>
        <v>2.1538642743566099</v>
      </c>
    </row>
    <row r="1096" spans="1:19">
      <c r="A1096" s="18" t="s">
        <v>1135</v>
      </c>
      <c r="B1096" s="18" t="s">
        <v>26</v>
      </c>
      <c r="C1096" s="18" t="s">
        <v>41</v>
      </c>
      <c r="D1096" s="19">
        <v>44829</v>
      </c>
      <c r="E1096" s="20">
        <v>45450</v>
      </c>
      <c r="F1096" s="21">
        <v>11936</v>
      </c>
      <c r="G1096" s="21">
        <v>4676.8</v>
      </c>
      <c r="H1096" s="21">
        <v>2841.6</v>
      </c>
      <c r="I1096" s="18">
        <v>6560.3519999999999</v>
      </c>
      <c r="J1096" s="18">
        <v>18211.936000000002</v>
      </c>
      <c r="K1096" s="18" t="s">
        <v>30</v>
      </c>
      <c r="L1096" s="18" t="s">
        <v>31</v>
      </c>
      <c r="M1096" s="18" t="s">
        <v>32</v>
      </c>
      <c r="N1096" s="22">
        <f t="shared" si="102"/>
        <v>0.39182305630026798</v>
      </c>
      <c r="O1096" s="22">
        <f t="shared" si="103"/>
        <v>0.607594936708861</v>
      </c>
      <c r="P1096" s="23">
        <f t="shared" si="104"/>
        <v>1.4027437564146401</v>
      </c>
      <c r="Q1096" s="23">
        <f t="shared" si="105"/>
        <v>2.30868243243243</v>
      </c>
      <c r="R1096" s="22">
        <f t="shared" si="106"/>
        <v>1.77606079673774</v>
      </c>
      <c r="S1096" s="22">
        <f t="shared" si="107"/>
        <v>2.77606079673774</v>
      </c>
    </row>
    <row r="1097" spans="1:19">
      <c r="A1097" s="18" t="s">
        <v>1136</v>
      </c>
      <c r="B1097" s="18" t="s">
        <v>26</v>
      </c>
      <c r="C1097" s="18" t="s">
        <v>21</v>
      </c>
      <c r="D1097" s="19">
        <v>44749</v>
      </c>
      <c r="E1097" s="20">
        <v>45366</v>
      </c>
      <c r="F1097" s="21">
        <v>74964.800000000003</v>
      </c>
      <c r="G1097" s="21">
        <v>40460.800000000003</v>
      </c>
      <c r="H1097" s="21">
        <v>21012.799999999999</v>
      </c>
      <c r="I1097" s="18">
        <v>4649.424</v>
      </c>
      <c r="J1097" s="18">
        <v>17986.223999999998</v>
      </c>
      <c r="K1097" s="18" t="s">
        <v>22</v>
      </c>
      <c r="L1097" s="18" t="s">
        <v>50</v>
      </c>
      <c r="M1097" s="18" t="s">
        <v>32</v>
      </c>
      <c r="N1097" s="22">
        <f t="shared" si="102"/>
        <v>0.53973064691695305</v>
      </c>
      <c r="O1097" s="22">
        <f t="shared" si="103"/>
        <v>0.51933723505219898</v>
      </c>
      <c r="P1097" s="23">
        <f t="shared" si="104"/>
        <v>0.11491181588105</v>
      </c>
      <c r="Q1097" s="23">
        <f t="shared" si="105"/>
        <v>0.22126627579380201</v>
      </c>
      <c r="R1097" s="22">
        <f t="shared" si="106"/>
        <v>2.8684843541909699</v>
      </c>
      <c r="S1097" s="22">
        <f t="shared" si="107"/>
        <v>3.8684843541909699</v>
      </c>
    </row>
    <row r="1098" spans="1:19">
      <c r="A1098" s="18" t="s">
        <v>1137</v>
      </c>
      <c r="B1098" s="18" t="s">
        <v>26</v>
      </c>
      <c r="C1098" s="18" t="s">
        <v>48</v>
      </c>
      <c r="D1098" s="19">
        <v>44788</v>
      </c>
      <c r="E1098" s="20">
        <v>45397</v>
      </c>
      <c r="F1098" s="21">
        <v>74500.800000000003</v>
      </c>
      <c r="G1098" s="21">
        <v>55768</v>
      </c>
      <c r="H1098" s="21">
        <v>22699.200000000001</v>
      </c>
      <c r="I1098" s="18">
        <v>5764.56</v>
      </c>
      <c r="J1098" s="18">
        <v>9440.1119999999992</v>
      </c>
      <c r="K1098" s="18" t="s">
        <v>65</v>
      </c>
      <c r="L1098" s="18" t="s">
        <v>23</v>
      </c>
      <c r="M1098" s="18" t="s">
        <v>32</v>
      </c>
      <c r="N1098" s="22">
        <f t="shared" si="102"/>
        <v>0.74855572020703098</v>
      </c>
      <c r="O1098" s="22">
        <f t="shared" si="103"/>
        <v>0.407029120642662</v>
      </c>
      <c r="P1098" s="23">
        <f t="shared" si="104"/>
        <v>0.103366805336394</v>
      </c>
      <c r="Q1098" s="23">
        <f t="shared" si="105"/>
        <v>0.25395432438147603</v>
      </c>
      <c r="R1098" s="22">
        <f t="shared" si="106"/>
        <v>0.63761189058661905</v>
      </c>
      <c r="S1098" s="22">
        <f t="shared" si="107"/>
        <v>1.6376118905866199</v>
      </c>
    </row>
    <row r="1099" spans="1:19">
      <c r="A1099" s="18" t="s">
        <v>1138</v>
      </c>
      <c r="B1099" s="18" t="s">
        <v>34</v>
      </c>
      <c r="C1099" s="18" t="s">
        <v>48</v>
      </c>
      <c r="D1099" s="19">
        <v>44792</v>
      </c>
      <c r="E1099" s="20">
        <v>45422</v>
      </c>
      <c r="F1099" s="21">
        <v>33840</v>
      </c>
      <c r="G1099" s="21">
        <v>26552</v>
      </c>
      <c r="H1099" s="21">
        <v>17494.400000000001</v>
      </c>
      <c r="I1099" s="18">
        <v>6288.0479999999998</v>
      </c>
      <c r="J1099" s="18">
        <v>24471.871999999999</v>
      </c>
      <c r="K1099" s="18" t="s">
        <v>43</v>
      </c>
      <c r="L1099" s="18" t="s">
        <v>23</v>
      </c>
      <c r="M1099" s="18" t="s">
        <v>32</v>
      </c>
      <c r="N1099" s="22">
        <f t="shared" si="102"/>
        <v>0.78463356973995302</v>
      </c>
      <c r="O1099" s="22">
        <f t="shared" si="103"/>
        <v>0.65887315456462803</v>
      </c>
      <c r="P1099" s="23">
        <f t="shared" si="104"/>
        <v>0.23682012654414</v>
      </c>
      <c r="Q1099" s="23">
        <f t="shared" si="105"/>
        <v>0.359432046826413</v>
      </c>
      <c r="R1099" s="22">
        <f t="shared" si="106"/>
        <v>2.8918074416734698</v>
      </c>
      <c r="S1099" s="22">
        <f t="shared" si="107"/>
        <v>3.8918074416734698</v>
      </c>
    </row>
    <row r="1100" spans="1:19">
      <c r="A1100" s="18" t="s">
        <v>1139</v>
      </c>
      <c r="B1100" s="18" t="s">
        <v>28</v>
      </c>
      <c r="C1100" s="18" t="s">
        <v>21</v>
      </c>
      <c r="D1100" s="19">
        <v>44806</v>
      </c>
      <c r="E1100" s="20">
        <v>45426</v>
      </c>
      <c r="F1100" s="21">
        <v>43438.400000000001</v>
      </c>
      <c r="G1100" s="21">
        <v>42588.800000000003</v>
      </c>
      <c r="H1100" s="21">
        <v>4032</v>
      </c>
      <c r="I1100" s="18">
        <v>910.81600000000003</v>
      </c>
      <c r="J1100" s="18">
        <v>1743.4880000000001</v>
      </c>
      <c r="K1100" s="18" t="s">
        <v>30</v>
      </c>
      <c r="L1100" s="18" t="s">
        <v>44</v>
      </c>
      <c r="M1100" s="18" t="s">
        <v>32</v>
      </c>
      <c r="N1100" s="22">
        <f t="shared" si="102"/>
        <v>0.98044126855501101</v>
      </c>
      <c r="O1100" s="22">
        <f t="shared" si="103"/>
        <v>9.4672777819520604E-2</v>
      </c>
      <c r="P1100" s="23">
        <f t="shared" si="104"/>
        <v>2.1386279960928699E-2</v>
      </c>
      <c r="Q1100" s="23">
        <f t="shared" si="105"/>
        <v>0.22589682539682501</v>
      </c>
      <c r="R1100" s="22">
        <f t="shared" si="106"/>
        <v>0.91420440571970596</v>
      </c>
      <c r="S1100" s="22">
        <f t="shared" si="107"/>
        <v>1.9142044057197101</v>
      </c>
    </row>
    <row r="1101" spans="1:19">
      <c r="A1101" s="18" t="s">
        <v>1140</v>
      </c>
      <c r="B1101" s="18" t="s">
        <v>20</v>
      </c>
      <c r="C1101" s="18" t="s">
        <v>41</v>
      </c>
      <c r="D1101" s="19">
        <v>44845</v>
      </c>
      <c r="E1101" s="20">
        <v>45453</v>
      </c>
      <c r="F1101" s="21">
        <v>46112</v>
      </c>
      <c r="G1101" s="21">
        <v>3200</v>
      </c>
      <c r="H1101" s="21">
        <v>1139.2</v>
      </c>
      <c r="I1101" s="18">
        <v>4415.76</v>
      </c>
      <c r="J1101" s="18">
        <v>16234.4</v>
      </c>
      <c r="K1101" s="18" t="s">
        <v>65</v>
      </c>
      <c r="L1101" s="18" t="s">
        <v>23</v>
      </c>
      <c r="M1101" s="18" t="s">
        <v>32</v>
      </c>
      <c r="N1101" s="22">
        <f t="shared" si="102"/>
        <v>6.9396252602359501E-2</v>
      </c>
      <c r="O1101" s="22">
        <f t="shared" si="103"/>
        <v>0.35599999999999998</v>
      </c>
      <c r="P1101" s="23">
        <f t="shared" si="104"/>
        <v>1.3799250000000001</v>
      </c>
      <c r="Q1101" s="23">
        <f t="shared" si="105"/>
        <v>3.8761938202247199</v>
      </c>
      <c r="R1101" s="22">
        <f t="shared" si="106"/>
        <v>2.67646792398138</v>
      </c>
      <c r="S1101" s="22">
        <f t="shared" si="107"/>
        <v>3.67646792398138</v>
      </c>
    </row>
    <row r="1102" spans="1:19">
      <c r="A1102" s="18" t="s">
        <v>1141</v>
      </c>
      <c r="B1102" s="18" t="s">
        <v>28</v>
      </c>
      <c r="C1102" s="18" t="s">
        <v>41</v>
      </c>
      <c r="D1102" s="19">
        <v>44726</v>
      </c>
      <c r="E1102" s="20">
        <v>45328</v>
      </c>
      <c r="F1102" s="21">
        <v>27752</v>
      </c>
      <c r="G1102" s="21">
        <v>17224</v>
      </c>
      <c r="H1102" s="21">
        <v>4193.6000000000004</v>
      </c>
      <c r="I1102" s="18">
        <v>6056.2879999999996</v>
      </c>
      <c r="J1102" s="18">
        <v>10785.296</v>
      </c>
      <c r="K1102" s="18" t="s">
        <v>43</v>
      </c>
      <c r="L1102" s="18" t="s">
        <v>44</v>
      </c>
      <c r="M1102" s="18" t="s">
        <v>32</v>
      </c>
      <c r="N1102" s="22">
        <f t="shared" si="102"/>
        <v>0.62063995387719795</v>
      </c>
      <c r="O1102" s="22">
        <f t="shared" si="103"/>
        <v>0.243474222015792</v>
      </c>
      <c r="P1102" s="23">
        <f t="shared" si="104"/>
        <v>0.351619136089178</v>
      </c>
      <c r="Q1102" s="23">
        <f t="shared" si="105"/>
        <v>1.44417397939718</v>
      </c>
      <c r="R1102" s="22">
        <f t="shared" si="106"/>
        <v>0.78084265477467396</v>
      </c>
      <c r="S1102" s="22">
        <f t="shared" si="107"/>
        <v>1.7808426547746701</v>
      </c>
    </row>
    <row r="1103" spans="1:19">
      <c r="A1103" s="18" t="s">
        <v>1142</v>
      </c>
      <c r="B1103" s="18" t="s">
        <v>40</v>
      </c>
      <c r="C1103" s="18" t="s">
        <v>41</v>
      </c>
      <c r="D1103" s="19">
        <v>44817</v>
      </c>
      <c r="E1103" s="20">
        <v>45441</v>
      </c>
      <c r="F1103" s="21">
        <v>12435.2</v>
      </c>
      <c r="G1103" s="21">
        <v>1659.2</v>
      </c>
      <c r="H1103" s="21">
        <v>1392</v>
      </c>
      <c r="I1103" s="18">
        <v>4913.4399999999996</v>
      </c>
      <c r="J1103" s="18">
        <v>10386.912</v>
      </c>
      <c r="K1103" s="18" t="s">
        <v>38</v>
      </c>
      <c r="L1103" s="18" t="s">
        <v>35</v>
      </c>
      <c r="M1103" s="18" t="s">
        <v>32</v>
      </c>
      <c r="N1103" s="22">
        <f t="shared" si="102"/>
        <v>0.13342768914050401</v>
      </c>
      <c r="O1103" s="22">
        <f t="shared" si="103"/>
        <v>0.83895853423336497</v>
      </c>
      <c r="P1103" s="23">
        <f t="shared" si="104"/>
        <v>2.9613307618129201</v>
      </c>
      <c r="Q1103" s="23">
        <f t="shared" si="105"/>
        <v>3.5297701149425298</v>
      </c>
      <c r="R1103" s="22">
        <f t="shared" si="106"/>
        <v>1.11397961509655</v>
      </c>
      <c r="S1103" s="22">
        <f t="shared" si="107"/>
        <v>2.1139796150965502</v>
      </c>
    </row>
    <row r="1104" spans="1:19">
      <c r="A1104" s="18" t="s">
        <v>1143</v>
      </c>
      <c r="B1104" s="18" t="s">
        <v>20</v>
      </c>
      <c r="C1104" s="18" t="s">
        <v>29</v>
      </c>
      <c r="D1104" s="19">
        <v>44764</v>
      </c>
      <c r="E1104" s="20">
        <v>45394</v>
      </c>
      <c r="F1104" s="21">
        <v>39310.400000000001</v>
      </c>
      <c r="G1104" s="21">
        <v>11857.6</v>
      </c>
      <c r="H1104" s="21">
        <v>7116.8</v>
      </c>
      <c r="I1104" s="18">
        <v>4833.9359999999997</v>
      </c>
      <c r="J1104" s="18">
        <v>17180.16</v>
      </c>
      <c r="K1104" s="18" t="s">
        <v>43</v>
      </c>
      <c r="L1104" s="18" t="s">
        <v>31</v>
      </c>
      <c r="M1104" s="18" t="s">
        <v>32</v>
      </c>
      <c r="N1104" s="22">
        <f t="shared" si="102"/>
        <v>0.301640278399609</v>
      </c>
      <c r="O1104" s="22">
        <f t="shared" si="103"/>
        <v>0.60018890837943595</v>
      </c>
      <c r="P1104" s="23">
        <f t="shared" si="104"/>
        <v>0.40766563216839802</v>
      </c>
      <c r="Q1104" s="23">
        <f t="shared" si="105"/>
        <v>0.67922886690647499</v>
      </c>
      <c r="R1104" s="22">
        <f t="shared" si="106"/>
        <v>2.5540727059688</v>
      </c>
      <c r="S1104" s="22">
        <f t="shared" si="107"/>
        <v>3.5540727059688</v>
      </c>
    </row>
    <row r="1105" spans="1:19">
      <c r="A1105" s="18" t="s">
        <v>1144</v>
      </c>
      <c r="B1105" s="18" t="s">
        <v>28</v>
      </c>
      <c r="C1105" s="18" t="s">
        <v>29</v>
      </c>
      <c r="D1105" s="19">
        <v>44692</v>
      </c>
      <c r="E1105" s="20">
        <v>45305</v>
      </c>
      <c r="F1105" s="21">
        <v>45225.599999999999</v>
      </c>
      <c r="G1105" s="21">
        <v>43222.400000000001</v>
      </c>
      <c r="H1105" s="21">
        <v>9048</v>
      </c>
      <c r="I1105" s="18">
        <v>5580.0959999999995</v>
      </c>
      <c r="J1105" s="18">
        <v>12900.144</v>
      </c>
      <c r="K1105" s="18" t="s">
        <v>65</v>
      </c>
      <c r="L1105" s="18" t="s">
        <v>35</v>
      </c>
      <c r="M1105" s="18" t="s">
        <v>32</v>
      </c>
      <c r="N1105" s="22">
        <f t="shared" si="102"/>
        <v>0.95570650251185196</v>
      </c>
      <c r="O1105" s="22">
        <f t="shared" si="103"/>
        <v>0.20933589990375401</v>
      </c>
      <c r="P1105" s="23">
        <f t="shared" si="104"/>
        <v>0.12910194713852099</v>
      </c>
      <c r="Q1105" s="23">
        <f t="shared" si="105"/>
        <v>0.61672148541114102</v>
      </c>
      <c r="R1105" s="22">
        <f t="shared" si="106"/>
        <v>1.3118139902969399</v>
      </c>
      <c r="S1105" s="22">
        <f t="shared" si="107"/>
        <v>2.3118139902969399</v>
      </c>
    </row>
    <row r="1106" spans="1:19">
      <c r="A1106" s="18" t="s">
        <v>1145</v>
      </c>
      <c r="B1106" s="18" t="s">
        <v>34</v>
      </c>
      <c r="C1106" s="18" t="s">
        <v>21</v>
      </c>
      <c r="D1106" s="19">
        <v>44984</v>
      </c>
      <c r="E1106" s="20">
        <v>45596</v>
      </c>
      <c r="F1106" s="21">
        <v>47128</v>
      </c>
      <c r="G1106" s="21">
        <v>37840</v>
      </c>
      <c r="H1106" s="21">
        <v>23852.799999999999</v>
      </c>
      <c r="I1106" s="18">
        <v>3392.0639999999999</v>
      </c>
      <c r="J1106" s="18">
        <v>12316.575999999999</v>
      </c>
      <c r="K1106" s="18" t="s">
        <v>38</v>
      </c>
      <c r="L1106" s="18" t="s">
        <v>31</v>
      </c>
      <c r="M1106" s="18" t="s">
        <v>24</v>
      </c>
      <c r="N1106" s="22">
        <f t="shared" si="102"/>
        <v>0.80291970802919699</v>
      </c>
      <c r="O1106" s="22">
        <f t="shared" si="103"/>
        <v>0.63035940803382695</v>
      </c>
      <c r="P1106" s="23">
        <f t="shared" si="104"/>
        <v>8.9642283298097203E-2</v>
      </c>
      <c r="Q1106" s="23">
        <f t="shared" si="105"/>
        <v>0.14220821035685499</v>
      </c>
      <c r="R1106" s="22">
        <f t="shared" si="106"/>
        <v>2.6309975283485199</v>
      </c>
      <c r="S1106" s="22">
        <f t="shared" si="107"/>
        <v>3.6309975283485199</v>
      </c>
    </row>
    <row r="1107" spans="1:19">
      <c r="A1107" s="18" t="s">
        <v>1146</v>
      </c>
      <c r="B1107" s="18" t="s">
        <v>47</v>
      </c>
      <c r="C1107" s="18" t="s">
        <v>29</v>
      </c>
      <c r="D1107" s="19">
        <v>44760</v>
      </c>
      <c r="E1107" s="20">
        <v>45385</v>
      </c>
      <c r="F1107" s="21">
        <v>76937.600000000006</v>
      </c>
      <c r="G1107" s="21">
        <v>30947.200000000001</v>
      </c>
      <c r="H1107" s="21">
        <v>24328</v>
      </c>
      <c r="I1107" s="18">
        <v>6798.576</v>
      </c>
      <c r="J1107" s="18">
        <v>19398.768</v>
      </c>
      <c r="K1107" s="18" t="s">
        <v>65</v>
      </c>
      <c r="L1107" s="18" t="s">
        <v>23</v>
      </c>
      <c r="M1107" s="18" t="s">
        <v>32</v>
      </c>
      <c r="N1107" s="22">
        <f t="shared" si="102"/>
        <v>0.40223765753025797</v>
      </c>
      <c r="O1107" s="22">
        <f t="shared" si="103"/>
        <v>0.786113121704064</v>
      </c>
      <c r="P1107" s="23">
        <f t="shared" si="104"/>
        <v>0.21968307310516</v>
      </c>
      <c r="Q1107" s="23">
        <f t="shared" si="105"/>
        <v>0.27945478461032602</v>
      </c>
      <c r="R1107" s="22">
        <f t="shared" si="106"/>
        <v>1.85335752663499</v>
      </c>
      <c r="S1107" s="22">
        <f t="shared" si="107"/>
        <v>2.8533575266349902</v>
      </c>
    </row>
    <row r="1108" spans="1:19">
      <c r="A1108" s="18" t="s">
        <v>1147</v>
      </c>
      <c r="B1108" s="18" t="s">
        <v>26</v>
      </c>
      <c r="C1108" s="18" t="s">
        <v>48</v>
      </c>
      <c r="D1108" s="19">
        <v>44736</v>
      </c>
      <c r="E1108" s="20">
        <v>45352</v>
      </c>
      <c r="F1108" s="21">
        <v>28782.400000000001</v>
      </c>
      <c r="G1108" s="21">
        <v>2011.2</v>
      </c>
      <c r="H1108" s="21">
        <v>884.8</v>
      </c>
      <c r="I1108" s="18">
        <v>1724.32</v>
      </c>
      <c r="J1108" s="18">
        <v>6304.1760000000004</v>
      </c>
      <c r="K1108" s="18" t="s">
        <v>38</v>
      </c>
      <c r="L1108" s="18" t="s">
        <v>23</v>
      </c>
      <c r="M1108" s="18" t="s">
        <v>24</v>
      </c>
      <c r="N1108" s="22">
        <f t="shared" si="102"/>
        <v>6.9876035354939095E-2</v>
      </c>
      <c r="O1108" s="22">
        <f t="shared" si="103"/>
        <v>0.43993635640413697</v>
      </c>
      <c r="P1108" s="23">
        <f t="shared" si="104"/>
        <v>0.85735879077167898</v>
      </c>
      <c r="Q1108" s="23">
        <f t="shared" si="105"/>
        <v>1.9488245931283901</v>
      </c>
      <c r="R1108" s="22">
        <f t="shared" si="106"/>
        <v>2.65603600259813</v>
      </c>
      <c r="S1108" s="22">
        <f t="shared" si="107"/>
        <v>3.65603600259813</v>
      </c>
    </row>
    <row r="1109" spans="1:19">
      <c r="A1109" s="18" t="s">
        <v>1148</v>
      </c>
      <c r="B1109" s="18" t="s">
        <v>34</v>
      </c>
      <c r="C1109" s="18" t="s">
        <v>41</v>
      </c>
      <c r="D1109" s="19">
        <v>44763</v>
      </c>
      <c r="E1109" s="20">
        <v>45367</v>
      </c>
      <c r="F1109" s="21">
        <v>9897.6</v>
      </c>
      <c r="G1109" s="21">
        <v>8092.8</v>
      </c>
      <c r="H1109" s="21">
        <v>3449.6</v>
      </c>
      <c r="I1109" s="18">
        <v>4809.2</v>
      </c>
      <c r="J1109" s="18">
        <v>18186.72</v>
      </c>
      <c r="K1109" s="18" t="s">
        <v>30</v>
      </c>
      <c r="L1109" s="18" t="s">
        <v>35</v>
      </c>
      <c r="M1109" s="18" t="s">
        <v>24</v>
      </c>
      <c r="N1109" s="22">
        <f t="shared" si="102"/>
        <v>0.81765276430649902</v>
      </c>
      <c r="O1109" s="22">
        <f t="shared" si="103"/>
        <v>0.42625543693159401</v>
      </c>
      <c r="P1109" s="23">
        <f t="shared" si="104"/>
        <v>0.59425662317121397</v>
      </c>
      <c r="Q1109" s="23">
        <f t="shared" si="105"/>
        <v>1.3941326530612199</v>
      </c>
      <c r="R1109" s="22">
        <f t="shared" si="106"/>
        <v>2.7816518339848599</v>
      </c>
      <c r="S1109" s="22">
        <f t="shared" si="107"/>
        <v>3.7816518339848599</v>
      </c>
    </row>
    <row r="1110" spans="1:19">
      <c r="A1110" s="18" t="s">
        <v>1149</v>
      </c>
      <c r="B1110" s="18" t="s">
        <v>28</v>
      </c>
      <c r="C1110" s="18" t="s">
        <v>41</v>
      </c>
      <c r="D1110" s="19">
        <v>44919</v>
      </c>
      <c r="E1110" s="20">
        <v>45523</v>
      </c>
      <c r="F1110" s="21">
        <v>12235.2</v>
      </c>
      <c r="G1110" s="21">
        <v>10756.8</v>
      </c>
      <c r="H1110" s="21">
        <v>5481.6</v>
      </c>
      <c r="I1110" s="18">
        <v>5531.3440000000001</v>
      </c>
      <c r="J1110" s="18">
        <v>20998.544000000002</v>
      </c>
      <c r="K1110" s="18" t="s">
        <v>30</v>
      </c>
      <c r="L1110" s="18" t="s">
        <v>44</v>
      </c>
      <c r="M1110" s="18" t="s">
        <v>32</v>
      </c>
      <c r="N1110" s="22">
        <f t="shared" si="102"/>
        <v>0.87916830129462498</v>
      </c>
      <c r="O1110" s="22">
        <f t="shared" si="103"/>
        <v>0.50959393128067798</v>
      </c>
      <c r="P1110" s="23">
        <f t="shared" si="104"/>
        <v>0.51421835490108603</v>
      </c>
      <c r="Q1110" s="23">
        <f t="shared" si="105"/>
        <v>1.0090747227087</v>
      </c>
      <c r="R1110" s="22">
        <f t="shared" si="106"/>
        <v>2.7962824224998499</v>
      </c>
      <c r="S1110" s="22">
        <f t="shared" si="107"/>
        <v>3.7962824224998499</v>
      </c>
    </row>
    <row r="1111" spans="1:19">
      <c r="A1111" s="18" t="s">
        <v>1150</v>
      </c>
      <c r="B1111" s="18" t="s">
        <v>28</v>
      </c>
      <c r="C1111" s="18" t="s">
        <v>29</v>
      </c>
      <c r="D1111" s="19">
        <v>44859</v>
      </c>
      <c r="E1111" s="20">
        <v>45462</v>
      </c>
      <c r="F1111" s="21">
        <v>30195.200000000001</v>
      </c>
      <c r="G1111" s="21">
        <v>22448</v>
      </c>
      <c r="H1111" s="21">
        <v>1188.8</v>
      </c>
      <c r="I1111" s="18">
        <v>1928.2239999999999</v>
      </c>
      <c r="J1111" s="18">
        <v>5181.9520000000002</v>
      </c>
      <c r="K1111" s="18" t="s">
        <v>43</v>
      </c>
      <c r="L1111" s="18" t="s">
        <v>44</v>
      </c>
      <c r="M1111" s="18" t="s">
        <v>24</v>
      </c>
      <c r="N1111" s="22">
        <f t="shared" si="102"/>
        <v>0.74342941924544304</v>
      </c>
      <c r="O1111" s="22">
        <f t="shared" si="103"/>
        <v>5.2957947255880301E-2</v>
      </c>
      <c r="P1111" s="23">
        <f t="shared" si="104"/>
        <v>8.5897362794012805E-2</v>
      </c>
      <c r="Q1111" s="23">
        <f t="shared" si="105"/>
        <v>1.62199192462988</v>
      </c>
      <c r="R1111" s="22">
        <f t="shared" si="106"/>
        <v>1.68742220820818</v>
      </c>
      <c r="S1111" s="22">
        <f t="shared" si="107"/>
        <v>2.6874222082081798</v>
      </c>
    </row>
    <row r="1112" spans="1:19">
      <c r="A1112" s="18" t="s">
        <v>1151</v>
      </c>
      <c r="B1112" s="18" t="s">
        <v>47</v>
      </c>
      <c r="C1112" s="18" t="s">
        <v>21</v>
      </c>
      <c r="D1112" s="19">
        <v>44787</v>
      </c>
      <c r="E1112" s="20">
        <v>45413</v>
      </c>
      <c r="F1112" s="21">
        <v>39702.400000000001</v>
      </c>
      <c r="G1112" s="21">
        <v>27963.200000000001</v>
      </c>
      <c r="H1112" s="21">
        <v>19150.400000000001</v>
      </c>
      <c r="I1112" s="18">
        <v>1992.72</v>
      </c>
      <c r="J1112" s="18">
        <v>5747.6639999999998</v>
      </c>
      <c r="K1112" s="18" t="s">
        <v>30</v>
      </c>
      <c r="L1112" s="18" t="s">
        <v>50</v>
      </c>
      <c r="M1112" s="18" t="s">
        <v>32</v>
      </c>
      <c r="N1112" s="22">
        <f t="shared" si="102"/>
        <v>0.70432014185540404</v>
      </c>
      <c r="O1112" s="22">
        <f t="shared" si="103"/>
        <v>0.68484293643073801</v>
      </c>
      <c r="P1112" s="23">
        <f t="shared" si="104"/>
        <v>7.1262230359901604E-2</v>
      </c>
      <c r="Q1112" s="23">
        <f t="shared" si="105"/>
        <v>0.104056312139694</v>
      </c>
      <c r="R1112" s="22">
        <f t="shared" si="106"/>
        <v>1.88433096471155</v>
      </c>
      <c r="S1112" s="22">
        <f t="shared" si="107"/>
        <v>2.88433096471155</v>
      </c>
    </row>
    <row r="1113" spans="1:19">
      <c r="A1113" s="18" t="s">
        <v>1152</v>
      </c>
      <c r="B1113" s="18" t="s">
        <v>34</v>
      </c>
      <c r="C1113" s="18" t="s">
        <v>29</v>
      </c>
      <c r="D1113" s="19">
        <v>44788</v>
      </c>
      <c r="E1113" s="20">
        <v>45408</v>
      </c>
      <c r="F1113" s="21">
        <v>4270.3999999999996</v>
      </c>
      <c r="G1113" s="21">
        <v>2278.4</v>
      </c>
      <c r="H1113" s="21">
        <v>1139.2</v>
      </c>
      <c r="I1113" s="18">
        <v>2614.6239999999998</v>
      </c>
      <c r="J1113" s="18">
        <v>10365.744000000001</v>
      </c>
      <c r="K1113" s="18" t="s">
        <v>30</v>
      </c>
      <c r="L1113" s="18" t="s">
        <v>23</v>
      </c>
      <c r="M1113" s="18" t="s">
        <v>32</v>
      </c>
      <c r="N1113" s="22">
        <f t="shared" si="102"/>
        <v>0.53353315848632499</v>
      </c>
      <c r="O1113" s="22">
        <f t="shared" si="103"/>
        <v>0.5</v>
      </c>
      <c r="P1113" s="23">
        <f t="shared" si="104"/>
        <v>1.1475702247191</v>
      </c>
      <c r="Q1113" s="23">
        <f t="shared" si="105"/>
        <v>2.2951404494381999</v>
      </c>
      <c r="R1113" s="22">
        <f t="shared" si="106"/>
        <v>2.9645256832340001</v>
      </c>
      <c r="S1113" s="22">
        <f t="shared" si="107"/>
        <v>3.9645256832340001</v>
      </c>
    </row>
    <row r="1114" spans="1:19">
      <c r="A1114" s="18" t="s">
        <v>1153</v>
      </c>
      <c r="B1114" s="18" t="s">
        <v>40</v>
      </c>
      <c r="C1114" s="18" t="s">
        <v>41</v>
      </c>
      <c r="D1114" s="19">
        <v>44811</v>
      </c>
      <c r="E1114" s="20">
        <v>45423</v>
      </c>
      <c r="F1114" s="21">
        <v>11233.6</v>
      </c>
      <c r="G1114" s="21">
        <v>620.79999999999995</v>
      </c>
      <c r="H1114" s="21">
        <v>601.6</v>
      </c>
      <c r="I1114" s="18">
        <v>6850.9440000000004</v>
      </c>
      <c r="J1114" s="18">
        <v>25547.088</v>
      </c>
      <c r="K1114" s="18" t="s">
        <v>30</v>
      </c>
      <c r="L1114" s="18" t="s">
        <v>44</v>
      </c>
      <c r="M1114" s="18" t="s">
        <v>32</v>
      </c>
      <c r="N1114" s="22">
        <f t="shared" si="102"/>
        <v>5.5262783079333397E-2</v>
      </c>
      <c r="O1114" s="22">
        <f t="shared" si="103"/>
        <v>0.96907216494845405</v>
      </c>
      <c r="P1114" s="23">
        <f t="shared" si="104"/>
        <v>11.0356701030928</v>
      </c>
      <c r="Q1114" s="23">
        <f t="shared" si="105"/>
        <v>11.387872340425499</v>
      </c>
      <c r="R1114" s="22">
        <f t="shared" si="106"/>
        <v>2.7289880051566602</v>
      </c>
      <c r="S1114" s="22">
        <f t="shared" si="107"/>
        <v>3.7289880051566602</v>
      </c>
    </row>
    <row r="1115" spans="1:19">
      <c r="A1115" s="18" t="s">
        <v>1154</v>
      </c>
      <c r="B1115" s="18" t="s">
        <v>47</v>
      </c>
      <c r="C1115" s="18" t="s">
        <v>41</v>
      </c>
      <c r="D1115" s="19">
        <v>44973</v>
      </c>
      <c r="E1115" s="20">
        <v>45590</v>
      </c>
      <c r="F1115" s="21">
        <v>71260.800000000003</v>
      </c>
      <c r="G1115" s="21">
        <v>5640</v>
      </c>
      <c r="H1115" s="21">
        <v>3518.4</v>
      </c>
      <c r="I1115" s="18">
        <v>4022.3519999999999</v>
      </c>
      <c r="J1115" s="18">
        <v>12134.8</v>
      </c>
      <c r="K1115" s="18" t="s">
        <v>65</v>
      </c>
      <c r="L1115" s="18" t="s">
        <v>50</v>
      </c>
      <c r="M1115" s="18" t="s">
        <v>32</v>
      </c>
      <c r="N1115" s="22">
        <f t="shared" si="102"/>
        <v>7.9145897884952202E-2</v>
      </c>
      <c r="O1115" s="22">
        <f t="shared" si="103"/>
        <v>0.62382978723404303</v>
      </c>
      <c r="P1115" s="23">
        <f t="shared" si="104"/>
        <v>0.71318297872340397</v>
      </c>
      <c r="Q1115" s="23">
        <f t="shared" si="105"/>
        <v>1.14323328785812</v>
      </c>
      <c r="R1115" s="22">
        <f t="shared" si="106"/>
        <v>2.0168418875324701</v>
      </c>
      <c r="S1115" s="22">
        <f t="shared" si="107"/>
        <v>3.0168418875324701</v>
      </c>
    </row>
    <row r="1116" spans="1:19">
      <c r="A1116" s="18" t="s">
        <v>1155</v>
      </c>
      <c r="B1116" s="18" t="s">
        <v>40</v>
      </c>
      <c r="C1116" s="18" t="s">
        <v>29</v>
      </c>
      <c r="D1116" s="19">
        <v>44884</v>
      </c>
      <c r="E1116" s="20">
        <v>45514</v>
      </c>
      <c r="F1116" s="21">
        <v>29060.799999999999</v>
      </c>
      <c r="G1116" s="21">
        <v>5259.2</v>
      </c>
      <c r="H1116" s="21">
        <v>793.6</v>
      </c>
      <c r="I1116" s="18">
        <v>2724.5120000000002</v>
      </c>
      <c r="J1116" s="18">
        <v>9580.4320000000007</v>
      </c>
      <c r="K1116" s="18" t="s">
        <v>38</v>
      </c>
      <c r="L1116" s="18" t="s">
        <v>50</v>
      </c>
      <c r="M1116" s="18" t="s">
        <v>32</v>
      </c>
      <c r="N1116" s="22">
        <f t="shared" si="102"/>
        <v>0.18097230633705899</v>
      </c>
      <c r="O1116" s="22">
        <f t="shared" si="103"/>
        <v>0.15089747490112601</v>
      </c>
      <c r="P1116" s="23">
        <f t="shared" si="104"/>
        <v>0.51804685123212701</v>
      </c>
      <c r="Q1116" s="23">
        <f t="shared" si="105"/>
        <v>3.4331048387096801</v>
      </c>
      <c r="R1116" s="22">
        <f t="shared" si="106"/>
        <v>2.5163845855698201</v>
      </c>
      <c r="S1116" s="22">
        <f t="shared" si="107"/>
        <v>3.5163845855698201</v>
      </c>
    </row>
    <row r="1117" spans="1:19">
      <c r="A1117" s="18" t="s">
        <v>1156</v>
      </c>
      <c r="B1117" s="18" t="s">
        <v>26</v>
      </c>
      <c r="C1117" s="18" t="s">
        <v>48</v>
      </c>
      <c r="D1117" s="19">
        <v>44956</v>
      </c>
      <c r="E1117" s="20">
        <v>45563</v>
      </c>
      <c r="F1117" s="21">
        <v>76793.600000000006</v>
      </c>
      <c r="G1117" s="21">
        <v>20875.2</v>
      </c>
      <c r="H1117" s="21">
        <v>14270.4</v>
      </c>
      <c r="I1117" s="18">
        <v>4051.3760000000002</v>
      </c>
      <c r="J1117" s="18">
        <v>15380.448</v>
      </c>
      <c r="K1117" s="18" t="s">
        <v>43</v>
      </c>
      <c r="L1117" s="18" t="s">
        <v>35</v>
      </c>
      <c r="M1117" s="18" t="s">
        <v>32</v>
      </c>
      <c r="N1117" s="22">
        <f t="shared" si="102"/>
        <v>0.27183515292941102</v>
      </c>
      <c r="O1117" s="22">
        <f t="shared" si="103"/>
        <v>0.68360542653483602</v>
      </c>
      <c r="P1117" s="23">
        <f t="shared" si="104"/>
        <v>0.194076032804476</v>
      </c>
      <c r="Q1117" s="23">
        <f t="shared" si="105"/>
        <v>0.28390066150913801</v>
      </c>
      <c r="R1117" s="22">
        <f t="shared" si="106"/>
        <v>2.7963516592881001</v>
      </c>
      <c r="S1117" s="22">
        <f t="shared" si="107"/>
        <v>3.7963516592881001</v>
      </c>
    </row>
    <row r="1118" spans="1:19">
      <c r="A1118" s="18" t="s">
        <v>1157</v>
      </c>
      <c r="B1118" s="18" t="s">
        <v>26</v>
      </c>
      <c r="C1118" s="18" t="s">
        <v>41</v>
      </c>
      <c r="D1118" s="19">
        <v>44747</v>
      </c>
      <c r="E1118" s="20">
        <v>45374</v>
      </c>
      <c r="F1118" s="21">
        <v>58700.800000000003</v>
      </c>
      <c r="G1118" s="21">
        <v>32440</v>
      </c>
      <c r="H1118" s="21">
        <v>14907.2</v>
      </c>
      <c r="I1118" s="18">
        <v>4762.9440000000004</v>
      </c>
      <c r="J1118" s="18">
        <v>9170.0640000000003</v>
      </c>
      <c r="K1118" s="18" t="s">
        <v>43</v>
      </c>
      <c r="L1118" s="18" t="s">
        <v>31</v>
      </c>
      <c r="M1118" s="18" t="s">
        <v>24</v>
      </c>
      <c r="N1118" s="22">
        <f t="shared" si="102"/>
        <v>0.55263301351940697</v>
      </c>
      <c r="O1118" s="22">
        <f t="shared" si="103"/>
        <v>0.45953144266337898</v>
      </c>
      <c r="P1118" s="23">
        <f t="shared" si="104"/>
        <v>0.14682318125770699</v>
      </c>
      <c r="Q1118" s="23">
        <f t="shared" si="105"/>
        <v>0.319506278845122</v>
      </c>
      <c r="R1118" s="22">
        <f t="shared" si="106"/>
        <v>0.925293263998065</v>
      </c>
      <c r="S1118" s="22">
        <f t="shared" si="107"/>
        <v>1.92529326399806</v>
      </c>
    </row>
    <row r="1119" spans="1:19">
      <c r="A1119" s="18" t="s">
        <v>1158</v>
      </c>
      <c r="B1119" s="18" t="s">
        <v>40</v>
      </c>
      <c r="C1119" s="18" t="s">
        <v>48</v>
      </c>
      <c r="D1119" s="19">
        <v>44739</v>
      </c>
      <c r="E1119" s="20">
        <v>45356</v>
      </c>
      <c r="F1119" s="21">
        <v>33665.599999999999</v>
      </c>
      <c r="G1119" s="21">
        <v>25153.599999999999</v>
      </c>
      <c r="H1119" s="21">
        <v>24222.400000000001</v>
      </c>
      <c r="I1119" s="18">
        <v>7376.4319999999998</v>
      </c>
      <c r="J1119" s="18">
        <v>24800.704000000002</v>
      </c>
      <c r="K1119" s="18" t="s">
        <v>65</v>
      </c>
      <c r="L1119" s="18" t="s">
        <v>35</v>
      </c>
      <c r="M1119" s="18" t="s">
        <v>32</v>
      </c>
      <c r="N1119" s="22">
        <f t="shared" si="102"/>
        <v>0.747160306069103</v>
      </c>
      <c r="O1119" s="22">
        <f t="shared" si="103"/>
        <v>0.96297945423319098</v>
      </c>
      <c r="P1119" s="23">
        <f t="shared" si="104"/>
        <v>0.29325551809681299</v>
      </c>
      <c r="Q1119" s="23">
        <f t="shared" si="105"/>
        <v>0.30452936125239399</v>
      </c>
      <c r="R1119" s="22">
        <f t="shared" si="106"/>
        <v>2.3621544942053299</v>
      </c>
      <c r="S1119" s="22">
        <f t="shared" si="107"/>
        <v>3.3621544942053299</v>
      </c>
    </row>
    <row r="1120" spans="1:19">
      <c r="A1120" s="18" t="s">
        <v>1159</v>
      </c>
      <c r="B1120" s="18" t="s">
        <v>26</v>
      </c>
      <c r="C1120" s="18" t="s">
        <v>41</v>
      </c>
      <c r="D1120" s="19">
        <v>44825</v>
      </c>
      <c r="E1120" s="20">
        <v>45446</v>
      </c>
      <c r="F1120" s="21">
        <v>22292.799999999999</v>
      </c>
      <c r="G1120" s="21">
        <v>7953.6</v>
      </c>
      <c r="H1120" s="21">
        <v>710.4</v>
      </c>
      <c r="I1120" s="18">
        <v>6609.4560000000001</v>
      </c>
      <c r="J1120" s="18">
        <v>14385.904</v>
      </c>
      <c r="K1120" s="18" t="s">
        <v>38</v>
      </c>
      <c r="L1120" s="18" t="s">
        <v>31</v>
      </c>
      <c r="M1120" s="18" t="s">
        <v>32</v>
      </c>
      <c r="N1120" s="22">
        <f t="shared" si="102"/>
        <v>0.35677887030790201</v>
      </c>
      <c r="O1120" s="22">
        <f t="shared" si="103"/>
        <v>8.9318044659022294E-2</v>
      </c>
      <c r="P1120" s="23">
        <f t="shared" si="104"/>
        <v>0.83100181050090505</v>
      </c>
      <c r="Q1120" s="23">
        <f t="shared" si="105"/>
        <v>9.3038513513513497</v>
      </c>
      <c r="R1120" s="22">
        <f t="shared" si="106"/>
        <v>1.17656400163644</v>
      </c>
      <c r="S1120" s="22">
        <f t="shared" si="107"/>
        <v>2.1765640016364398</v>
      </c>
    </row>
    <row r="1121" spans="1:19">
      <c r="A1121" s="18" t="s">
        <v>1160</v>
      </c>
      <c r="B1121" s="18" t="s">
        <v>47</v>
      </c>
      <c r="C1121" s="18" t="s">
        <v>29</v>
      </c>
      <c r="D1121" s="19">
        <v>44786</v>
      </c>
      <c r="E1121" s="20">
        <v>45392</v>
      </c>
      <c r="F1121" s="21">
        <v>1872</v>
      </c>
      <c r="G1121" s="21">
        <v>720</v>
      </c>
      <c r="H1121" s="21">
        <v>312</v>
      </c>
      <c r="I1121" s="18">
        <v>7413.232</v>
      </c>
      <c r="J1121" s="18">
        <v>8975.6319999999996</v>
      </c>
      <c r="K1121" s="18" t="s">
        <v>22</v>
      </c>
      <c r="L1121" s="18" t="s">
        <v>50</v>
      </c>
      <c r="M1121" s="18" t="s">
        <v>32</v>
      </c>
      <c r="N1121" s="22">
        <f t="shared" si="102"/>
        <v>0.38461538461538503</v>
      </c>
      <c r="O1121" s="22">
        <f t="shared" si="103"/>
        <v>0.43333333333333302</v>
      </c>
      <c r="P1121" s="23">
        <f t="shared" si="104"/>
        <v>10.2961555555556</v>
      </c>
      <c r="Q1121" s="23">
        <f t="shared" si="105"/>
        <v>23.760358974359001</v>
      </c>
      <c r="R1121" s="22">
        <f t="shared" si="106"/>
        <v>0.21075827655198201</v>
      </c>
      <c r="S1121" s="22">
        <f t="shared" si="107"/>
        <v>1.21075827655198</v>
      </c>
    </row>
    <row r="1122" spans="1:19">
      <c r="A1122" s="18" t="s">
        <v>1161</v>
      </c>
      <c r="B1122" s="18" t="s">
        <v>34</v>
      </c>
      <c r="C1122" s="18" t="s">
        <v>48</v>
      </c>
      <c r="D1122" s="19">
        <v>44770</v>
      </c>
      <c r="E1122" s="20">
        <v>45388</v>
      </c>
      <c r="F1122" s="21">
        <v>58529.599999999999</v>
      </c>
      <c r="G1122" s="21">
        <v>32809.599999999999</v>
      </c>
      <c r="H1122" s="21">
        <v>13632</v>
      </c>
      <c r="I1122" s="18">
        <v>6754.192</v>
      </c>
      <c r="J1122" s="18">
        <v>21173.727999999999</v>
      </c>
      <c r="K1122" s="18" t="s">
        <v>38</v>
      </c>
      <c r="L1122" s="18" t="s">
        <v>31</v>
      </c>
      <c r="M1122" s="18" t="s">
        <v>32</v>
      </c>
      <c r="N1122" s="22">
        <f t="shared" si="102"/>
        <v>0.56056422733112798</v>
      </c>
      <c r="O1122" s="22">
        <f t="shared" si="103"/>
        <v>0.41548814980981202</v>
      </c>
      <c r="P1122" s="23">
        <f t="shared" si="104"/>
        <v>0.205860236028479</v>
      </c>
      <c r="Q1122" s="23">
        <f t="shared" si="105"/>
        <v>0.49546596244131502</v>
      </c>
      <c r="R1122" s="22">
        <f t="shared" si="106"/>
        <v>2.1349017025278498</v>
      </c>
      <c r="S1122" s="22">
        <f t="shared" si="107"/>
        <v>3.1349017025278498</v>
      </c>
    </row>
    <row r="1123" spans="1:19">
      <c r="A1123" s="18" t="s">
        <v>1162</v>
      </c>
      <c r="B1123" s="18" t="s">
        <v>40</v>
      </c>
      <c r="C1123" s="18" t="s">
        <v>29</v>
      </c>
      <c r="D1123" s="19">
        <v>44835</v>
      </c>
      <c r="E1123" s="20">
        <v>45440</v>
      </c>
      <c r="F1123" s="21">
        <v>30795.200000000001</v>
      </c>
      <c r="G1123" s="21">
        <v>10710.4</v>
      </c>
      <c r="H1123" s="21">
        <v>2865.6</v>
      </c>
      <c r="I1123" s="18">
        <v>1466.8320000000001</v>
      </c>
      <c r="J1123" s="18">
        <v>3075.6480000000001</v>
      </c>
      <c r="K1123" s="18" t="s">
        <v>43</v>
      </c>
      <c r="L1123" s="18" t="s">
        <v>44</v>
      </c>
      <c r="M1123" s="18" t="s">
        <v>24</v>
      </c>
      <c r="N1123" s="22">
        <f t="shared" si="102"/>
        <v>0.34779446147451498</v>
      </c>
      <c r="O1123" s="22">
        <f t="shared" si="103"/>
        <v>0.267553032566477</v>
      </c>
      <c r="P1123" s="23">
        <f t="shared" si="104"/>
        <v>0.13695398864654901</v>
      </c>
      <c r="Q1123" s="23">
        <f t="shared" si="105"/>
        <v>0.51187604690117305</v>
      </c>
      <c r="R1123" s="22">
        <f t="shared" si="106"/>
        <v>1.09679636113747</v>
      </c>
      <c r="S1123" s="22">
        <f t="shared" si="107"/>
        <v>2.09679636113747</v>
      </c>
    </row>
    <row r="1124" spans="1:19">
      <c r="A1124" s="18" t="s">
        <v>1163</v>
      </c>
      <c r="B1124" s="18" t="s">
        <v>34</v>
      </c>
      <c r="C1124" s="18" t="s">
        <v>41</v>
      </c>
      <c r="D1124" s="19">
        <v>44872</v>
      </c>
      <c r="E1124" s="20">
        <v>45473</v>
      </c>
      <c r="F1124" s="21">
        <v>24851.200000000001</v>
      </c>
      <c r="G1124" s="21">
        <v>9049.6</v>
      </c>
      <c r="H1124" s="21">
        <v>2803.2</v>
      </c>
      <c r="I1124" s="18">
        <v>3226.096</v>
      </c>
      <c r="J1124" s="18">
        <v>4313.9359999999997</v>
      </c>
      <c r="K1124" s="18" t="s">
        <v>22</v>
      </c>
      <c r="L1124" s="18" t="s">
        <v>35</v>
      </c>
      <c r="M1124" s="18" t="s">
        <v>32</v>
      </c>
      <c r="N1124" s="22">
        <f t="shared" si="102"/>
        <v>0.36415142930723698</v>
      </c>
      <c r="O1124" s="22">
        <f t="shared" si="103"/>
        <v>0.30975954738331002</v>
      </c>
      <c r="P1124" s="23">
        <f t="shared" si="104"/>
        <v>0.35649045261668999</v>
      </c>
      <c r="Q1124" s="23">
        <f t="shared" si="105"/>
        <v>1.1508618721461199</v>
      </c>
      <c r="R1124" s="22">
        <f t="shared" si="106"/>
        <v>0.33720013291606898</v>
      </c>
      <c r="S1124" s="22">
        <f t="shared" si="107"/>
        <v>1.3372001329160701</v>
      </c>
    </row>
    <row r="1125" spans="1:19">
      <c r="A1125" s="18" t="s">
        <v>1164</v>
      </c>
      <c r="B1125" s="18" t="s">
        <v>28</v>
      </c>
      <c r="C1125" s="18" t="s">
        <v>21</v>
      </c>
      <c r="D1125" s="19">
        <v>44837</v>
      </c>
      <c r="E1125" s="20">
        <v>45444</v>
      </c>
      <c r="F1125" s="21">
        <v>71929.600000000006</v>
      </c>
      <c r="G1125" s="21">
        <v>40915.199999999997</v>
      </c>
      <c r="H1125" s="21">
        <v>21105.599999999999</v>
      </c>
      <c r="I1125" s="18">
        <v>3896.2080000000001</v>
      </c>
      <c r="J1125" s="18">
        <v>5435.4560000000001</v>
      </c>
      <c r="K1125" s="18" t="s">
        <v>43</v>
      </c>
      <c r="L1125" s="18" t="s">
        <v>35</v>
      </c>
      <c r="M1125" s="18" t="s">
        <v>24</v>
      </c>
      <c r="N1125" s="22">
        <f t="shared" si="102"/>
        <v>0.56882284900791902</v>
      </c>
      <c r="O1125" s="22">
        <f t="shared" si="103"/>
        <v>0.51583763491318602</v>
      </c>
      <c r="P1125" s="23">
        <f t="shared" si="104"/>
        <v>9.5226419521351496E-2</v>
      </c>
      <c r="Q1125" s="23">
        <f t="shared" si="105"/>
        <v>0.18460541278144199</v>
      </c>
      <c r="R1125" s="22">
        <f t="shared" si="106"/>
        <v>0.39506309724737498</v>
      </c>
      <c r="S1125" s="22">
        <f t="shared" si="107"/>
        <v>1.3950630972473701</v>
      </c>
    </row>
    <row r="1126" spans="1:19">
      <c r="A1126" s="18" t="s">
        <v>1165</v>
      </c>
      <c r="B1126" s="18" t="s">
        <v>40</v>
      </c>
      <c r="C1126" s="18" t="s">
        <v>29</v>
      </c>
      <c r="D1126" s="19">
        <v>44770</v>
      </c>
      <c r="E1126" s="20">
        <v>45374</v>
      </c>
      <c r="F1126" s="21">
        <v>31388.799999999999</v>
      </c>
      <c r="G1126" s="21">
        <v>30726.400000000001</v>
      </c>
      <c r="H1126" s="21">
        <v>29468.799999999999</v>
      </c>
      <c r="I1126" s="18">
        <v>3549.6959999999999</v>
      </c>
      <c r="J1126" s="18">
        <v>5398.3360000000002</v>
      </c>
      <c r="K1126" s="18" t="s">
        <v>43</v>
      </c>
      <c r="L1126" s="18" t="s">
        <v>50</v>
      </c>
      <c r="M1126" s="18" t="s">
        <v>24</v>
      </c>
      <c r="N1126" s="22">
        <f t="shared" si="102"/>
        <v>0.97889693138954004</v>
      </c>
      <c r="O1126" s="22">
        <f t="shared" si="103"/>
        <v>0.95907102686940204</v>
      </c>
      <c r="P1126" s="23">
        <f t="shared" si="104"/>
        <v>0.11552593209747999</v>
      </c>
      <c r="Q1126" s="23">
        <f t="shared" si="105"/>
        <v>0.12045607557823899</v>
      </c>
      <c r="R1126" s="22">
        <f t="shared" si="106"/>
        <v>0.52078825905091597</v>
      </c>
      <c r="S1126" s="22">
        <f t="shared" si="107"/>
        <v>1.5207882590509201</v>
      </c>
    </row>
    <row r="1127" spans="1:19">
      <c r="A1127" s="18" t="s">
        <v>1166</v>
      </c>
      <c r="B1127" s="18" t="s">
        <v>26</v>
      </c>
      <c r="C1127" s="18" t="s">
        <v>21</v>
      </c>
      <c r="D1127" s="19">
        <v>44903</v>
      </c>
      <c r="E1127" s="20">
        <v>45524</v>
      </c>
      <c r="F1127" s="21">
        <v>2516.8000000000002</v>
      </c>
      <c r="G1127" s="21">
        <v>2512</v>
      </c>
      <c r="H1127" s="21">
        <v>816</v>
      </c>
      <c r="I1127" s="18">
        <v>5078.3360000000002</v>
      </c>
      <c r="J1127" s="18">
        <v>9717.616</v>
      </c>
      <c r="K1127" s="18" t="s">
        <v>65</v>
      </c>
      <c r="L1127" s="18" t="s">
        <v>31</v>
      </c>
      <c r="M1127" s="18" t="s">
        <v>32</v>
      </c>
      <c r="N1127" s="22">
        <f t="shared" si="102"/>
        <v>0.99809281627463398</v>
      </c>
      <c r="O1127" s="22">
        <f t="shared" si="103"/>
        <v>0.32484076433121001</v>
      </c>
      <c r="P1127" s="23">
        <f t="shared" si="104"/>
        <v>2.0216305732484101</v>
      </c>
      <c r="Q1127" s="23">
        <f t="shared" si="105"/>
        <v>6.22345098039216</v>
      </c>
      <c r="R1127" s="22">
        <f t="shared" si="106"/>
        <v>0.91354333387944398</v>
      </c>
      <c r="S1127" s="22">
        <f t="shared" si="107"/>
        <v>1.9135433338794401</v>
      </c>
    </row>
    <row r="1128" spans="1:19">
      <c r="A1128" s="18" t="s">
        <v>1167</v>
      </c>
      <c r="B1128" s="18" t="s">
        <v>26</v>
      </c>
      <c r="C1128" s="18" t="s">
        <v>29</v>
      </c>
      <c r="D1128" s="19">
        <v>44703</v>
      </c>
      <c r="E1128" s="20">
        <v>45321</v>
      </c>
      <c r="F1128" s="21">
        <v>18609.599999999999</v>
      </c>
      <c r="G1128" s="21">
        <v>14702.4</v>
      </c>
      <c r="H1128" s="21">
        <v>1332.8</v>
      </c>
      <c r="I1128" s="18">
        <v>614.06399999999996</v>
      </c>
      <c r="J1128" s="18">
        <v>912.36800000000005</v>
      </c>
      <c r="K1128" s="18" t="s">
        <v>43</v>
      </c>
      <c r="L1128" s="18" t="s">
        <v>50</v>
      </c>
      <c r="M1128" s="18" t="s">
        <v>32</v>
      </c>
      <c r="N1128" s="22">
        <f t="shared" si="102"/>
        <v>0.790043848336343</v>
      </c>
      <c r="O1128" s="22">
        <f t="shared" si="103"/>
        <v>9.0651866361954506E-2</v>
      </c>
      <c r="P1128" s="23">
        <f t="shared" si="104"/>
        <v>4.1766242246163897E-2</v>
      </c>
      <c r="Q1128" s="23">
        <f t="shared" si="105"/>
        <v>0.460732292917167</v>
      </c>
      <c r="R1128" s="22">
        <f t="shared" si="106"/>
        <v>0.48578649782433098</v>
      </c>
      <c r="S1128" s="22">
        <f t="shared" si="107"/>
        <v>1.48578649782433</v>
      </c>
    </row>
    <row r="1129" spans="1:19">
      <c r="A1129" s="18" t="s">
        <v>1168</v>
      </c>
      <c r="B1129" s="18" t="s">
        <v>28</v>
      </c>
      <c r="C1129" s="18" t="s">
        <v>21</v>
      </c>
      <c r="D1129" s="19">
        <v>44701</v>
      </c>
      <c r="E1129" s="20">
        <v>45313</v>
      </c>
      <c r="F1129" s="21">
        <v>76385.600000000006</v>
      </c>
      <c r="G1129" s="21">
        <v>3795.2</v>
      </c>
      <c r="H1129" s="21">
        <v>756.8</v>
      </c>
      <c r="I1129" s="18">
        <v>4155.76</v>
      </c>
      <c r="J1129" s="18">
        <v>4987.5680000000002</v>
      </c>
      <c r="K1129" s="18" t="s">
        <v>65</v>
      </c>
      <c r="L1129" s="18" t="s">
        <v>50</v>
      </c>
      <c r="M1129" s="18" t="s">
        <v>32</v>
      </c>
      <c r="N1129" s="22">
        <f t="shared" si="102"/>
        <v>4.9684757336461299E-2</v>
      </c>
      <c r="O1129" s="22">
        <f t="shared" si="103"/>
        <v>0.199409780775717</v>
      </c>
      <c r="P1129" s="23">
        <f t="shared" si="104"/>
        <v>1.0950042158516</v>
      </c>
      <c r="Q1129" s="23">
        <f t="shared" si="105"/>
        <v>5.4912262156448204</v>
      </c>
      <c r="R1129" s="22">
        <f t="shared" si="106"/>
        <v>0.20015785319652701</v>
      </c>
      <c r="S1129" s="22">
        <f t="shared" si="107"/>
        <v>1.20015785319653</v>
      </c>
    </row>
    <row r="1130" spans="1:19">
      <c r="A1130" s="18" t="s">
        <v>1169</v>
      </c>
      <c r="B1130" s="18" t="s">
        <v>20</v>
      </c>
      <c r="C1130" s="18" t="s">
        <v>41</v>
      </c>
      <c r="D1130" s="19">
        <v>44779</v>
      </c>
      <c r="E1130" s="20">
        <v>45404</v>
      </c>
      <c r="F1130" s="21">
        <v>11185.6</v>
      </c>
      <c r="G1130" s="21">
        <v>2662.4</v>
      </c>
      <c r="H1130" s="21">
        <v>2198.4</v>
      </c>
      <c r="I1130" s="18">
        <v>2826.8159999999998</v>
      </c>
      <c r="J1130" s="18">
        <v>5732.24</v>
      </c>
      <c r="K1130" s="18" t="s">
        <v>30</v>
      </c>
      <c r="L1130" s="18" t="s">
        <v>23</v>
      </c>
      <c r="M1130" s="18" t="s">
        <v>24</v>
      </c>
      <c r="N1130" s="22">
        <f t="shared" si="102"/>
        <v>0.23802031182949501</v>
      </c>
      <c r="O1130" s="22">
        <f t="shared" si="103"/>
        <v>0.82572115384615397</v>
      </c>
      <c r="P1130" s="23">
        <f t="shared" si="104"/>
        <v>1.06175480769231</v>
      </c>
      <c r="Q1130" s="23">
        <f t="shared" si="105"/>
        <v>1.28585152838428</v>
      </c>
      <c r="R1130" s="22">
        <f t="shared" si="106"/>
        <v>1.02780796486223</v>
      </c>
      <c r="S1130" s="22">
        <f t="shared" si="107"/>
        <v>2.0278079648622298</v>
      </c>
    </row>
    <row r="1131" spans="1:19">
      <c r="A1131" s="18" t="s">
        <v>1170</v>
      </c>
      <c r="B1131" s="18" t="s">
        <v>26</v>
      </c>
      <c r="C1131" s="18" t="s">
        <v>48</v>
      </c>
      <c r="D1131" s="19">
        <v>44926</v>
      </c>
      <c r="E1131" s="20">
        <v>45539</v>
      </c>
      <c r="F1131" s="21">
        <v>11217.6</v>
      </c>
      <c r="G1131" s="21">
        <v>5590.4</v>
      </c>
      <c r="H1131" s="21">
        <v>4900.8</v>
      </c>
      <c r="I1131" s="18">
        <v>5336.7359999999999</v>
      </c>
      <c r="J1131" s="18">
        <v>17139.919999999998</v>
      </c>
      <c r="K1131" s="18" t="s">
        <v>43</v>
      </c>
      <c r="L1131" s="18" t="s">
        <v>35</v>
      </c>
      <c r="M1131" s="18" t="s">
        <v>32</v>
      </c>
      <c r="N1131" s="22">
        <f t="shared" si="102"/>
        <v>0.49835972043930998</v>
      </c>
      <c r="O1131" s="22">
        <f t="shared" si="103"/>
        <v>0.87664567830566698</v>
      </c>
      <c r="P1131" s="23">
        <f t="shared" si="104"/>
        <v>0.954625071551231</v>
      </c>
      <c r="Q1131" s="23">
        <f t="shared" si="105"/>
        <v>1.08895200783546</v>
      </c>
      <c r="R1131" s="22">
        <f t="shared" si="106"/>
        <v>2.2116859443674901</v>
      </c>
      <c r="S1131" s="22">
        <f t="shared" si="107"/>
        <v>3.2116859443674901</v>
      </c>
    </row>
    <row r="1132" spans="1:19">
      <c r="A1132" s="18" t="s">
        <v>1171</v>
      </c>
      <c r="B1132" s="18" t="s">
        <v>47</v>
      </c>
      <c r="C1132" s="18" t="s">
        <v>41</v>
      </c>
      <c r="D1132" s="19">
        <v>44708</v>
      </c>
      <c r="E1132" s="20">
        <v>45311</v>
      </c>
      <c r="F1132" s="21">
        <v>70985.600000000006</v>
      </c>
      <c r="G1132" s="21">
        <v>36587.199999999997</v>
      </c>
      <c r="H1132" s="21">
        <v>14828.8</v>
      </c>
      <c r="I1132" s="18">
        <v>6979.5680000000002</v>
      </c>
      <c r="J1132" s="18">
        <v>8500.24</v>
      </c>
      <c r="K1132" s="18" t="s">
        <v>43</v>
      </c>
      <c r="L1132" s="18" t="s">
        <v>35</v>
      </c>
      <c r="M1132" s="18" t="s">
        <v>24</v>
      </c>
      <c r="N1132" s="22">
        <f t="shared" si="102"/>
        <v>0.51541721137808205</v>
      </c>
      <c r="O1132" s="22">
        <f t="shared" si="103"/>
        <v>0.405300214282591</v>
      </c>
      <c r="P1132" s="23">
        <f t="shared" si="104"/>
        <v>0.19076529496654601</v>
      </c>
      <c r="Q1132" s="23">
        <f t="shared" si="105"/>
        <v>0.47067652136383298</v>
      </c>
      <c r="R1132" s="22">
        <f t="shared" si="106"/>
        <v>0.21787480256657701</v>
      </c>
      <c r="S1132" s="22">
        <f t="shared" si="107"/>
        <v>1.21787480256658</v>
      </c>
    </row>
    <row r="1133" spans="1:19">
      <c r="A1133" s="18" t="s">
        <v>1172</v>
      </c>
      <c r="B1133" s="18" t="s">
        <v>28</v>
      </c>
      <c r="C1133" s="18" t="s">
        <v>41</v>
      </c>
      <c r="D1133" s="19">
        <v>44984</v>
      </c>
      <c r="E1133" s="20">
        <v>45596</v>
      </c>
      <c r="F1133" s="21">
        <v>38448</v>
      </c>
      <c r="G1133" s="21">
        <v>7963.2</v>
      </c>
      <c r="H1133" s="21">
        <v>7056</v>
      </c>
      <c r="I1133" s="18">
        <v>320.20800000000003</v>
      </c>
      <c r="J1133" s="18">
        <v>640.24</v>
      </c>
      <c r="K1133" s="18" t="s">
        <v>43</v>
      </c>
      <c r="L1133" s="18" t="s">
        <v>23</v>
      </c>
      <c r="M1133" s="18" t="s">
        <v>32</v>
      </c>
      <c r="N1133" s="22">
        <f t="shared" si="102"/>
        <v>0.20711610486891399</v>
      </c>
      <c r="O1133" s="22">
        <f t="shared" si="103"/>
        <v>0.886075949367089</v>
      </c>
      <c r="P1133" s="23">
        <f t="shared" si="104"/>
        <v>4.0210970464135E-2</v>
      </c>
      <c r="Q1133" s="23">
        <f t="shared" si="105"/>
        <v>4.5380952380952397E-2</v>
      </c>
      <c r="R1133" s="22">
        <f t="shared" si="106"/>
        <v>0.99945035726777598</v>
      </c>
      <c r="S1133" s="22">
        <f t="shared" si="107"/>
        <v>1.99945035726778</v>
      </c>
    </row>
    <row r="1134" spans="1:19">
      <c r="A1134" s="18" t="s">
        <v>1173</v>
      </c>
      <c r="B1134" s="18" t="s">
        <v>28</v>
      </c>
      <c r="C1134" s="18" t="s">
        <v>48</v>
      </c>
      <c r="D1134" s="19">
        <v>44754</v>
      </c>
      <c r="E1134" s="20">
        <v>45370</v>
      </c>
      <c r="F1134" s="21">
        <v>66500.800000000003</v>
      </c>
      <c r="G1134" s="21">
        <v>48235.199999999997</v>
      </c>
      <c r="H1134" s="21">
        <v>13905.6</v>
      </c>
      <c r="I1134" s="18">
        <v>5179.3599999999997</v>
      </c>
      <c r="J1134" s="18">
        <v>15055.824000000001</v>
      </c>
      <c r="K1134" s="18" t="s">
        <v>22</v>
      </c>
      <c r="L1134" s="18" t="s">
        <v>23</v>
      </c>
      <c r="M1134" s="18" t="s">
        <v>32</v>
      </c>
      <c r="N1134" s="22">
        <f t="shared" si="102"/>
        <v>0.72533262757741301</v>
      </c>
      <c r="O1134" s="22">
        <f t="shared" si="103"/>
        <v>0.28828739178027701</v>
      </c>
      <c r="P1134" s="23">
        <f t="shared" si="104"/>
        <v>0.107377185126215</v>
      </c>
      <c r="Q1134" s="23">
        <f t="shared" si="105"/>
        <v>0.37246576918651503</v>
      </c>
      <c r="R1134" s="22">
        <f t="shared" si="106"/>
        <v>1.90688888202403</v>
      </c>
      <c r="S1134" s="22">
        <f t="shared" si="107"/>
        <v>2.9068888820240302</v>
      </c>
    </row>
    <row r="1135" spans="1:19">
      <c r="A1135" s="18" t="s">
        <v>1174</v>
      </c>
      <c r="B1135" s="18" t="s">
        <v>20</v>
      </c>
      <c r="C1135" s="18" t="s">
        <v>21</v>
      </c>
      <c r="D1135" s="19">
        <v>44934</v>
      </c>
      <c r="E1135" s="20">
        <v>45556</v>
      </c>
      <c r="F1135" s="21">
        <v>60590.400000000001</v>
      </c>
      <c r="G1135" s="21">
        <v>11220.8</v>
      </c>
      <c r="H1135" s="21">
        <v>2585.6</v>
      </c>
      <c r="I1135" s="18">
        <v>1175.7919999999999</v>
      </c>
      <c r="J1135" s="18">
        <v>4456.3680000000004</v>
      </c>
      <c r="K1135" s="18" t="s">
        <v>38</v>
      </c>
      <c r="L1135" s="18" t="s">
        <v>35</v>
      </c>
      <c r="M1135" s="18" t="s">
        <v>32</v>
      </c>
      <c r="N1135" s="22">
        <f t="shared" si="102"/>
        <v>0.18519105336819</v>
      </c>
      <c r="O1135" s="22">
        <f t="shared" si="103"/>
        <v>0.230429202908883</v>
      </c>
      <c r="P1135" s="23">
        <f t="shared" si="104"/>
        <v>0.10478682446884401</v>
      </c>
      <c r="Q1135" s="23">
        <f t="shared" si="105"/>
        <v>0.45474628712871301</v>
      </c>
      <c r="R1135" s="22">
        <f t="shared" si="106"/>
        <v>2.79009892906228</v>
      </c>
      <c r="S1135" s="22">
        <f t="shared" si="107"/>
        <v>3.79009892906228</v>
      </c>
    </row>
    <row r="1136" spans="1:19">
      <c r="A1136" s="18" t="s">
        <v>1175</v>
      </c>
      <c r="B1136" s="18" t="s">
        <v>47</v>
      </c>
      <c r="C1136" s="18" t="s">
        <v>41</v>
      </c>
      <c r="D1136" s="19">
        <v>44937</v>
      </c>
      <c r="E1136" s="20">
        <v>45549</v>
      </c>
      <c r="F1136" s="21">
        <v>35097.599999999999</v>
      </c>
      <c r="G1136" s="21">
        <v>24424</v>
      </c>
      <c r="H1136" s="21">
        <v>2304</v>
      </c>
      <c r="I1136" s="18">
        <v>3796.6880000000001</v>
      </c>
      <c r="J1136" s="18">
        <v>6193.44</v>
      </c>
      <c r="K1136" s="18" t="s">
        <v>30</v>
      </c>
      <c r="L1136" s="18" t="s">
        <v>44</v>
      </c>
      <c r="M1136" s="18" t="s">
        <v>32</v>
      </c>
      <c r="N1136" s="22">
        <f t="shared" si="102"/>
        <v>0.69588803792851905</v>
      </c>
      <c r="O1136" s="22">
        <f t="shared" si="103"/>
        <v>9.4333442515558502E-2</v>
      </c>
      <c r="P1136" s="23">
        <f t="shared" si="104"/>
        <v>0.15544906649197501</v>
      </c>
      <c r="Q1136" s="23">
        <f t="shared" si="105"/>
        <v>1.64786805555556</v>
      </c>
      <c r="R1136" s="22">
        <f t="shared" si="106"/>
        <v>0.63127441601732903</v>
      </c>
      <c r="S1136" s="22">
        <f t="shared" si="107"/>
        <v>1.63127441601733</v>
      </c>
    </row>
    <row r="1137" spans="1:19">
      <c r="A1137" s="18" t="s">
        <v>1176</v>
      </c>
      <c r="B1137" s="18" t="s">
        <v>34</v>
      </c>
      <c r="C1137" s="18" t="s">
        <v>48</v>
      </c>
      <c r="D1137" s="19">
        <v>44742</v>
      </c>
      <c r="E1137" s="20">
        <v>45363</v>
      </c>
      <c r="F1137" s="21">
        <v>12363.2</v>
      </c>
      <c r="G1137" s="21">
        <v>5864</v>
      </c>
      <c r="H1137" s="21">
        <v>3662.4</v>
      </c>
      <c r="I1137" s="18">
        <v>3698.768</v>
      </c>
      <c r="J1137" s="18">
        <v>8255.3279999999995</v>
      </c>
      <c r="K1137" s="18" t="s">
        <v>38</v>
      </c>
      <c r="L1137" s="18" t="s">
        <v>31</v>
      </c>
      <c r="M1137" s="18" t="s">
        <v>24</v>
      </c>
      <c r="N1137" s="22">
        <f t="shared" si="102"/>
        <v>0.474310858030283</v>
      </c>
      <c r="O1137" s="22">
        <f t="shared" si="103"/>
        <v>0.62455661664392903</v>
      </c>
      <c r="P1137" s="23">
        <f t="shared" si="104"/>
        <v>0.63075852660300102</v>
      </c>
      <c r="Q1137" s="23">
        <f t="shared" si="105"/>
        <v>1.0099301004805601</v>
      </c>
      <c r="R1137" s="22">
        <f t="shared" si="106"/>
        <v>1.2319128964022601</v>
      </c>
      <c r="S1137" s="22">
        <f t="shared" si="107"/>
        <v>2.2319128964022599</v>
      </c>
    </row>
    <row r="1138" spans="1:19">
      <c r="A1138" s="18" t="s">
        <v>1177</v>
      </c>
      <c r="B1138" s="18" t="s">
        <v>28</v>
      </c>
      <c r="C1138" s="18" t="s">
        <v>21</v>
      </c>
      <c r="D1138" s="19">
        <v>44981</v>
      </c>
      <c r="E1138" s="20">
        <v>45607</v>
      </c>
      <c r="F1138" s="21">
        <v>73436.800000000003</v>
      </c>
      <c r="G1138" s="21">
        <v>29355.200000000001</v>
      </c>
      <c r="H1138" s="21">
        <v>15539.2</v>
      </c>
      <c r="I1138" s="18">
        <v>1471.3920000000001</v>
      </c>
      <c r="J1138" s="18">
        <v>4743.5839999999998</v>
      </c>
      <c r="K1138" s="18" t="s">
        <v>30</v>
      </c>
      <c r="L1138" s="18" t="s">
        <v>50</v>
      </c>
      <c r="M1138" s="18" t="s">
        <v>32</v>
      </c>
      <c r="N1138" s="22">
        <f t="shared" si="102"/>
        <v>0.39973419321103298</v>
      </c>
      <c r="O1138" s="22">
        <f t="shared" si="103"/>
        <v>0.52935084755000805</v>
      </c>
      <c r="P1138" s="23">
        <f t="shared" si="104"/>
        <v>5.0123725949746602E-2</v>
      </c>
      <c r="Q1138" s="23">
        <f t="shared" si="105"/>
        <v>9.4689044481054405E-2</v>
      </c>
      <c r="R1138" s="22">
        <f t="shared" si="106"/>
        <v>2.2238750788369099</v>
      </c>
      <c r="S1138" s="22">
        <f t="shared" si="107"/>
        <v>3.2238750788369099</v>
      </c>
    </row>
    <row r="1139" spans="1:19">
      <c r="A1139" s="18" t="s">
        <v>1178</v>
      </c>
      <c r="B1139" s="18" t="s">
        <v>26</v>
      </c>
      <c r="C1139" s="18" t="s">
        <v>21</v>
      </c>
      <c r="D1139" s="19">
        <v>44968</v>
      </c>
      <c r="E1139" s="20">
        <v>45588</v>
      </c>
      <c r="F1139" s="21">
        <v>75825.600000000006</v>
      </c>
      <c r="G1139" s="21">
        <v>9809.6</v>
      </c>
      <c r="H1139" s="21">
        <v>5478.4</v>
      </c>
      <c r="I1139" s="18">
        <v>4073.616</v>
      </c>
      <c r="J1139" s="18">
        <v>15881.936</v>
      </c>
      <c r="K1139" s="18" t="s">
        <v>65</v>
      </c>
      <c r="L1139" s="18" t="s">
        <v>35</v>
      </c>
      <c r="M1139" s="18" t="s">
        <v>24</v>
      </c>
      <c r="N1139" s="22">
        <f t="shared" si="102"/>
        <v>0.129370555590724</v>
      </c>
      <c r="O1139" s="22">
        <f t="shared" si="103"/>
        <v>0.55847333224596296</v>
      </c>
      <c r="P1139" s="23">
        <f t="shared" si="104"/>
        <v>0.415268308595661</v>
      </c>
      <c r="Q1139" s="23">
        <f t="shared" si="105"/>
        <v>0.74357768691588799</v>
      </c>
      <c r="R1139" s="22">
        <f t="shared" si="106"/>
        <v>2.8987317410379401</v>
      </c>
      <c r="S1139" s="22">
        <f t="shared" si="107"/>
        <v>3.8987317410379401</v>
      </c>
    </row>
    <row r="1140" spans="1:19">
      <c r="A1140" s="18" t="s">
        <v>1179</v>
      </c>
      <c r="B1140" s="18" t="s">
        <v>28</v>
      </c>
      <c r="C1140" s="18" t="s">
        <v>48</v>
      </c>
      <c r="D1140" s="19">
        <v>44859</v>
      </c>
      <c r="E1140" s="20">
        <v>45467</v>
      </c>
      <c r="F1140" s="21">
        <v>25014.400000000001</v>
      </c>
      <c r="G1140" s="21">
        <v>1403.2</v>
      </c>
      <c r="H1140" s="21">
        <v>462.4</v>
      </c>
      <c r="I1140" s="18">
        <v>5725.1040000000003</v>
      </c>
      <c r="J1140" s="18">
        <v>20173.808000000001</v>
      </c>
      <c r="K1140" s="18" t="s">
        <v>38</v>
      </c>
      <c r="L1140" s="18" t="s">
        <v>50</v>
      </c>
      <c r="M1140" s="18" t="s">
        <v>24</v>
      </c>
      <c r="N1140" s="22">
        <f t="shared" si="102"/>
        <v>5.60956888832033E-2</v>
      </c>
      <c r="O1140" s="22">
        <f t="shared" si="103"/>
        <v>0.32953249714937299</v>
      </c>
      <c r="P1140" s="23">
        <f t="shared" si="104"/>
        <v>4.0800342075256602</v>
      </c>
      <c r="Q1140" s="23">
        <f t="shared" si="105"/>
        <v>12.3812802768166</v>
      </c>
      <c r="R1140" s="22">
        <f t="shared" si="106"/>
        <v>2.5237452455012201</v>
      </c>
      <c r="S1140" s="22">
        <f t="shared" si="107"/>
        <v>3.5237452455012201</v>
      </c>
    </row>
    <row r="1141" spans="1:19">
      <c r="A1141" s="18" t="s">
        <v>1180</v>
      </c>
      <c r="B1141" s="18" t="s">
        <v>40</v>
      </c>
      <c r="C1141" s="18" t="s">
        <v>21</v>
      </c>
      <c r="D1141" s="19">
        <v>44862</v>
      </c>
      <c r="E1141" s="20">
        <v>45491</v>
      </c>
      <c r="F1141" s="21">
        <v>7345.6</v>
      </c>
      <c r="G1141" s="21">
        <v>6537.6</v>
      </c>
      <c r="H1141" s="21">
        <v>5457.6</v>
      </c>
      <c r="I1141" s="18">
        <v>5527.84</v>
      </c>
      <c r="J1141" s="18">
        <v>8957.0239999999994</v>
      </c>
      <c r="K1141" s="18" t="s">
        <v>43</v>
      </c>
      <c r="L1141" s="18" t="s">
        <v>35</v>
      </c>
      <c r="M1141" s="18" t="s">
        <v>32</v>
      </c>
      <c r="N1141" s="22">
        <f t="shared" si="102"/>
        <v>0.89000217817468996</v>
      </c>
      <c r="O1141" s="22">
        <f t="shared" si="103"/>
        <v>0.83480176211453705</v>
      </c>
      <c r="P1141" s="23">
        <f t="shared" si="104"/>
        <v>0.84554576603034703</v>
      </c>
      <c r="Q1141" s="23">
        <f t="shared" si="105"/>
        <v>1.01287012606274</v>
      </c>
      <c r="R1141" s="22">
        <f t="shared" si="106"/>
        <v>0.620347911661698</v>
      </c>
      <c r="S1141" s="22">
        <f t="shared" si="107"/>
        <v>1.6203479116616999</v>
      </c>
    </row>
    <row r="1142" spans="1:19">
      <c r="A1142" s="18" t="s">
        <v>1181</v>
      </c>
      <c r="B1142" s="18" t="s">
        <v>28</v>
      </c>
      <c r="C1142" s="18" t="s">
        <v>48</v>
      </c>
      <c r="D1142" s="19">
        <v>44824</v>
      </c>
      <c r="E1142" s="20">
        <v>45428</v>
      </c>
      <c r="F1142" s="21">
        <v>6134.4</v>
      </c>
      <c r="G1142" s="21">
        <v>3001.6</v>
      </c>
      <c r="H1142" s="21">
        <v>1737.6</v>
      </c>
      <c r="I1142" s="18">
        <v>1602.2239999999999</v>
      </c>
      <c r="J1142" s="18">
        <v>4026.16</v>
      </c>
      <c r="K1142" s="18" t="s">
        <v>30</v>
      </c>
      <c r="L1142" s="18" t="s">
        <v>35</v>
      </c>
      <c r="M1142" s="18" t="s">
        <v>32</v>
      </c>
      <c r="N1142" s="22">
        <f t="shared" si="102"/>
        <v>0.48930620761606702</v>
      </c>
      <c r="O1142" s="22">
        <f t="shared" si="103"/>
        <v>0.57889125799573604</v>
      </c>
      <c r="P1142" s="23">
        <f t="shared" si="104"/>
        <v>0.53378997867803801</v>
      </c>
      <c r="Q1142" s="23">
        <f t="shared" si="105"/>
        <v>0.92209023941068102</v>
      </c>
      <c r="R1142" s="22">
        <f t="shared" si="106"/>
        <v>1.51285712859126</v>
      </c>
      <c r="S1142" s="22">
        <f t="shared" si="107"/>
        <v>2.5128571285912602</v>
      </c>
    </row>
    <row r="1143" spans="1:19">
      <c r="A1143" s="18" t="s">
        <v>1182</v>
      </c>
      <c r="B1143" s="18" t="s">
        <v>28</v>
      </c>
      <c r="C1143" s="18" t="s">
        <v>41</v>
      </c>
      <c r="D1143" s="19">
        <v>44849</v>
      </c>
      <c r="E1143" s="20">
        <v>45471</v>
      </c>
      <c r="F1143" s="21">
        <v>60172.800000000003</v>
      </c>
      <c r="G1143" s="21">
        <v>50553.599999999999</v>
      </c>
      <c r="H1143" s="21">
        <v>21224</v>
      </c>
      <c r="I1143" s="18">
        <v>6091.4080000000004</v>
      </c>
      <c r="J1143" s="18">
        <v>17870.511999999999</v>
      </c>
      <c r="K1143" s="18" t="s">
        <v>65</v>
      </c>
      <c r="L1143" s="18" t="s">
        <v>35</v>
      </c>
      <c r="M1143" s="18" t="s">
        <v>24</v>
      </c>
      <c r="N1143" s="22">
        <f t="shared" si="102"/>
        <v>0.84014039566049803</v>
      </c>
      <c r="O1143" s="22">
        <f t="shared" si="103"/>
        <v>0.41983162425623499</v>
      </c>
      <c r="P1143" s="23">
        <f t="shared" si="104"/>
        <v>0.120494049879732</v>
      </c>
      <c r="Q1143" s="23">
        <f t="shared" si="105"/>
        <v>0.28700565397663003</v>
      </c>
      <c r="R1143" s="22">
        <f t="shared" si="106"/>
        <v>1.9337243540409701</v>
      </c>
      <c r="S1143" s="22">
        <f t="shared" si="107"/>
        <v>2.9337243540409701</v>
      </c>
    </row>
    <row r="1144" spans="1:19">
      <c r="A1144" s="18" t="s">
        <v>1183</v>
      </c>
      <c r="B1144" s="18" t="s">
        <v>26</v>
      </c>
      <c r="C1144" s="18" t="s">
        <v>29</v>
      </c>
      <c r="D1144" s="19">
        <v>44724</v>
      </c>
      <c r="E1144" s="20">
        <v>45338</v>
      </c>
      <c r="F1144" s="21">
        <v>76046.399999999994</v>
      </c>
      <c r="G1144" s="21">
        <v>42115.199999999997</v>
      </c>
      <c r="H1144" s="21">
        <v>39124.800000000003</v>
      </c>
      <c r="I1144" s="18">
        <v>5523.7120000000004</v>
      </c>
      <c r="J1144" s="18">
        <v>11384.672</v>
      </c>
      <c r="K1144" s="18" t="s">
        <v>38</v>
      </c>
      <c r="L1144" s="18" t="s">
        <v>50</v>
      </c>
      <c r="M1144" s="18" t="s">
        <v>24</v>
      </c>
      <c r="N1144" s="22">
        <f t="shared" si="102"/>
        <v>0.55380925329798603</v>
      </c>
      <c r="O1144" s="22">
        <f t="shared" si="103"/>
        <v>0.92899475723729197</v>
      </c>
      <c r="P1144" s="23">
        <f t="shared" si="104"/>
        <v>0.13115720689917201</v>
      </c>
      <c r="Q1144" s="23">
        <f t="shared" si="105"/>
        <v>0.141181859076596</v>
      </c>
      <c r="R1144" s="22">
        <f t="shared" si="106"/>
        <v>1.0610545951707799</v>
      </c>
      <c r="S1144" s="22">
        <f t="shared" si="107"/>
        <v>2.0610545951707802</v>
      </c>
    </row>
    <row r="1145" spans="1:19">
      <c r="A1145" s="18" t="s">
        <v>1184</v>
      </c>
      <c r="B1145" s="18" t="s">
        <v>47</v>
      </c>
      <c r="C1145" s="18" t="s">
        <v>48</v>
      </c>
      <c r="D1145" s="19">
        <v>44913</v>
      </c>
      <c r="E1145" s="20">
        <v>45533</v>
      </c>
      <c r="F1145" s="21">
        <v>39164.800000000003</v>
      </c>
      <c r="G1145" s="21">
        <v>17302.400000000001</v>
      </c>
      <c r="H1145" s="21">
        <v>14324.8</v>
      </c>
      <c r="I1145" s="18">
        <v>5307.4880000000003</v>
      </c>
      <c r="J1145" s="18">
        <v>11731.984</v>
      </c>
      <c r="K1145" s="18" t="s">
        <v>65</v>
      </c>
      <c r="L1145" s="18" t="s">
        <v>23</v>
      </c>
      <c r="M1145" s="18" t="s">
        <v>24</v>
      </c>
      <c r="N1145" s="22">
        <f t="shared" si="102"/>
        <v>0.44178445951466599</v>
      </c>
      <c r="O1145" s="22">
        <f t="shared" si="103"/>
        <v>0.82790826706121701</v>
      </c>
      <c r="P1145" s="23">
        <f t="shared" si="104"/>
        <v>0.30674865914555199</v>
      </c>
      <c r="Q1145" s="23">
        <f t="shared" si="105"/>
        <v>0.37051044342678402</v>
      </c>
      <c r="R1145" s="22">
        <f t="shared" si="106"/>
        <v>1.21045888375066</v>
      </c>
      <c r="S1145" s="22">
        <f t="shared" si="107"/>
        <v>2.2104588837506598</v>
      </c>
    </row>
    <row r="1146" spans="1:19">
      <c r="A1146" s="18" t="s">
        <v>1185</v>
      </c>
      <c r="B1146" s="18" t="s">
        <v>28</v>
      </c>
      <c r="C1146" s="18" t="s">
        <v>48</v>
      </c>
      <c r="D1146" s="19">
        <v>44985</v>
      </c>
      <c r="E1146" s="20">
        <v>45600</v>
      </c>
      <c r="F1146" s="21">
        <v>57598.400000000001</v>
      </c>
      <c r="G1146" s="21">
        <v>32275.200000000001</v>
      </c>
      <c r="H1146" s="21">
        <v>28168</v>
      </c>
      <c r="I1146" s="18">
        <v>1084.5440000000001</v>
      </c>
      <c r="J1146" s="18">
        <v>1557.3440000000001</v>
      </c>
      <c r="K1146" s="18" t="s">
        <v>22</v>
      </c>
      <c r="L1146" s="18" t="s">
        <v>50</v>
      </c>
      <c r="M1146" s="18" t="s">
        <v>32</v>
      </c>
      <c r="N1146" s="22">
        <f t="shared" si="102"/>
        <v>0.56034889858051595</v>
      </c>
      <c r="O1146" s="22">
        <f t="shared" si="103"/>
        <v>0.87274439817568905</v>
      </c>
      <c r="P1146" s="23">
        <f t="shared" si="104"/>
        <v>3.3603014078921301E-2</v>
      </c>
      <c r="Q1146" s="23">
        <f t="shared" si="105"/>
        <v>3.8502698097131499E-2</v>
      </c>
      <c r="R1146" s="22">
        <f t="shared" si="106"/>
        <v>0.43594358550690399</v>
      </c>
      <c r="S1146" s="22">
        <f t="shared" si="107"/>
        <v>1.4359435855069</v>
      </c>
    </row>
    <row r="1147" spans="1:19">
      <c r="A1147" s="18" t="s">
        <v>1186</v>
      </c>
      <c r="B1147" s="18" t="s">
        <v>20</v>
      </c>
      <c r="C1147" s="18" t="s">
        <v>48</v>
      </c>
      <c r="D1147" s="19">
        <v>44948</v>
      </c>
      <c r="E1147" s="20">
        <v>45561</v>
      </c>
      <c r="F1147" s="21">
        <v>41091.199999999997</v>
      </c>
      <c r="G1147" s="21">
        <v>22860.799999999999</v>
      </c>
      <c r="H1147" s="21">
        <v>11779.2</v>
      </c>
      <c r="I1147" s="18">
        <v>2836.5439999999999</v>
      </c>
      <c r="J1147" s="18">
        <v>6530.5919999999996</v>
      </c>
      <c r="K1147" s="18" t="s">
        <v>65</v>
      </c>
      <c r="L1147" s="18" t="s">
        <v>23</v>
      </c>
      <c r="M1147" s="18" t="s">
        <v>32</v>
      </c>
      <c r="N1147" s="22">
        <f t="shared" si="102"/>
        <v>0.55634296394361804</v>
      </c>
      <c r="O1147" s="22">
        <f t="shared" si="103"/>
        <v>0.51525755879059398</v>
      </c>
      <c r="P1147" s="23">
        <f t="shared" si="104"/>
        <v>0.124078947368421</v>
      </c>
      <c r="Q1147" s="23">
        <f t="shared" si="105"/>
        <v>0.240809562618854</v>
      </c>
      <c r="R1147" s="22">
        <f t="shared" si="106"/>
        <v>1.3023059046501699</v>
      </c>
      <c r="S1147" s="22">
        <f t="shared" si="107"/>
        <v>2.3023059046501699</v>
      </c>
    </row>
    <row r="1148" spans="1:19">
      <c r="A1148" s="18" t="s">
        <v>1187</v>
      </c>
      <c r="B1148" s="18" t="s">
        <v>20</v>
      </c>
      <c r="C1148" s="18" t="s">
        <v>41</v>
      </c>
      <c r="D1148" s="19">
        <v>44840</v>
      </c>
      <c r="E1148" s="20">
        <v>45456</v>
      </c>
      <c r="F1148" s="21">
        <v>27193.599999999999</v>
      </c>
      <c r="G1148" s="21">
        <v>20020.8</v>
      </c>
      <c r="H1148" s="21">
        <v>1971.2</v>
      </c>
      <c r="I1148" s="18">
        <v>3121.4560000000001</v>
      </c>
      <c r="J1148" s="18">
        <v>11005.28</v>
      </c>
      <c r="K1148" s="18" t="s">
        <v>43</v>
      </c>
      <c r="L1148" s="18" t="s">
        <v>23</v>
      </c>
      <c r="M1148" s="18" t="s">
        <v>32</v>
      </c>
      <c r="N1148" s="22">
        <f t="shared" si="102"/>
        <v>0.73623205460108299</v>
      </c>
      <c r="O1148" s="22">
        <f t="shared" si="103"/>
        <v>9.8457604091744602E-2</v>
      </c>
      <c r="P1148" s="23">
        <f t="shared" si="104"/>
        <v>0.15591065292096201</v>
      </c>
      <c r="Q1148" s="23">
        <f t="shared" si="105"/>
        <v>1.58353084415584</v>
      </c>
      <c r="R1148" s="22">
        <f t="shared" si="106"/>
        <v>2.52568801226094</v>
      </c>
      <c r="S1148" s="22">
        <f t="shared" si="107"/>
        <v>3.52568801226094</v>
      </c>
    </row>
    <row r="1149" spans="1:19">
      <c r="A1149" s="18" t="s">
        <v>1188</v>
      </c>
      <c r="B1149" s="18" t="s">
        <v>20</v>
      </c>
      <c r="C1149" s="18" t="s">
        <v>48</v>
      </c>
      <c r="D1149" s="19">
        <v>44786</v>
      </c>
      <c r="E1149" s="20">
        <v>45403</v>
      </c>
      <c r="F1149" s="21">
        <v>33672</v>
      </c>
      <c r="G1149" s="21">
        <v>3944</v>
      </c>
      <c r="H1149" s="21">
        <v>438.4</v>
      </c>
      <c r="I1149" s="18">
        <v>5863.0559999999996</v>
      </c>
      <c r="J1149" s="18">
        <v>21305.599999999999</v>
      </c>
      <c r="K1149" s="18" t="s">
        <v>43</v>
      </c>
      <c r="L1149" s="18" t="s">
        <v>35</v>
      </c>
      <c r="M1149" s="18" t="s">
        <v>24</v>
      </c>
      <c r="N1149" s="22">
        <f t="shared" si="102"/>
        <v>0.11712995961035901</v>
      </c>
      <c r="O1149" s="22">
        <f t="shared" si="103"/>
        <v>0.11115618661257599</v>
      </c>
      <c r="P1149" s="23">
        <f t="shared" si="104"/>
        <v>1.4865760649087201</v>
      </c>
      <c r="Q1149" s="23">
        <f t="shared" si="105"/>
        <v>13.3737591240876</v>
      </c>
      <c r="R1149" s="22">
        <f t="shared" si="106"/>
        <v>2.6338728471977801</v>
      </c>
      <c r="S1149" s="22">
        <f t="shared" si="107"/>
        <v>3.6338728471977801</v>
      </c>
    </row>
    <row r="1150" spans="1:19">
      <c r="A1150" s="18" t="s">
        <v>1189</v>
      </c>
      <c r="B1150" s="18" t="s">
        <v>40</v>
      </c>
      <c r="C1150" s="18" t="s">
        <v>41</v>
      </c>
      <c r="D1150" s="19">
        <v>44758</v>
      </c>
      <c r="E1150" s="20">
        <v>45376</v>
      </c>
      <c r="F1150" s="21">
        <v>16555.2</v>
      </c>
      <c r="G1150" s="21">
        <v>16081.6</v>
      </c>
      <c r="H1150" s="21">
        <v>14668.8</v>
      </c>
      <c r="I1150" s="18">
        <v>630.72</v>
      </c>
      <c r="J1150" s="18">
        <v>1008.6079999999999</v>
      </c>
      <c r="K1150" s="18" t="s">
        <v>30</v>
      </c>
      <c r="L1150" s="18" t="s">
        <v>50</v>
      </c>
      <c r="M1150" s="18" t="s">
        <v>32</v>
      </c>
      <c r="N1150" s="22">
        <f t="shared" si="102"/>
        <v>0.97139267420508402</v>
      </c>
      <c r="O1150" s="22">
        <f t="shared" si="103"/>
        <v>0.91214804497065005</v>
      </c>
      <c r="P1150" s="23">
        <f t="shared" si="104"/>
        <v>3.92199781116307E-2</v>
      </c>
      <c r="Q1150" s="23">
        <f t="shared" si="105"/>
        <v>4.2997382198952903E-2</v>
      </c>
      <c r="R1150" s="22">
        <f t="shared" si="106"/>
        <v>0.59913749365804103</v>
      </c>
      <c r="S1150" s="22">
        <f t="shared" si="107"/>
        <v>1.59913749365804</v>
      </c>
    </row>
    <row r="1151" spans="1:19">
      <c r="A1151" s="18" t="s">
        <v>1190</v>
      </c>
      <c r="B1151" s="18" t="s">
        <v>34</v>
      </c>
      <c r="C1151" s="18" t="s">
        <v>29</v>
      </c>
      <c r="D1151" s="19">
        <v>44844</v>
      </c>
      <c r="E1151" s="20">
        <v>45472</v>
      </c>
      <c r="F1151" s="21">
        <v>30737.599999999999</v>
      </c>
      <c r="G1151" s="21">
        <v>27819.200000000001</v>
      </c>
      <c r="H1151" s="21">
        <v>22347.200000000001</v>
      </c>
      <c r="I1151" s="18">
        <v>2898.4</v>
      </c>
      <c r="J1151" s="18">
        <v>9933.3439999999991</v>
      </c>
      <c r="K1151" s="18" t="s">
        <v>22</v>
      </c>
      <c r="L1151" s="18" t="s">
        <v>50</v>
      </c>
      <c r="M1151" s="18" t="s">
        <v>32</v>
      </c>
      <c r="N1151" s="22">
        <f t="shared" si="102"/>
        <v>0.90505439591900505</v>
      </c>
      <c r="O1151" s="22">
        <f t="shared" si="103"/>
        <v>0.80330131707597596</v>
      </c>
      <c r="P1151" s="23">
        <f t="shared" si="104"/>
        <v>0.104187036291482</v>
      </c>
      <c r="Q1151" s="23">
        <f t="shared" si="105"/>
        <v>0.12969857521300199</v>
      </c>
      <c r="R1151" s="22">
        <f t="shared" si="106"/>
        <v>2.4271818934584601</v>
      </c>
      <c r="S1151" s="22">
        <f t="shared" si="107"/>
        <v>3.4271818934584601</v>
      </c>
    </row>
    <row r="1152" spans="1:19">
      <c r="A1152" s="18" t="s">
        <v>1191</v>
      </c>
      <c r="B1152" s="18" t="s">
        <v>20</v>
      </c>
      <c r="C1152" s="18" t="s">
        <v>29</v>
      </c>
      <c r="D1152" s="19">
        <v>44773</v>
      </c>
      <c r="E1152" s="20">
        <v>45393</v>
      </c>
      <c r="F1152" s="21">
        <v>31220.799999999999</v>
      </c>
      <c r="G1152" s="21">
        <v>23148.799999999999</v>
      </c>
      <c r="H1152" s="21">
        <v>16798.400000000001</v>
      </c>
      <c r="I1152" s="18">
        <v>4806.5919999999996</v>
      </c>
      <c r="J1152" s="18">
        <v>14088.24</v>
      </c>
      <c r="K1152" s="18" t="s">
        <v>30</v>
      </c>
      <c r="L1152" s="18" t="s">
        <v>31</v>
      </c>
      <c r="M1152" s="18" t="s">
        <v>24</v>
      </c>
      <c r="N1152" s="22">
        <f t="shared" si="102"/>
        <v>0.74145441500538101</v>
      </c>
      <c r="O1152" s="22">
        <f t="shared" si="103"/>
        <v>0.72567044512026502</v>
      </c>
      <c r="P1152" s="23">
        <f t="shared" si="104"/>
        <v>0.207638927287808</v>
      </c>
      <c r="Q1152" s="23">
        <f t="shared" si="105"/>
        <v>0.28613391751595402</v>
      </c>
      <c r="R1152" s="22">
        <f t="shared" si="106"/>
        <v>1.9310247260429001</v>
      </c>
      <c r="S1152" s="22">
        <f t="shared" si="107"/>
        <v>2.9310247260428999</v>
      </c>
    </row>
    <row r="1153" spans="1:19">
      <c r="A1153" s="18" t="s">
        <v>1192</v>
      </c>
      <c r="B1153" s="18" t="s">
        <v>47</v>
      </c>
      <c r="C1153" s="18" t="s">
        <v>41</v>
      </c>
      <c r="D1153" s="19">
        <v>44845</v>
      </c>
      <c r="E1153" s="20">
        <v>45471</v>
      </c>
      <c r="F1153" s="21">
        <v>11336</v>
      </c>
      <c r="G1153" s="21">
        <v>7753.6</v>
      </c>
      <c r="H1153" s="21">
        <v>411.2</v>
      </c>
      <c r="I1153" s="18">
        <v>1171.904</v>
      </c>
      <c r="J1153" s="18">
        <v>1775.3119999999999</v>
      </c>
      <c r="K1153" s="18" t="s">
        <v>65</v>
      </c>
      <c r="L1153" s="18" t="s">
        <v>50</v>
      </c>
      <c r="M1153" s="18" t="s">
        <v>32</v>
      </c>
      <c r="N1153" s="22">
        <f t="shared" si="102"/>
        <v>0.68398023994354296</v>
      </c>
      <c r="O1153" s="22">
        <f t="shared" si="103"/>
        <v>5.3033429632686799E-2</v>
      </c>
      <c r="P1153" s="23">
        <f t="shared" si="104"/>
        <v>0.151143210895584</v>
      </c>
      <c r="Q1153" s="23">
        <f t="shared" si="105"/>
        <v>2.84996108949416</v>
      </c>
      <c r="R1153" s="22">
        <f t="shared" si="106"/>
        <v>0.51489541805472105</v>
      </c>
      <c r="S1153" s="22">
        <f t="shared" si="107"/>
        <v>1.5148954180547201</v>
      </c>
    </row>
    <row r="1154" spans="1:19">
      <c r="A1154" s="18" t="s">
        <v>1193</v>
      </c>
      <c r="B1154" s="18" t="s">
        <v>28</v>
      </c>
      <c r="C1154" s="18" t="s">
        <v>48</v>
      </c>
      <c r="D1154" s="19">
        <v>44767</v>
      </c>
      <c r="E1154" s="20">
        <v>45393</v>
      </c>
      <c r="F1154" s="21">
        <v>16673.599999999999</v>
      </c>
      <c r="G1154" s="21">
        <v>5816</v>
      </c>
      <c r="H1154" s="21">
        <v>3680</v>
      </c>
      <c r="I1154" s="18">
        <v>3717.1680000000001</v>
      </c>
      <c r="J1154" s="18">
        <v>10960.304</v>
      </c>
      <c r="K1154" s="18" t="s">
        <v>38</v>
      </c>
      <c r="L1154" s="18" t="s">
        <v>31</v>
      </c>
      <c r="M1154" s="18" t="s">
        <v>32</v>
      </c>
      <c r="N1154" s="22">
        <f t="shared" ref="N1154:N1217" si="108">G1154/F1154</f>
        <v>0.34881489300451002</v>
      </c>
      <c r="O1154" s="22">
        <f t="shared" ref="O1154:O1217" si="109">H1154/G1154</f>
        <v>0.63273727647867894</v>
      </c>
      <c r="P1154" s="23">
        <f t="shared" ref="P1154:P1217" si="110">I1154/G1154</f>
        <v>0.63912792297111398</v>
      </c>
      <c r="Q1154" s="23">
        <f t="shared" ref="Q1154:Q1217" si="111">I1154/H1154</f>
        <v>1.0101</v>
      </c>
      <c r="R1154" s="22">
        <f t="shared" ref="R1154:R1217" si="112">(J1154-I1154)/I1154</f>
        <v>1.9485629920412499</v>
      </c>
      <c r="S1154" s="22">
        <f t="shared" ref="S1154:S1217" si="113">J1154/I1154</f>
        <v>2.9485629920412499</v>
      </c>
    </row>
    <row r="1155" spans="1:19">
      <c r="A1155" s="18" t="s">
        <v>1194</v>
      </c>
      <c r="B1155" s="18" t="s">
        <v>47</v>
      </c>
      <c r="C1155" s="18" t="s">
        <v>21</v>
      </c>
      <c r="D1155" s="19">
        <v>44701</v>
      </c>
      <c r="E1155" s="20">
        <v>45302</v>
      </c>
      <c r="F1155" s="21">
        <v>14070.4</v>
      </c>
      <c r="G1155" s="21">
        <v>12710.4</v>
      </c>
      <c r="H1155" s="21">
        <v>1899.2</v>
      </c>
      <c r="I1155" s="18">
        <v>6175.3440000000001</v>
      </c>
      <c r="J1155" s="18">
        <v>18200.495999999999</v>
      </c>
      <c r="K1155" s="18" t="s">
        <v>43</v>
      </c>
      <c r="L1155" s="18" t="s">
        <v>44</v>
      </c>
      <c r="M1155" s="18" t="s">
        <v>24</v>
      </c>
      <c r="N1155" s="22">
        <f t="shared" si="108"/>
        <v>0.90334318853763895</v>
      </c>
      <c r="O1155" s="22">
        <f t="shared" si="109"/>
        <v>0.149420946626385</v>
      </c>
      <c r="P1155" s="23">
        <f t="shared" si="110"/>
        <v>0.485849697885196</v>
      </c>
      <c r="Q1155" s="23">
        <f t="shared" si="111"/>
        <v>3.2515501263690001</v>
      </c>
      <c r="R1155" s="22">
        <f t="shared" si="112"/>
        <v>1.9472845561316099</v>
      </c>
      <c r="S1155" s="22">
        <f t="shared" si="113"/>
        <v>2.9472845561316099</v>
      </c>
    </row>
    <row r="1156" spans="1:19">
      <c r="A1156" s="18" t="s">
        <v>1195</v>
      </c>
      <c r="B1156" s="18" t="s">
        <v>34</v>
      </c>
      <c r="C1156" s="18" t="s">
        <v>48</v>
      </c>
      <c r="D1156" s="19">
        <v>44958</v>
      </c>
      <c r="E1156" s="20">
        <v>45570</v>
      </c>
      <c r="F1156" s="21">
        <v>3288</v>
      </c>
      <c r="G1156" s="21">
        <v>1011.2</v>
      </c>
      <c r="H1156" s="21">
        <v>492.8</v>
      </c>
      <c r="I1156" s="18">
        <v>7543.7280000000001</v>
      </c>
      <c r="J1156" s="18">
        <v>24731.360000000001</v>
      </c>
      <c r="K1156" s="18" t="s">
        <v>43</v>
      </c>
      <c r="L1156" s="18" t="s">
        <v>50</v>
      </c>
      <c r="M1156" s="18" t="s">
        <v>24</v>
      </c>
      <c r="N1156" s="22">
        <f t="shared" si="108"/>
        <v>0.30754257907542598</v>
      </c>
      <c r="O1156" s="22">
        <f t="shared" si="109"/>
        <v>0.487341772151899</v>
      </c>
      <c r="P1156" s="23">
        <f t="shared" si="110"/>
        <v>7.4601740506329097</v>
      </c>
      <c r="Q1156" s="23">
        <f t="shared" si="111"/>
        <v>15.3078896103896</v>
      </c>
      <c r="R1156" s="22">
        <f t="shared" si="112"/>
        <v>2.27840028166445</v>
      </c>
      <c r="S1156" s="22">
        <f t="shared" si="113"/>
        <v>3.27840028166445</v>
      </c>
    </row>
    <row r="1157" spans="1:19">
      <c r="A1157" s="18" t="s">
        <v>1196</v>
      </c>
      <c r="B1157" s="18" t="s">
        <v>34</v>
      </c>
      <c r="C1157" s="18" t="s">
        <v>29</v>
      </c>
      <c r="D1157" s="19">
        <v>44948</v>
      </c>
      <c r="E1157" s="20">
        <v>45551</v>
      </c>
      <c r="F1157" s="21">
        <v>19875.2</v>
      </c>
      <c r="G1157" s="21">
        <v>451.2</v>
      </c>
      <c r="H1157" s="21">
        <v>65.599999999999994</v>
      </c>
      <c r="I1157" s="18">
        <v>2360.5920000000001</v>
      </c>
      <c r="J1157" s="18">
        <v>6217.2640000000001</v>
      </c>
      <c r="K1157" s="18" t="s">
        <v>43</v>
      </c>
      <c r="L1157" s="18" t="s">
        <v>50</v>
      </c>
      <c r="M1157" s="18" t="s">
        <v>32</v>
      </c>
      <c r="N1157" s="22">
        <f t="shared" si="108"/>
        <v>2.27016583480921E-2</v>
      </c>
      <c r="O1157" s="22">
        <f t="shared" si="109"/>
        <v>0.145390070921986</v>
      </c>
      <c r="P1157" s="23">
        <f t="shared" si="110"/>
        <v>5.2318085106382997</v>
      </c>
      <c r="Q1157" s="23">
        <f t="shared" si="111"/>
        <v>35.984634146341499</v>
      </c>
      <c r="R1157" s="22">
        <f t="shared" si="112"/>
        <v>1.6337732229881301</v>
      </c>
      <c r="S1157" s="22">
        <f t="shared" si="113"/>
        <v>2.6337732229881299</v>
      </c>
    </row>
    <row r="1158" spans="1:19">
      <c r="A1158" s="18" t="s">
        <v>1197</v>
      </c>
      <c r="B1158" s="18" t="s">
        <v>34</v>
      </c>
      <c r="C1158" s="18" t="s">
        <v>21</v>
      </c>
      <c r="D1158" s="19">
        <v>44802</v>
      </c>
      <c r="E1158" s="20">
        <v>45414</v>
      </c>
      <c r="F1158" s="21">
        <v>31112</v>
      </c>
      <c r="G1158" s="21">
        <v>3214.4</v>
      </c>
      <c r="H1158" s="21">
        <v>1539.2</v>
      </c>
      <c r="I1158" s="18">
        <v>353.392</v>
      </c>
      <c r="J1158" s="18">
        <v>1031.152</v>
      </c>
      <c r="K1158" s="18" t="s">
        <v>30</v>
      </c>
      <c r="L1158" s="18" t="s">
        <v>44</v>
      </c>
      <c r="M1158" s="18" t="s">
        <v>24</v>
      </c>
      <c r="N1158" s="22">
        <f t="shared" si="108"/>
        <v>0.10331704808434</v>
      </c>
      <c r="O1158" s="22">
        <f t="shared" si="109"/>
        <v>0.47884519661523101</v>
      </c>
      <c r="P1158" s="23">
        <f t="shared" si="110"/>
        <v>0.109940268790443</v>
      </c>
      <c r="Q1158" s="23">
        <f t="shared" si="111"/>
        <v>0.229594594594595</v>
      </c>
      <c r="R1158" s="22">
        <f t="shared" si="112"/>
        <v>1.91787024041291</v>
      </c>
      <c r="S1158" s="22">
        <f t="shared" si="113"/>
        <v>2.9178702404129102</v>
      </c>
    </row>
    <row r="1159" spans="1:19">
      <c r="A1159" s="18" t="s">
        <v>1198</v>
      </c>
      <c r="B1159" s="18" t="s">
        <v>26</v>
      </c>
      <c r="C1159" s="18" t="s">
        <v>21</v>
      </c>
      <c r="D1159" s="19">
        <v>44754</v>
      </c>
      <c r="E1159" s="20">
        <v>45366</v>
      </c>
      <c r="F1159" s="21">
        <v>22331.200000000001</v>
      </c>
      <c r="G1159" s="21">
        <v>10779.2</v>
      </c>
      <c r="H1159" s="21">
        <v>9691.2000000000007</v>
      </c>
      <c r="I1159" s="18">
        <v>2304.8000000000002</v>
      </c>
      <c r="J1159" s="18">
        <v>5486.4319999999998</v>
      </c>
      <c r="K1159" s="18" t="s">
        <v>30</v>
      </c>
      <c r="L1159" s="18" t="s">
        <v>44</v>
      </c>
      <c r="M1159" s="18" t="s">
        <v>32</v>
      </c>
      <c r="N1159" s="22">
        <f t="shared" si="108"/>
        <v>0.48269685462491901</v>
      </c>
      <c r="O1159" s="22">
        <f t="shared" si="109"/>
        <v>0.899064865667211</v>
      </c>
      <c r="P1159" s="23">
        <f t="shared" si="110"/>
        <v>0.21381920736232701</v>
      </c>
      <c r="Q1159" s="23">
        <f t="shared" si="111"/>
        <v>0.23782400528314299</v>
      </c>
      <c r="R1159" s="22">
        <f t="shared" si="112"/>
        <v>1.3804373481430099</v>
      </c>
      <c r="S1159" s="22">
        <f t="shared" si="113"/>
        <v>2.3804373481430101</v>
      </c>
    </row>
    <row r="1160" spans="1:19">
      <c r="A1160" s="18" t="s">
        <v>1199</v>
      </c>
      <c r="B1160" s="18" t="s">
        <v>26</v>
      </c>
      <c r="C1160" s="18" t="s">
        <v>29</v>
      </c>
      <c r="D1160" s="19">
        <v>44961</v>
      </c>
      <c r="E1160" s="20">
        <v>45589</v>
      </c>
      <c r="F1160" s="21">
        <v>67388.800000000003</v>
      </c>
      <c r="G1160" s="21">
        <v>56660.800000000003</v>
      </c>
      <c r="H1160" s="21">
        <v>34529.599999999999</v>
      </c>
      <c r="I1160" s="18">
        <v>4439.5680000000002</v>
      </c>
      <c r="J1160" s="18">
        <v>8072.5439999999999</v>
      </c>
      <c r="K1160" s="18" t="s">
        <v>22</v>
      </c>
      <c r="L1160" s="18" t="s">
        <v>44</v>
      </c>
      <c r="M1160" s="18" t="s">
        <v>32</v>
      </c>
      <c r="N1160" s="22">
        <f t="shared" si="108"/>
        <v>0.84080440666698297</v>
      </c>
      <c r="O1160" s="22">
        <f t="shared" si="109"/>
        <v>0.60940897410555395</v>
      </c>
      <c r="P1160" s="23">
        <f t="shared" si="110"/>
        <v>7.8353429531528004E-2</v>
      </c>
      <c r="Q1160" s="23">
        <f t="shared" si="111"/>
        <v>0.128572818683101</v>
      </c>
      <c r="R1160" s="22">
        <f t="shared" si="112"/>
        <v>0.81831745791482402</v>
      </c>
      <c r="S1160" s="22">
        <f t="shared" si="113"/>
        <v>1.81831745791482</v>
      </c>
    </row>
    <row r="1161" spans="1:19">
      <c r="A1161" s="18" t="s">
        <v>1200</v>
      </c>
      <c r="B1161" s="18" t="s">
        <v>26</v>
      </c>
      <c r="C1161" s="18" t="s">
        <v>48</v>
      </c>
      <c r="D1161" s="19">
        <v>44864</v>
      </c>
      <c r="E1161" s="20">
        <v>45469</v>
      </c>
      <c r="F1161" s="21">
        <v>70043.199999999997</v>
      </c>
      <c r="G1161" s="21">
        <v>6438.4</v>
      </c>
      <c r="H1161" s="21">
        <v>4388.8</v>
      </c>
      <c r="I1161" s="18">
        <v>7773.8239999999996</v>
      </c>
      <c r="J1161" s="18">
        <v>28224.464</v>
      </c>
      <c r="K1161" s="18" t="s">
        <v>65</v>
      </c>
      <c r="L1161" s="18" t="s">
        <v>50</v>
      </c>
      <c r="M1161" s="18" t="s">
        <v>32</v>
      </c>
      <c r="N1161" s="22">
        <f t="shared" si="108"/>
        <v>9.1920414829705102E-2</v>
      </c>
      <c r="O1161" s="22">
        <f t="shared" si="109"/>
        <v>0.68166003976143197</v>
      </c>
      <c r="P1161" s="23">
        <f t="shared" si="110"/>
        <v>1.20741550695825</v>
      </c>
      <c r="Q1161" s="23">
        <f t="shared" si="111"/>
        <v>1.7712869121399899</v>
      </c>
      <c r="R1161" s="22">
        <f t="shared" si="112"/>
        <v>2.6307053002486298</v>
      </c>
      <c r="S1161" s="22">
        <f t="shared" si="113"/>
        <v>3.6307053002486298</v>
      </c>
    </row>
    <row r="1162" spans="1:19">
      <c r="A1162" s="18" t="s">
        <v>1201</v>
      </c>
      <c r="B1162" s="18" t="s">
        <v>26</v>
      </c>
      <c r="C1162" s="18" t="s">
        <v>48</v>
      </c>
      <c r="D1162" s="19">
        <v>44871</v>
      </c>
      <c r="E1162" s="20">
        <v>45476</v>
      </c>
      <c r="F1162" s="21">
        <v>39288</v>
      </c>
      <c r="G1162" s="21">
        <v>29123.200000000001</v>
      </c>
      <c r="H1162" s="21">
        <v>8252.7999999999993</v>
      </c>
      <c r="I1162" s="18">
        <v>2518</v>
      </c>
      <c r="J1162" s="18">
        <v>7513.28</v>
      </c>
      <c r="K1162" s="18" t="s">
        <v>38</v>
      </c>
      <c r="L1162" s="18" t="s">
        <v>35</v>
      </c>
      <c r="M1162" s="18" t="s">
        <v>32</v>
      </c>
      <c r="N1162" s="22">
        <f t="shared" si="108"/>
        <v>0.74127468947261299</v>
      </c>
      <c r="O1162" s="22">
        <f t="shared" si="109"/>
        <v>0.283375453246896</v>
      </c>
      <c r="P1162" s="23">
        <f t="shared" si="110"/>
        <v>8.6460279090209896E-2</v>
      </c>
      <c r="Q1162" s="23">
        <f t="shared" si="111"/>
        <v>0.30510856921287299</v>
      </c>
      <c r="R1162" s="22">
        <f t="shared" si="112"/>
        <v>1.98382843526608</v>
      </c>
      <c r="S1162" s="22">
        <f t="shared" si="113"/>
        <v>2.98382843526608</v>
      </c>
    </row>
    <row r="1163" spans="1:19">
      <c r="A1163" s="18" t="s">
        <v>1202</v>
      </c>
      <c r="B1163" s="18" t="s">
        <v>20</v>
      </c>
      <c r="C1163" s="18" t="s">
        <v>41</v>
      </c>
      <c r="D1163" s="19">
        <v>44967</v>
      </c>
      <c r="E1163" s="20">
        <v>45582</v>
      </c>
      <c r="F1163" s="21">
        <v>34177.599999999999</v>
      </c>
      <c r="G1163" s="21">
        <v>24496</v>
      </c>
      <c r="H1163" s="21">
        <v>12494.4</v>
      </c>
      <c r="I1163" s="18">
        <v>6932.0959999999995</v>
      </c>
      <c r="J1163" s="18">
        <v>26416.207999999999</v>
      </c>
      <c r="K1163" s="18" t="s">
        <v>38</v>
      </c>
      <c r="L1163" s="18" t="s">
        <v>50</v>
      </c>
      <c r="M1163" s="18" t="s">
        <v>32</v>
      </c>
      <c r="N1163" s="22">
        <f t="shared" si="108"/>
        <v>0.71672674500257505</v>
      </c>
      <c r="O1163" s="22">
        <f t="shared" si="109"/>
        <v>0.51005878510777303</v>
      </c>
      <c r="P1163" s="23">
        <f t="shared" si="110"/>
        <v>0.28298889614631001</v>
      </c>
      <c r="Q1163" s="23">
        <f t="shared" si="111"/>
        <v>0.55481623767447796</v>
      </c>
      <c r="R1163" s="22">
        <f t="shared" si="112"/>
        <v>2.8107100651808601</v>
      </c>
      <c r="S1163" s="22">
        <f t="shared" si="113"/>
        <v>3.8107100651808601</v>
      </c>
    </row>
    <row r="1164" spans="1:19">
      <c r="A1164" s="18" t="s">
        <v>1203</v>
      </c>
      <c r="B1164" s="18" t="s">
        <v>28</v>
      </c>
      <c r="C1164" s="18" t="s">
        <v>29</v>
      </c>
      <c r="D1164" s="19">
        <v>44715</v>
      </c>
      <c r="E1164" s="20">
        <v>45323</v>
      </c>
      <c r="F1164" s="21">
        <v>31246.400000000001</v>
      </c>
      <c r="G1164" s="21">
        <v>2731.2</v>
      </c>
      <c r="H1164" s="21">
        <v>232</v>
      </c>
      <c r="I1164" s="18">
        <v>1276.6880000000001</v>
      </c>
      <c r="J1164" s="18">
        <v>1649.7280000000001</v>
      </c>
      <c r="K1164" s="18" t="s">
        <v>43</v>
      </c>
      <c r="L1164" s="18" t="s">
        <v>31</v>
      </c>
      <c r="M1164" s="18" t="s">
        <v>32</v>
      </c>
      <c r="N1164" s="22">
        <f t="shared" si="108"/>
        <v>8.7408469455681301E-2</v>
      </c>
      <c r="O1164" s="22">
        <f t="shared" si="109"/>
        <v>8.4944346807264204E-2</v>
      </c>
      <c r="P1164" s="23">
        <f t="shared" si="110"/>
        <v>0.46744581136496799</v>
      </c>
      <c r="Q1164" s="23">
        <f t="shared" si="111"/>
        <v>5.5029655172413801</v>
      </c>
      <c r="R1164" s="22">
        <f t="shared" si="112"/>
        <v>0.29219355081272802</v>
      </c>
      <c r="S1164" s="22">
        <f t="shared" si="113"/>
        <v>1.29219355081273</v>
      </c>
    </row>
    <row r="1165" spans="1:19">
      <c r="A1165" s="18" t="s">
        <v>1204</v>
      </c>
      <c r="B1165" s="18" t="s">
        <v>34</v>
      </c>
      <c r="C1165" s="18" t="s">
        <v>41</v>
      </c>
      <c r="D1165" s="19">
        <v>44776</v>
      </c>
      <c r="E1165" s="20">
        <v>45405</v>
      </c>
      <c r="F1165" s="21">
        <v>65606.399999999994</v>
      </c>
      <c r="G1165" s="21">
        <v>26116.799999999999</v>
      </c>
      <c r="H1165" s="21">
        <v>11049.6</v>
      </c>
      <c r="I1165" s="18">
        <v>1281.952</v>
      </c>
      <c r="J1165" s="18">
        <v>5066.0640000000003</v>
      </c>
      <c r="K1165" s="18" t="s">
        <v>65</v>
      </c>
      <c r="L1165" s="18" t="s">
        <v>44</v>
      </c>
      <c r="M1165" s="18" t="s">
        <v>32</v>
      </c>
      <c r="N1165" s="22">
        <f t="shared" si="108"/>
        <v>0.39808311384255202</v>
      </c>
      <c r="O1165" s="22">
        <f t="shared" si="109"/>
        <v>0.42308399191325102</v>
      </c>
      <c r="P1165" s="23">
        <f t="shared" si="110"/>
        <v>4.9085339704711101E-2</v>
      </c>
      <c r="Q1165" s="23">
        <f t="shared" si="111"/>
        <v>0.11601795540110001</v>
      </c>
      <c r="R1165" s="22">
        <f t="shared" si="112"/>
        <v>2.9518359501759801</v>
      </c>
      <c r="S1165" s="22">
        <f t="shared" si="113"/>
        <v>3.9518359501759801</v>
      </c>
    </row>
    <row r="1166" spans="1:19">
      <c r="A1166" s="18" t="s">
        <v>1205</v>
      </c>
      <c r="B1166" s="18" t="s">
        <v>28</v>
      </c>
      <c r="C1166" s="18" t="s">
        <v>48</v>
      </c>
      <c r="D1166" s="19">
        <v>44965</v>
      </c>
      <c r="E1166" s="20">
        <v>45569</v>
      </c>
      <c r="F1166" s="21">
        <v>57283.199999999997</v>
      </c>
      <c r="G1166" s="21">
        <v>52171.199999999997</v>
      </c>
      <c r="H1166" s="21">
        <v>42622.400000000001</v>
      </c>
      <c r="I1166" s="18">
        <v>5973.5839999999998</v>
      </c>
      <c r="J1166" s="18">
        <v>18097.712</v>
      </c>
      <c r="K1166" s="18" t="s">
        <v>65</v>
      </c>
      <c r="L1166" s="18" t="s">
        <v>35</v>
      </c>
      <c r="M1166" s="18" t="s">
        <v>24</v>
      </c>
      <c r="N1166" s="22">
        <f t="shared" si="108"/>
        <v>0.91075917546505802</v>
      </c>
      <c r="O1166" s="22">
        <f t="shared" si="109"/>
        <v>0.81697181586775902</v>
      </c>
      <c r="P1166" s="23">
        <f t="shared" si="110"/>
        <v>0.114499647314994</v>
      </c>
      <c r="Q1166" s="23">
        <f t="shared" si="111"/>
        <v>0.14015128195502799</v>
      </c>
      <c r="R1166" s="22">
        <f t="shared" si="112"/>
        <v>2.0296237568601998</v>
      </c>
      <c r="S1166" s="22">
        <f t="shared" si="113"/>
        <v>3.0296237568601998</v>
      </c>
    </row>
    <row r="1167" spans="1:19">
      <c r="A1167" s="18" t="s">
        <v>1206</v>
      </c>
      <c r="B1167" s="18" t="s">
        <v>28</v>
      </c>
      <c r="C1167" s="18" t="s">
        <v>41</v>
      </c>
      <c r="D1167" s="19">
        <v>44721</v>
      </c>
      <c r="E1167" s="20">
        <v>45331</v>
      </c>
      <c r="F1167" s="21">
        <v>8419.2000000000007</v>
      </c>
      <c r="G1167" s="21">
        <v>7750.4</v>
      </c>
      <c r="H1167" s="21">
        <v>7747.2</v>
      </c>
      <c r="I1167" s="18">
        <v>1419.8240000000001</v>
      </c>
      <c r="J1167" s="18">
        <v>4953.28</v>
      </c>
      <c r="K1167" s="18" t="s">
        <v>30</v>
      </c>
      <c r="L1167" s="18" t="s">
        <v>23</v>
      </c>
      <c r="M1167" s="18" t="s">
        <v>32</v>
      </c>
      <c r="N1167" s="22">
        <f t="shared" si="108"/>
        <v>0.92056252375522596</v>
      </c>
      <c r="O1167" s="22">
        <f t="shared" si="109"/>
        <v>0.99958711808422795</v>
      </c>
      <c r="P1167" s="23">
        <f t="shared" si="110"/>
        <v>0.18319364161849699</v>
      </c>
      <c r="Q1167" s="23">
        <f t="shared" si="111"/>
        <v>0.18326931020239601</v>
      </c>
      <c r="R1167" s="22">
        <f t="shared" si="112"/>
        <v>2.4886577491294699</v>
      </c>
      <c r="S1167" s="22">
        <f t="shared" si="113"/>
        <v>3.4886577491294699</v>
      </c>
    </row>
    <row r="1168" spans="1:19">
      <c r="A1168" s="18" t="s">
        <v>1207</v>
      </c>
      <c r="B1168" s="18" t="s">
        <v>20</v>
      </c>
      <c r="C1168" s="18" t="s">
        <v>41</v>
      </c>
      <c r="D1168" s="19">
        <v>44794</v>
      </c>
      <c r="E1168" s="20">
        <v>45412</v>
      </c>
      <c r="F1168" s="21">
        <v>40174.400000000001</v>
      </c>
      <c r="G1168" s="21">
        <v>25624</v>
      </c>
      <c r="H1168" s="21">
        <v>7179.2</v>
      </c>
      <c r="I1168" s="18">
        <v>2752.6239999999998</v>
      </c>
      <c r="J1168" s="18">
        <v>8542.4959999999992</v>
      </c>
      <c r="K1168" s="18" t="s">
        <v>65</v>
      </c>
      <c r="L1168" s="18" t="s">
        <v>44</v>
      </c>
      <c r="M1168" s="18" t="s">
        <v>32</v>
      </c>
      <c r="N1168" s="22">
        <f t="shared" si="108"/>
        <v>0.63781910868612801</v>
      </c>
      <c r="O1168" s="22">
        <f t="shared" si="109"/>
        <v>0.280174836091165</v>
      </c>
      <c r="P1168" s="23">
        <f t="shared" si="110"/>
        <v>0.107423665313768</v>
      </c>
      <c r="Q1168" s="23">
        <f t="shared" si="111"/>
        <v>0.38341653666146602</v>
      </c>
      <c r="R1168" s="22">
        <f t="shared" si="112"/>
        <v>2.1034009730351801</v>
      </c>
      <c r="S1168" s="22">
        <f t="shared" si="113"/>
        <v>3.1034009730351801</v>
      </c>
    </row>
    <row r="1169" spans="1:19">
      <c r="A1169" s="18" t="s">
        <v>1208</v>
      </c>
      <c r="B1169" s="18" t="s">
        <v>26</v>
      </c>
      <c r="C1169" s="18" t="s">
        <v>41</v>
      </c>
      <c r="D1169" s="19">
        <v>44777</v>
      </c>
      <c r="E1169" s="20">
        <v>45378</v>
      </c>
      <c r="F1169" s="21">
        <v>73624</v>
      </c>
      <c r="G1169" s="21">
        <v>71123.199999999997</v>
      </c>
      <c r="H1169" s="21">
        <v>70790.399999999994</v>
      </c>
      <c r="I1169" s="18">
        <v>5922.8639999999996</v>
      </c>
      <c r="J1169" s="18">
        <v>19062.351999999999</v>
      </c>
      <c r="K1169" s="18" t="s">
        <v>30</v>
      </c>
      <c r="L1169" s="18" t="s">
        <v>44</v>
      </c>
      <c r="M1169" s="18" t="s">
        <v>24</v>
      </c>
      <c r="N1169" s="22">
        <f t="shared" si="108"/>
        <v>0.96603281538628705</v>
      </c>
      <c r="O1169" s="22">
        <f t="shared" si="109"/>
        <v>0.99532079546477104</v>
      </c>
      <c r="P1169" s="23">
        <f t="shared" si="110"/>
        <v>8.3276118059929793E-2</v>
      </c>
      <c r="Q1169" s="23">
        <f t="shared" si="111"/>
        <v>8.36676159479251E-2</v>
      </c>
      <c r="R1169" s="22">
        <f t="shared" si="112"/>
        <v>2.2184348652949</v>
      </c>
      <c r="S1169" s="22">
        <f t="shared" si="113"/>
        <v>3.2184348652949</v>
      </c>
    </row>
    <row r="1170" spans="1:19">
      <c r="A1170" s="18" t="s">
        <v>1209</v>
      </c>
      <c r="B1170" s="18" t="s">
        <v>26</v>
      </c>
      <c r="C1170" s="18" t="s">
        <v>48</v>
      </c>
      <c r="D1170" s="19">
        <v>44838</v>
      </c>
      <c r="E1170" s="20">
        <v>45445</v>
      </c>
      <c r="F1170" s="21">
        <v>39963.199999999997</v>
      </c>
      <c r="G1170" s="21">
        <v>29494.400000000001</v>
      </c>
      <c r="H1170" s="21">
        <v>22232</v>
      </c>
      <c r="I1170" s="18">
        <v>5877.2</v>
      </c>
      <c r="J1170" s="18">
        <v>12689.791999999999</v>
      </c>
      <c r="K1170" s="18" t="s">
        <v>22</v>
      </c>
      <c r="L1170" s="18" t="s">
        <v>50</v>
      </c>
      <c r="M1170" s="18" t="s">
        <v>24</v>
      </c>
      <c r="N1170" s="22">
        <f t="shared" si="108"/>
        <v>0.73803899587620603</v>
      </c>
      <c r="O1170" s="22">
        <f t="shared" si="109"/>
        <v>0.75377020722577803</v>
      </c>
      <c r="P1170" s="23">
        <f t="shared" si="110"/>
        <v>0.19926494520993801</v>
      </c>
      <c r="Q1170" s="23">
        <f t="shared" si="111"/>
        <v>0.26435768261964698</v>
      </c>
      <c r="R1170" s="22">
        <f t="shared" si="112"/>
        <v>1.15915606070918</v>
      </c>
      <c r="S1170" s="22">
        <f t="shared" si="113"/>
        <v>2.1591560607091802</v>
      </c>
    </row>
    <row r="1171" spans="1:19">
      <c r="A1171" s="18" t="s">
        <v>1210</v>
      </c>
      <c r="B1171" s="18" t="s">
        <v>40</v>
      </c>
      <c r="C1171" s="18" t="s">
        <v>21</v>
      </c>
      <c r="D1171" s="19">
        <v>44898</v>
      </c>
      <c r="E1171" s="20">
        <v>45504</v>
      </c>
      <c r="F1171" s="21">
        <v>55241.599999999999</v>
      </c>
      <c r="G1171" s="21">
        <v>10592</v>
      </c>
      <c r="H1171" s="21">
        <v>4216</v>
      </c>
      <c r="I1171" s="18">
        <v>3931.6959999999999</v>
      </c>
      <c r="J1171" s="18">
        <v>5619.5839999999998</v>
      </c>
      <c r="K1171" s="18" t="s">
        <v>22</v>
      </c>
      <c r="L1171" s="18" t="s">
        <v>44</v>
      </c>
      <c r="M1171" s="18" t="s">
        <v>32</v>
      </c>
      <c r="N1171" s="22">
        <f t="shared" si="108"/>
        <v>0.19173955859352401</v>
      </c>
      <c r="O1171" s="22">
        <f t="shared" si="109"/>
        <v>0.39803625377643498</v>
      </c>
      <c r="P1171" s="23">
        <f t="shared" si="110"/>
        <v>0.37119486404833801</v>
      </c>
      <c r="Q1171" s="23">
        <f t="shared" si="111"/>
        <v>0.93256546489563596</v>
      </c>
      <c r="R1171" s="22">
        <f t="shared" si="112"/>
        <v>0.429302774171757</v>
      </c>
      <c r="S1171" s="22">
        <f t="shared" si="113"/>
        <v>1.4293027741717601</v>
      </c>
    </row>
    <row r="1172" spans="1:19">
      <c r="A1172" s="18" t="s">
        <v>1211</v>
      </c>
      <c r="B1172" s="18" t="s">
        <v>20</v>
      </c>
      <c r="C1172" s="18" t="s">
        <v>29</v>
      </c>
      <c r="D1172" s="19">
        <v>44885</v>
      </c>
      <c r="E1172" s="20">
        <v>45489</v>
      </c>
      <c r="F1172" s="21">
        <v>77036.800000000003</v>
      </c>
      <c r="G1172" s="21">
        <v>5598.4</v>
      </c>
      <c r="H1172" s="21">
        <v>5001.6000000000004</v>
      </c>
      <c r="I1172" s="18">
        <v>2959.136</v>
      </c>
      <c r="J1172" s="18">
        <v>10048.719999999999</v>
      </c>
      <c r="K1172" s="18" t="s">
        <v>65</v>
      </c>
      <c r="L1172" s="18" t="s">
        <v>23</v>
      </c>
      <c r="M1172" s="18" t="s">
        <v>32</v>
      </c>
      <c r="N1172" s="22">
        <f t="shared" si="108"/>
        <v>7.2671762066960202E-2</v>
      </c>
      <c r="O1172" s="22">
        <f t="shared" si="109"/>
        <v>0.89339811374678502</v>
      </c>
      <c r="P1172" s="23">
        <f t="shared" si="110"/>
        <v>0.52856816233209503</v>
      </c>
      <c r="Q1172" s="23">
        <f t="shared" si="111"/>
        <v>0.59163787587971794</v>
      </c>
      <c r="R1172" s="22">
        <f t="shared" si="112"/>
        <v>2.3958290528045998</v>
      </c>
      <c r="S1172" s="22">
        <f t="shared" si="113"/>
        <v>3.3958290528045998</v>
      </c>
    </row>
    <row r="1173" spans="1:19">
      <c r="A1173" s="18" t="s">
        <v>1212</v>
      </c>
      <c r="B1173" s="18" t="s">
        <v>26</v>
      </c>
      <c r="C1173" s="18" t="s">
        <v>29</v>
      </c>
      <c r="D1173" s="19">
        <v>44861</v>
      </c>
      <c r="E1173" s="20">
        <v>45491</v>
      </c>
      <c r="F1173" s="21">
        <v>28568</v>
      </c>
      <c r="G1173" s="21">
        <v>1331.2</v>
      </c>
      <c r="H1173" s="21">
        <v>768</v>
      </c>
      <c r="I1173" s="18">
        <v>7298.6080000000002</v>
      </c>
      <c r="J1173" s="18">
        <v>27256.912</v>
      </c>
      <c r="K1173" s="18" t="s">
        <v>30</v>
      </c>
      <c r="L1173" s="18" t="s">
        <v>44</v>
      </c>
      <c r="M1173" s="18" t="s">
        <v>32</v>
      </c>
      <c r="N1173" s="22">
        <f t="shared" si="108"/>
        <v>4.6597591711005297E-2</v>
      </c>
      <c r="O1173" s="22">
        <f t="shared" si="109"/>
        <v>0.57692307692307698</v>
      </c>
      <c r="P1173" s="23">
        <f t="shared" si="110"/>
        <v>5.4827283653846202</v>
      </c>
      <c r="Q1173" s="23">
        <f t="shared" si="111"/>
        <v>9.5033958333333306</v>
      </c>
      <c r="R1173" s="22">
        <f t="shared" si="112"/>
        <v>2.7345356813244401</v>
      </c>
      <c r="S1173" s="22">
        <f t="shared" si="113"/>
        <v>3.7345356813244401</v>
      </c>
    </row>
    <row r="1174" spans="1:19">
      <c r="A1174" s="18" t="s">
        <v>1213</v>
      </c>
      <c r="B1174" s="18" t="s">
        <v>34</v>
      </c>
      <c r="C1174" s="18" t="s">
        <v>21</v>
      </c>
      <c r="D1174" s="19">
        <v>44951</v>
      </c>
      <c r="E1174" s="20">
        <v>45554</v>
      </c>
      <c r="F1174" s="21">
        <v>22843.200000000001</v>
      </c>
      <c r="G1174" s="21">
        <v>7971.2</v>
      </c>
      <c r="H1174" s="21">
        <v>2185.6</v>
      </c>
      <c r="I1174" s="18">
        <v>7155.232</v>
      </c>
      <c r="J1174" s="18">
        <v>22904.144</v>
      </c>
      <c r="K1174" s="18" t="s">
        <v>30</v>
      </c>
      <c r="L1174" s="18" t="s">
        <v>35</v>
      </c>
      <c r="M1174" s="18" t="s">
        <v>32</v>
      </c>
      <c r="N1174" s="22">
        <f t="shared" si="108"/>
        <v>0.34895286124536001</v>
      </c>
      <c r="O1174" s="22">
        <f t="shared" si="109"/>
        <v>0.27418707346447202</v>
      </c>
      <c r="P1174" s="23">
        <f t="shared" si="110"/>
        <v>0.89763548775592095</v>
      </c>
      <c r="Q1174" s="23">
        <f t="shared" si="111"/>
        <v>3.27380673499268</v>
      </c>
      <c r="R1174" s="22">
        <f t="shared" si="112"/>
        <v>2.2010344318674799</v>
      </c>
      <c r="S1174" s="22">
        <f t="shared" si="113"/>
        <v>3.2010344318674799</v>
      </c>
    </row>
    <row r="1175" spans="1:19">
      <c r="A1175" s="18" t="s">
        <v>1214</v>
      </c>
      <c r="B1175" s="18" t="s">
        <v>26</v>
      </c>
      <c r="C1175" s="18" t="s">
        <v>29</v>
      </c>
      <c r="D1175" s="19">
        <v>44926</v>
      </c>
      <c r="E1175" s="20">
        <v>45554</v>
      </c>
      <c r="F1175" s="21">
        <v>54798.400000000001</v>
      </c>
      <c r="G1175" s="21">
        <v>3385.6</v>
      </c>
      <c r="H1175" s="21">
        <v>355.2</v>
      </c>
      <c r="I1175" s="18">
        <v>2230.5120000000002</v>
      </c>
      <c r="J1175" s="18">
        <v>3547.152</v>
      </c>
      <c r="K1175" s="18" t="s">
        <v>22</v>
      </c>
      <c r="L1175" s="18" t="s">
        <v>50</v>
      </c>
      <c r="M1175" s="18" t="s">
        <v>32</v>
      </c>
      <c r="N1175" s="22">
        <f t="shared" si="108"/>
        <v>6.17828257759351E-2</v>
      </c>
      <c r="O1175" s="22">
        <f t="shared" si="109"/>
        <v>0.104914933837429</v>
      </c>
      <c r="P1175" s="23">
        <f t="shared" si="110"/>
        <v>0.65882325141776898</v>
      </c>
      <c r="Q1175" s="23">
        <f t="shared" si="111"/>
        <v>6.2795945945945997</v>
      </c>
      <c r="R1175" s="22">
        <f t="shared" si="112"/>
        <v>0.59028599711635699</v>
      </c>
      <c r="S1175" s="22">
        <f t="shared" si="113"/>
        <v>1.5902859971163601</v>
      </c>
    </row>
    <row r="1176" spans="1:19">
      <c r="A1176" s="18" t="s">
        <v>1215</v>
      </c>
      <c r="B1176" s="18" t="s">
        <v>28</v>
      </c>
      <c r="C1176" s="18" t="s">
        <v>21</v>
      </c>
      <c r="D1176" s="19">
        <v>44702</v>
      </c>
      <c r="E1176" s="20">
        <v>45303</v>
      </c>
      <c r="F1176" s="21">
        <v>13603.2</v>
      </c>
      <c r="G1176" s="21">
        <v>478.4</v>
      </c>
      <c r="H1176" s="21">
        <v>425.6</v>
      </c>
      <c r="I1176" s="18">
        <v>7742.4160000000002</v>
      </c>
      <c r="J1176" s="18">
        <v>18849.28</v>
      </c>
      <c r="K1176" s="18" t="s">
        <v>22</v>
      </c>
      <c r="L1176" s="18" t="s">
        <v>35</v>
      </c>
      <c r="M1176" s="18" t="s">
        <v>32</v>
      </c>
      <c r="N1176" s="22">
        <f t="shared" si="108"/>
        <v>3.5168195718654399E-2</v>
      </c>
      <c r="O1176" s="22">
        <f t="shared" si="109"/>
        <v>0.889632107023411</v>
      </c>
      <c r="P1176" s="23">
        <f t="shared" si="110"/>
        <v>16.1839799331104</v>
      </c>
      <c r="Q1176" s="23">
        <f t="shared" si="111"/>
        <v>18.191766917293201</v>
      </c>
      <c r="R1176" s="22">
        <f t="shared" si="112"/>
        <v>1.43454756241463</v>
      </c>
      <c r="S1176" s="22">
        <f t="shared" si="113"/>
        <v>2.4345475624146302</v>
      </c>
    </row>
    <row r="1177" spans="1:19">
      <c r="A1177" s="18" t="s">
        <v>1216</v>
      </c>
      <c r="B1177" s="18" t="s">
        <v>26</v>
      </c>
      <c r="C1177" s="18" t="s">
        <v>29</v>
      </c>
      <c r="D1177" s="19">
        <v>44881</v>
      </c>
      <c r="E1177" s="20">
        <v>45499</v>
      </c>
      <c r="F1177" s="21">
        <v>21348.799999999999</v>
      </c>
      <c r="G1177" s="21">
        <v>13462.4</v>
      </c>
      <c r="H1177" s="21">
        <v>1084.8</v>
      </c>
      <c r="I1177" s="18">
        <v>3185.28</v>
      </c>
      <c r="J1177" s="18">
        <v>11227.824000000001</v>
      </c>
      <c r="K1177" s="18" t="s">
        <v>43</v>
      </c>
      <c r="L1177" s="18" t="s">
        <v>35</v>
      </c>
      <c r="M1177" s="18" t="s">
        <v>24</v>
      </c>
      <c r="N1177" s="22">
        <f t="shared" si="108"/>
        <v>0.63059282020535101</v>
      </c>
      <c r="O1177" s="22">
        <f t="shared" si="109"/>
        <v>8.0579985738055596E-2</v>
      </c>
      <c r="P1177" s="23">
        <f t="shared" si="110"/>
        <v>0.236605657237937</v>
      </c>
      <c r="Q1177" s="23">
        <f t="shared" si="111"/>
        <v>2.9362831858407099</v>
      </c>
      <c r="R1177" s="22">
        <f t="shared" si="112"/>
        <v>2.5249095840867999</v>
      </c>
      <c r="S1177" s="22">
        <f t="shared" si="113"/>
        <v>3.5249095840867999</v>
      </c>
    </row>
    <row r="1178" spans="1:19">
      <c r="A1178" s="18" t="s">
        <v>1217</v>
      </c>
      <c r="B1178" s="18" t="s">
        <v>34</v>
      </c>
      <c r="C1178" s="18" t="s">
        <v>29</v>
      </c>
      <c r="D1178" s="19">
        <v>44784</v>
      </c>
      <c r="E1178" s="20">
        <v>45396</v>
      </c>
      <c r="F1178" s="21">
        <v>8777.6</v>
      </c>
      <c r="G1178" s="21">
        <v>4568</v>
      </c>
      <c r="H1178" s="21">
        <v>304</v>
      </c>
      <c r="I1178" s="18">
        <v>5791.3760000000002</v>
      </c>
      <c r="J1178" s="18">
        <v>7431.6</v>
      </c>
      <c r="K1178" s="18" t="s">
        <v>65</v>
      </c>
      <c r="L1178" s="18" t="s">
        <v>31</v>
      </c>
      <c r="M1178" s="18" t="s">
        <v>24</v>
      </c>
      <c r="N1178" s="22">
        <f t="shared" si="108"/>
        <v>0.52041560335399195</v>
      </c>
      <c r="O1178" s="22">
        <f t="shared" si="109"/>
        <v>6.6549912434325703E-2</v>
      </c>
      <c r="P1178" s="23">
        <f t="shared" si="110"/>
        <v>1.2678143607705801</v>
      </c>
      <c r="Q1178" s="23">
        <f t="shared" si="111"/>
        <v>19.0505789473684</v>
      </c>
      <c r="R1178" s="22">
        <f t="shared" si="112"/>
        <v>0.28321835777887699</v>
      </c>
      <c r="S1178" s="22">
        <f t="shared" si="113"/>
        <v>1.28321835777888</v>
      </c>
    </row>
    <row r="1179" spans="1:19">
      <c r="A1179" s="18" t="s">
        <v>1218</v>
      </c>
      <c r="B1179" s="18" t="s">
        <v>40</v>
      </c>
      <c r="C1179" s="18" t="s">
        <v>29</v>
      </c>
      <c r="D1179" s="19">
        <v>44912</v>
      </c>
      <c r="E1179" s="20">
        <v>45518</v>
      </c>
      <c r="F1179" s="21">
        <v>50068.800000000003</v>
      </c>
      <c r="G1179" s="21">
        <v>19827.2</v>
      </c>
      <c r="H1179" s="21">
        <v>16240</v>
      </c>
      <c r="I1179" s="18">
        <v>6380.768</v>
      </c>
      <c r="J1179" s="18">
        <v>18446.335999999999</v>
      </c>
      <c r="K1179" s="18" t="s">
        <v>30</v>
      </c>
      <c r="L1179" s="18" t="s">
        <v>23</v>
      </c>
      <c r="M1179" s="18" t="s">
        <v>32</v>
      </c>
      <c r="N1179" s="22">
        <f t="shared" si="108"/>
        <v>0.39599910523120202</v>
      </c>
      <c r="O1179" s="22">
        <f t="shared" si="109"/>
        <v>0.81907682375726298</v>
      </c>
      <c r="P1179" s="23">
        <f t="shared" si="110"/>
        <v>0.32181891542930902</v>
      </c>
      <c r="Q1179" s="23">
        <f t="shared" si="111"/>
        <v>0.39290443349753701</v>
      </c>
      <c r="R1179" s="22">
        <f t="shared" si="112"/>
        <v>1.8909272363452201</v>
      </c>
      <c r="S1179" s="22">
        <f t="shared" si="113"/>
        <v>2.8909272363452199</v>
      </c>
    </row>
    <row r="1180" spans="1:19">
      <c r="A1180" s="18" t="s">
        <v>1219</v>
      </c>
      <c r="B1180" s="18" t="s">
        <v>20</v>
      </c>
      <c r="C1180" s="18" t="s">
        <v>29</v>
      </c>
      <c r="D1180" s="19">
        <v>44876</v>
      </c>
      <c r="E1180" s="20">
        <v>45495</v>
      </c>
      <c r="F1180" s="21">
        <v>71827.199999999997</v>
      </c>
      <c r="G1180" s="21">
        <v>38798.400000000001</v>
      </c>
      <c r="H1180" s="21">
        <v>8913.6</v>
      </c>
      <c r="I1180" s="18">
        <v>4991.5680000000002</v>
      </c>
      <c r="J1180" s="18">
        <v>19011.712</v>
      </c>
      <c r="K1180" s="18" t="s">
        <v>38</v>
      </c>
      <c r="L1180" s="18" t="s">
        <v>35</v>
      </c>
      <c r="M1180" s="18" t="s">
        <v>32</v>
      </c>
      <c r="N1180" s="22">
        <f t="shared" si="108"/>
        <v>0.54016305800588105</v>
      </c>
      <c r="O1180" s="22">
        <f t="shared" si="109"/>
        <v>0.22974143263639701</v>
      </c>
      <c r="P1180" s="23">
        <f t="shared" si="110"/>
        <v>0.128653965111963</v>
      </c>
      <c r="Q1180" s="23">
        <f t="shared" si="111"/>
        <v>0.55999461497038205</v>
      </c>
      <c r="R1180" s="22">
        <f t="shared" si="112"/>
        <v>2.8087655021428102</v>
      </c>
      <c r="S1180" s="22">
        <f t="shared" si="113"/>
        <v>3.8087655021428102</v>
      </c>
    </row>
    <row r="1181" spans="1:19">
      <c r="A1181" s="18" t="s">
        <v>1220</v>
      </c>
      <c r="B1181" s="18" t="s">
        <v>26</v>
      </c>
      <c r="C1181" s="18" t="s">
        <v>41</v>
      </c>
      <c r="D1181" s="19">
        <v>44955</v>
      </c>
      <c r="E1181" s="20">
        <v>45584</v>
      </c>
      <c r="F1181" s="21">
        <v>40867.199999999997</v>
      </c>
      <c r="G1181" s="21">
        <v>26428.799999999999</v>
      </c>
      <c r="H1181" s="21">
        <v>8779.2000000000007</v>
      </c>
      <c r="I1181" s="18">
        <v>4076.2080000000001</v>
      </c>
      <c r="J1181" s="18">
        <v>16283.136</v>
      </c>
      <c r="K1181" s="18" t="s">
        <v>22</v>
      </c>
      <c r="L1181" s="18" t="s">
        <v>35</v>
      </c>
      <c r="M1181" s="18" t="s">
        <v>32</v>
      </c>
      <c r="N1181" s="22">
        <f t="shared" si="108"/>
        <v>0.64669955367629794</v>
      </c>
      <c r="O1181" s="22">
        <f t="shared" si="109"/>
        <v>0.33218307301125999</v>
      </c>
      <c r="P1181" s="23">
        <f t="shared" si="110"/>
        <v>0.15423356338539801</v>
      </c>
      <c r="Q1181" s="23">
        <f t="shared" si="111"/>
        <v>0.464302897758338</v>
      </c>
      <c r="R1181" s="22">
        <f t="shared" si="112"/>
        <v>2.9946774060597501</v>
      </c>
      <c r="S1181" s="22">
        <f t="shared" si="113"/>
        <v>3.9946774060597501</v>
      </c>
    </row>
    <row r="1182" spans="1:19">
      <c r="A1182" s="18" t="s">
        <v>1221</v>
      </c>
      <c r="B1182" s="18" t="s">
        <v>34</v>
      </c>
      <c r="C1182" s="18" t="s">
        <v>48</v>
      </c>
      <c r="D1182" s="19">
        <v>44973</v>
      </c>
      <c r="E1182" s="20">
        <v>45583</v>
      </c>
      <c r="F1182" s="21">
        <v>58280</v>
      </c>
      <c r="G1182" s="21">
        <v>21998.400000000001</v>
      </c>
      <c r="H1182" s="21">
        <v>8950.4</v>
      </c>
      <c r="I1182" s="18">
        <v>1483.92</v>
      </c>
      <c r="J1182" s="18">
        <v>4386.6719999999996</v>
      </c>
      <c r="K1182" s="18" t="s">
        <v>38</v>
      </c>
      <c r="L1182" s="18" t="s">
        <v>31</v>
      </c>
      <c r="M1182" s="18" t="s">
        <v>24</v>
      </c>
      <c r="N1182" s="22">
        <f t="shared" si="108"/>
        <v>0.37746053534660301</v>
      </c>
      <c r="O1182" s="22">
        <f t="shared" si="109"/>
        <v>0.40686595388755498</v>
      </c>
      <c r="P1182" s="23">
        <f t="shared" si="110"/>
        <v>6.7455814968361297E-2</v>
      </c>
      <c r="Q1182" s="23">
        <f t="shared" si="111"/>
        <v>0.16579370754379699</v>
      </c>
      <c r="R1182" s="22">
        <f t="shared" si="112"/>
        <v>1.95613779718583</v>
      </c>
      <c r="S1182" s="22">
        <f t="shared" si="113"/>
        <v>2.9561377971858298</v>
      </c>
    </row>
    <row r="1183" spans="1:19">
      <c r="A1183" s="18" t="s">
        <v>1222</v>
      </c>
      <c r="B1183" s="18" t="s">
        <v>47</v>
      </c>
      <c r="C1183" s="18" t="s">
        <v>21</v>
      </c>
      <c r="D1183" s="19">
        <v>44904</v>
      </c>
      <c r="E1183" s="20">
        <v>45533</v>
      </c>
      <c r="F1183" s="21">
        <v>9075.2000000000007</v>
      </c>
      <c r="G1183" s="21">
        <v>1054.4000000000001</v>
      </c>
      <c r="H1183" s="21">
        <v>902.4</v>
      </c>
      <c r="I1183" s="18">
        <v>3907.0239999999999</v>
      </c>
      <c r="J1183" s="18">
        <v>4916.6880000000001</v>
      </c>
      <c r="K1183" s="18" t="s">
        <v>65</v>
      </c>
      <c r="L1183" s="18" t="s">
        <v>31</v>
      </c>
      <c r="M1183" s="18" t="s">
        <v>32</v>
      </c>
      <c r="N1183" s="22">
        <f t="shared" si="108"/>
        <v>0.116184767277856</v>
      </c>
      <c r="O1183" s="22">
        <f t="shared" si="109"/>
        <v>0.85584218512898302</v>
      </c>
      <c r="P1183" s="23">
        <f t="shared" si="110"/>
        <v>3.70544764795144</v>
      </c>
      <c r="Q1183" s="23">
        <f t="shared" si="111"/>
        <v>4.32959219858156</v>
      </c>
      <c r="R1183" s="22">
        <f t="shared" si="112"/>
        <v>0.25842277907686301</v>
      </c>
      <c r="S1183" s="22">
        <f t="shared" si="113"/>
        <v>1.2584227790768601</v>
      </c>
    </row>
    <row r="1184" spans="1:19">
      <c r="A1184" s="18" t="s">
        <v>1223</v>
      </c>
      <c r="B1184" s="18" t="s">
        <v>47</v>
      </c>
      <c r="C1184" s="18" t="s">
        <v>41</v>
      </c>
      <c r="D1184" s="19">
        <v>44829</v>
      </c>
      <c r="E1184" s="20">
        <v>45431</v>
      </c>
      <c r="F1184" s="21">
        <v>7003.2</v>
      </c>
      <c r="G1184" s="21">
        <v>3296</v>
      </c>
      <c r="H1184" s="21">
        <v>1590.4</v>
      </c>
      <c r="I1184" s="18">
        <v>5324.8159999999998</v>
      </c>
      <c r="J1184" s="18">
        <v>12777.647999999999</v>
      </c>
      <c r="K1184" s="18" t="s">
        <v>22</v>
      </c>
      <c r="L1184" s="18" t="s">
        <v>23</v>
      </c>
      <c r="M1184" s="18" t="s">
        <v>24</v>
      </c>
      <c r="N1184" s="22">
        <f t="shared" si="108"/>
        <v>0.470641992232122</v>
      </c>
      <c r="O1184" s="22">
        <f t="shared" si="109"/>
        <v>0.48252427184466001</v>
      </c>
      <c r="P1184" s="23">
        <f t="shared" si="110"/>
        <v>1.6155388349514599</v>
      </c>
      <c r="Q1184" s="23">
        <f t="shared" si="111"/>
        <v>3.3480985915493</v>
      </c>
      <c r="R1184" s="22">
        <f t="shared" si="112"/>
        <v>1.3996412270395799</v>
      </c>
      <c r="S1184" s="22">
        <f t="shared" si="113"/>
        <v>2.3996412270395799</v>
      </c>
    </row>
    <row r="1185" spans="1:19">
      <c r="A1185" s="18" t="s">
        <v>1224</v>
      </c>
      <c r="B1185" s="18" t="s">
        <v>20</v>
      </c>
      <c r="C1185" s="18" t="s">
        <v>29</v>
      </c>
      <c r="D1185" s="19">
        <v>44762</v>
      </c>
      <c r="E1185" s="20">
        <v>45363</v>
      </c>
      <c r="F1185" s="21">
        <v>78008</v>
      </c>
      <c r="G1185" s="21">
        <v>43716.800000000003</v>
      </c>
      <c r="H1185" s="21">
        <v>6964.8</v>
      </c>
      <c r="I1185" s="18">
        <v>1175.856</v>
      </c>
      <c r="J1185" s="18">
        <v>1522.4</v>
      </c>
      <c r="K1185" s="18" t="s">
        <v>65</v>
      </c>
      <c r="L1185" s="18" t="s">
        <v>35</v>
      </c>
      <c r="M1185" s="18" t="s">
        <v>32</v>
      </c>
      <c r="N1185" s="22">
        <f t="shared" si="108"/>
        <v>0.560414316480361</v>
      </c>
      <c r="O1185" s="22">
        <f t="shared" si="109"/>
        <v>0.15931632690407299</v>
      </c>
      <c r="P1185" s="23">
        <f t="shared" si="110"/>
        <v>2.68971196427918E-2</v>
      </c>
      <c r="Q1185" s="23">
        <f t="shared" si="111"/>
        <v>0.16882839421088899</v>
      </c>
      <c r="R1185" s="22">
        <f t="shared" si="112"/>
        <v>0.29471635982637301</v>
      </c>
      <c r="S1185" s="22">
        <f t="shared" si="113"/>
        <v>1.29471635982637</v>
      </c>
    </row>
    <row r="1186" spans="1:19">
      <c r="A1186" s="18" t="s">
        <v>1225</v>
      </c>
      <c r="B1186" s="18" t="s">
        <v>26</v>
      </c>
      <c r="C1186" s="18" t="s">
        <v>48</v>
      </c>
      <c r="D1186" s="19">
        <v>44880</v>
      </c>
      <c r="E1186" s="20">
        <v>45485</v>
      </c>
      <c r="F1186" s="21">
        <v>14568</v>
      </c>
      <c r="G1186" s="21">
        <v>2913.6</v>
      </c>
      <c r="H1186" s="21">
        <v>337.6</v>
      </c>
      <c r="I1186" s="18">
        <v>6056.4480000000003</v>
      </c>
      <c r="J1186" s="18">
        <v>16709.856</v>
      </c>
      <c r="K1186" s="18" t="s">
        <v>65</v>
      </c>
      <c r="L1186" s="18" t="s">
        <v>31</v>
      </c>
      <c r="M1186" s="18" t="s">
        <v>32</v>
      </c>
      <c r="N1186" s="22">
        <f t="shared" si="108"/>
        <v>0.2</v>
      </c>
      <c r="O1186" s="22">
        <f t="shared" si="109"/>
        <v>0.11587040087863799</v>
      </c>
      <c r="P1186" s="23">
        <f t="shared" si="110"/>
        <v>2.0786820428336101</v>
      </c>
      <c r="Q1186" s="23">
        <f t="shared" si="111"/>
        <v>17.939715639810402</v>
      </c>
      <c r="R1186" s="22">
        <f t="shared" si="112"/>
        <v>1.7590191478569599</v>
      </c>
      <c r="S1186" s="22">
        <f t="shared" si="113"/>
        <v>2.7590191478569599</v>
      </c>
    </row>
    <row r="1187" spans="1:19">
      <c r="A1187" s="18" t="s">
        <v>1226</v>
      </c>
      <c r="B1187" s="18" t="s">
        <v>40</v>
      </c>
      <c r="C1187" s="18" t="s">
        <v>29</v>
      </c>
      <c r="D1187" s="19">
        <v>44709</v>
      </c>
      <c r="E1187" s="20">
        <v>45334</v>
      </c>
      <c r="F1187" s="21">
        <v>60380.800000000003</v>
      </c>
      <c r="G1187" s="21">
        <v>49368</v>
      </c>
      <c r="H1187" s="21">
        <v>8268.7999999999993</v>
      </c>
      <c r="I1187" s="18">
        <v>4667.76</v>
      </c>
      <c r="J1187" s="18">
        <v>15615.232</v>
      </c>
      <c r="K1187" s="18" t="s">
        <v>65</v>
      </c>
      <c r="L1187" s="18" t="s">
        <v>31</v>
      </c>
      <c r="M1187" s="18" t="s">
        <v>24</v>
      </c>
      <c r="N1187" s="22">
        <f t="shared" si="108"/>
        <v>0.81761089617891802</v>
      </c>
      <c r="O1187" s="22">
        <f t="shared" si="109"/>
        <v>0.16749311294765801</v>
      </c>
      <c r="P1187" s="23">
        <f t="shared" si="110"/>
        <v>9.4550315994166301E-2</v>
      </c>
      <c r="Q1187" s="23">
        <f t="shared" si="111"/>
        <v>0.56450270897832799</v>
      </c>
      <c r="R1187" s="22">
        <f t="shared" si="112"/>
        <v>2.3453373780999902</v>
      </c>
      <c r="S1187" s="22">
        <f t="shared" si="113"/>
        <v>3.3453373780999902</v>
      </c>
    </row>
    <row r="1188" spans="1:19">
      <c r="A1188" s="18" t="s">
        <v>1227</v>
      </c>
      <c r="B1188" s="18" t="s">
        <v>20</v>
      </c>
      <c r="C1188" s="18" t="s">
        <v>41</v>
      </c>
      <c r="D1188" s="19">
        <v>44987</v>
      </c>
      <c r="E1188" s="20">
        <v>45595</v>
      </c>
      <c r="F1188" s="21">
        <v>37182.400000000001</v>
      </c>
      <c r="G1188" s="21">
        <v>12806.4</v>
      </c>
      <c r="H1188" s="21">
        <v>12004.8</v>
      </c>
      <c r="I1188" s="18">
        <v>2566.944</v>
      </c>
      <c r="J1188" s="18">
        <v>6739.44</v>
      </c>
      <c r="K1188" s="18" t="s">
        <v>65</v>
      </c>
      <c r="L1188" s="18" t="s">
        <v>50</v>
      </c>
      <c r="M1188" s="18" t="s">
        <v>32</v>
      </c>
      <c r="N1188" s="22">
        <f t="shared" si="108"/>
        <v>0.34442101639485301</v>
      </c>
      <c r="O1188" s="22">
        <f t="shared" si="109"/>
        <v>0.93740629685157395</v>
      </c>
      <c r="P1188" s="23">
        <f t="shared" si="110"/>
        <v>0.20044227886057001</v>
      </c>
      <c r="Q1188" s="23">
        <f t="shared" si="111"/>
        <v>0.21382646941223499</v>
      </c>
      <c r="R1188" s="22">
        <f t="shared" si="112"/>
        <v>1.6254721567747501</v>
      </c>
      <c r="S1188" s="22">
        <f t="shared" si="113"/>
        <v>2.6254721567747499</v>
      </c>
    </row>
    <row r="1189" spans="1:19">
      <c r="A1189" s="18" t="s">
        <v>1228</v>
      </c>
      <c r="B1189" s="18" t="s">
        <v>40</v>
      </c>
      <c r="C1189" s="18" t="s">
        <v>21</v>
      </c>
      <c r="D1189" s="19">
        <v>44915</v>
      </c>
      <c r="E1189" s="20">
        <v>45541</v>
      </c>
      <c r="F1189" s="21">
        <v>21214.400000000001</v>
      </c>
      <c r="G1189" s="21">
        <v>21046.400000000001</v>
      </c>
      <c r="H1189" s="21">
        <v>14136</v>
      </c>
      <c r="I1189" s="18">
        <v>3029.8879999999999</v>
      </c>
      <c r="J1189" s="18">
        <v>10979.456</v>
      </c>
      <c r="K1189" s="18" t="s">
        <v>38</v>
      </c>
      <c r="L1189" s="18" t="s">
        <v>23</v>
      </c>
      <c r="M1189" s="18" t="s">
        <v>24</v>
      </c>
      <c r="N1189" s="22">
        <f t="shared" si="108"/>
        <v>0.99208085074289198</v>
      </c>
      <c r="O1189" s="22">
        <f t="shared" si="109"/>
        <v>0.67165881100805802</v>
      </c>
      <c r="P1189" s="23">
        <f t="shared" si="110"/>
        <v>0.14396229283868001</v>
      </c>
      <c r="Q1189" s="23">
        <f t="shared" si="111"/>
        <v>0.214338426711941</v>
      </c>
      <c r="R1189" s="22">
        <f t="shared" si="112"/>
        <v>2.62371678425077</v>
      </c>
      <c r="S1189" s="22">
        <f t="shared" si="113"/>
        <v>3.62371678425077</v>
      </c>
    </row>
    <row r="1190" spans="1:19">
      <c r="A1190" s="18" t="s">
        <v>1229</v>
      </c>
      <c r="B1190" s="18" t="s">
        <v>20</v>
      </c>
      <c r="C1190" s="18" t="s">
        <v>41</v>
      </c>
      <c r="D1190" s="19">
        <v>44839</v>
      </c>
      <c r="E1190" s="20">
        <v>45454</v>
      </c>
      <c r="F1190" s="21">
        <v>76465.600000000006</v>
      </c>
      <c r="G1190" s="21">
        <v>9638.4</v>
      </c>
      <c r="H1190" s="21">
        <v>6073.6</v>
      </c>
      <c r="I1190" s="18">
        <v>2930.3519999999999</v>
      </c>
      <c r="J1190" s="18">
        <v>7746.2240000000002</v>
      </c>
      <c r="K1190" s="18" t="s">
        <v>43</v>
      </c>
      <c r="L1190" s="18" t="s">
        <v>35</v>
      </c>
      <c r="M1190" s="18" t="s">
        <v>32</v>
      </c>
      <c r="N1190" s="22">
        <f t="shared" si="108"/>
        <v>0.126048837647256</v>
      </c>
      <c r="O1190" s="22">
        <f t="shared" si="109"/>
        <v>0.63014608233731795</v>
      </c>
      <c r="P1190" s="23">
        <f t="shared" si="110"/>
        <v>0.30402888446215098</v>
      </c>
      <c r="Q1190" s="23">
        <f t="shared" si="111"/>
        <v>0.482473656480506</v>
      </c>
      <c r="R1190" s="22">
        <f t="shared" si="112"/>
        <v>1.64344488307207</v>
      </c>
      <c r="S1190" s="22">
        <f t="shared" si="113"/>
        <v>2.6434448830720698</v>
      </c>
    </row>
    <row r="1191" spans="1:19">
      <c r="A1191" s="18" t="s">
        <v>1230</v>
      </c>
      <c r="B1191" s="18" t="s">
        <v>20</v>
      </c>
      <c r="C1191" s="18" t="s">
        <v>21</v>
      </c>
      <c r="D1191" s="19">
        <v>44798</v>
      </c>
      <c r="E1191" s="20">
        <v>45416</v>
      </c>
      <c r="F1191" s="21">
        <v>7132.8</v>
      </c>
      <c r="G1191" s="21">
        <v>1670.4</v>
      </c>
      <c r="H1191" s="21">
        <v>1145.5999999999999</v>
      </c>
      <c r="I1191" s="18">
        <v>3620.16</v>
      </c>
      <c r="J1191" s="18">
        <v>11463.92</v>
      </c>
      <c r="K1191" s="18" t="s">
        <v>38</v>
      </c>
      <c r="L1191" s="18" t="s">
        <v>35</v>
      </c>
      <c r="M1191" s="18" t="s">
        <v>32</v>
      </c>
      <c r="N1191" s="22">
        <f t="shared" si="108"/>
        <v>0.23418573351278599</v>
      </c>
      <c r="O1191" s="22">
        <f t="shared" si="109"/>
        <v>0.68582375478927204</v>
      </c>
      <c r="P1191" s="23">
        <f t="shared" si="110"/>
        <v>2.1672413793103402</v>
      </c>
      <c r="Q1191" s="23">
        <f t="shared" si="111"/>
        <v>3.1600558659217901</v>
      </c>
      <c r="R1191" s="22">
        <f t="shared" si="112"/>
        <v>2.16668876513745</v>
      </c>
      <c r="S1191" s="22">
        <f t="shared" si="113"/>
        <v>3.16668876513745</v>
      </c>
    </row>
    <row r="1192" spans="1:19">
      <c r="A1192" s="18" t="s">
        <v>1231</v>
      </c>
      <c r="B1192" s="18" t="s">
        <v>47</v>
      </c>
      <c r="C1192" s="18" t="s">
        <v>21</v>
      </c>
      <c r="D1192" s="19">
        <v>44917</v>
      </c>
      <c r="E1192" s="20">
        <v>45544</v>
      </c>
      <c r="F1192" s="21">
        <v>73539.199999999997</v>
      </c>
      <c r="G1192" s="21">
        <v>26227.200000000001</v>
      </c>
      <c r="H1192" s="21">
        <v>12195.2</v>
      </c>
      <c r="I1192" s="18">
        <v>2540.6080000000002</v>
      </c>
      <c r="J1192" s="18">
        <v>4500.9759999999997</v>
      </c>
      <c r="K1192" s="18" t="s">
        <v>43</v>
      </c>
      <c r="L1192" s="18" t="s">
        <v>31</v>
      </c>
      <c r="M1192" s="18" t="s">
        <v>24</v>
      </c>
      <c r="N1192" s="22">
        <f t="shared" si="108"/>
        <v>0.35664244375788701</v>
      </c>
      <c r="O1192" s="22">
        <f t="shared" si="109"/>
        <v>0.46498291849682799</v>
      </c>
      <c r="P1192" s="23">
        <f t="shared" si="110"/>
        <v>9.68692044899951E-2</v>
      </c>
      <c r="Q1192" s="23">
        <f t="shared" si="111"/>
        <v>0.208328522697455</v>
      </c>
      <c r="R1192" s="22">
        <f t="shared" si="112"/>
        <v>0.77161372395898897</v>
      </c>
      <c r="S1192" s="22">
        <f t="shared" si="113"/>
        <v>1.77161372395899</v>
      </c>
    </row>
    <row r="1193" spans="1:19">
      <c r="A1193" s="18" t="s">
        <v>1232</v>
      </c>
      <c r="B1193" s="18" t="s">
        <v>47</v>
      </c>
      <c r="C1193" s="18" t="s">
        <v>29</v>
      </c>
      <c r="D1193" s="19">
        <v>44866</v>
      </c>
      <c r="E1193" s="20">
        <v>45476</v>
      </c>
      <c r="F1193" s="21">
        <v>57403.199999999997</v>
      </c>
      <c r="G1193" s="21">
        <v>46052.800000000003</v>
      </c>
      <c r="H1193" s="21">
        <v>14360</v>
      </c>
      <c r="I1193" s="18">
        <v>2939.0079999999998</v>
      </c>
      <c r="J1193" s="18">
        <v>10755.52</v>
      </c>
      <c r="K1193" s="18" t="s">
        <v>30</v>
      </c>
      <c r="L1193" s="18" t="s">
        <v>23</v>
      </c>
      <c r="M1193" s="18" t="s">
        <v>32</v>
      </c>
      <c r="N1193" s="22">
        <f t="shared" si="108"/>
        <v>0.80226886305989897</v>
      </c>
      <c r="O1193" s="22">
        <f t="shared" si="109"/>
        <v>0.31181600250147701</v>
      </c>
      <c r="P1193" s="23">
        <f t="shared" si="110"/>
        <v>6.3818226036201894E-2</v>
      </c>
      <c r="Q1193" s="23">
        <f t="shared" si="111"/>
        <v>0.20466629526462399</v>
      </c>
      <c r="R1193" s="22">
        <f t="shared" si="112"/>
        <v>2.6595749314054302</v>
      </c>
      <c r="S1193" s="22">
        <f t="shared" si="113"/>
        <v>3.6595749314054302</v>
      </c>
    </row>
    <row r="1194" spans="1:19">
      <c r="A1194" s="18" t="s">
        <v>1233</v>
      </c>
      <c r="B1194" s="18" t="s">
        <v>26</v>
      </c>
      <c r="C1194" s="18" t="s">
        <v>21</v>
      </c>
      <c r="D1194" s="19">
        <v>44941</v>
      </c>
      <c r="E1194" s="20">
        <v>45548</v>
      </c>
      <c r="F1194" s="21">
        <v>3974.4</v>
      </c>
      <c r="G1194" s="21">
        <v>3225.6</v>
      </c>
      <c r="H1194" s="21">
        <v>187.2</v>
      </c>
      <c r="I1194" s="18">
        <v>6213.4080000000004</v>
      </c>
      <c r="J1194" s="18">
        <v>20195.024000000001</v>
      </c>
      <c r="K1194" s="18" t="s">
        <v>22</v>
      </c>
      <c r="L1194" s="18" t="s">
        <v>35</v>
      </c>
      <c r="M1194" s="18" t="s">
        <v>24</v>
      </c>
      <c r="N1194" s="22">
        <f t="shared" si="108"/>
        <v>0.811594202898551</v>
      </c>
      <c r="O1194" s="22">
        <f t="shared" si="109"/>
        <v>5.8035714285714302E-2</v>
      </c>
      <c r="P1194" s="23">
        <f t="shared" si="110"/>
        <v>1.92627976190476</v>
      </c>
      <c r="Q1194" s="23">
        <f t="shared" si="111"/>
        <v>33.191282051282101</v>
      </c>
      <c r="R1194" s="22">
        <f t="shared" si="112"/>
        <v>2.2502330444097698</v>
      </c>
      <c r="S1194" s="22">
        <f t="shared" si="113"/>
        <v>3.2502330444097698</v>
      </c>
    </row>
    <row r="1195" spans="1:19">
      <c r="A1195" s="18" t="s">
        <v>1234</v>
      </c>
      <c r="B1195" s="18" t="s">
        <v>47</v>
      </c>
      <c r="C1195" s="18" t="s">
        <v>41</v>
      </c>
      <c r="D1195" s="19">
        <v>44788</v>
      </c>
      <c r="E1195" s="20">
        <v>45403</v>
      </c>
      <c r="F1195" s="21">
        <v>51041.599999999999</v>
      </c>
      <c r="G1195" s="21">
        <v>31156.799999999999</v>
      </c>
      <c r="H1195" s="21">
        <v>25262.400000000001</v>
      </c>
      <c r="I1195" s="18">
        <v>2509.232</v>
      </c>
      <c r="J1195" s="18">
        <v>5540.24</v>
      </c>
      <c r="K1195" s="18" t="s">
        <v>38</v>
      </c>
      <c r="L1195" s="18" t="s">
        <v>23</v>
      </c>
      <c r="M1195" s="18" t="s">
        <v>32</v>
      </c>
      <c r="N1195" s="22">
        <f t="shared" si="108"/>
        <v>0.61041973605843103</v>
      </c>
      <c r="O1195" s="22">
        <f t="shared" si="109"/>
        <v>0.81081497458018803</v>
      </c>
      <c r="P1195" s="23">
        <f t="shared" si="110"/>
        <v>8.0535613413444299E-2</v>
      </c>
      <c r="Q1195" s="23">
        <f t="shared" si="111"/>
        <v>9.93267464690607E-2</v>
      </c>
      <c r="R1195" s="22">
        <f t="shared" si="112"/>
        <v>1.2079425098994401</v>
      </c>
      <c r="S1195" s="22">
        <f t="shared" si="113"/>
        <v>2.2079425098994401</v>
      </c>
    </row>
    <row r="1196" spans="1:19">
      <c r="A1196" s="18" t="s">
        <v>1235</v>
      </c>
      <c r="B1196" s="18" t="s">
        <v>40</v>
      </c>
      <c r="C1196" s="18" t="s">
        <v>48</v>
      </c>
      <c r="D1196" s="19">
        <v>44834</v>
      </c>
      <c r="E1196" s="20">
        <v>45453</v>
      </c>
      <c r="F1196" s="21">
        <v>43833.599999999999</v>
      </c>
      <c r="G1196" s="21">
        <v>23643.200000000001</v>
      </c>
      <c r="H1196" s="21">
        <v>8880</v>
      </c>
      <c r="I1196" s="18">
        <v>7703.3280000000004</v>
      </c>
      <c r="J1196" s="18">
        <v>30796.959999999999</v>
      </c>
      <c r="K1196" s="18" t="s">
        <v>43</v>
      </c>
      <c r="L1196" s="18" t="s">
        <v>23</v>
      </c>
      <c r="M1196" s="18" t="s">
        <v>24</v>
      </c>
      <c r="N1196" s="22">
        <f t="shared" si="108"/>
        <v>0.53938531172433901</v>
      </c>
      <c r="O1196" s="22">
        <f t="shared" si="109"/>
        <v>0.37558367733640102</v>
      </c>
      <c r="P1196" s="23">
        <f t="shared" si="110"/>
        <v>0.32581579481626899</v>
      </c>
      <c r="Q1196" s="23">
        <f t="shared" si="111"/>
        <v>0.86749189189189202</v>
      </c>
      <c r="R1196" s="22">
        <f t="shared" si="112"/>
        <v>2.9978772810920198</v>
      </c>
      <c r="S1196" s="22">
        <f t="shared" si="113"/>
        <v>3.9978772810920198</v>
      </c>
    </row>
    <row r="1197" spans="1:19">
      <c r="A1197" s="18" t="s">
        <v>1236</v>
      </c>
      <c r="B1197" s="18" t="s">
        <v>47</v>
      </c>
      <c r="C1197" s="18" t="s">
        <v>41</v>
      </c>
      <c r="D1197" s="19">
        <v>44811</v>
      </c>
      <c r="E1197" s="20">
        <v>45427</v>
      </c>
      <c r="F1197" s="21">
        <v>23995.200000000001</v>
      </c>
      <c r="G1197" s="21">
        <v>13513.6</v>
      </c>
      <c r="H1197" s="21">
        <v>8227.2000000000007</v>
      </c>
      <c r="I1197" s="18">
        <v>734.60799999999995</v>
      </c>
      <c r="J1197" s="18">
        <v>1625.152</v>
      </c>
      <c r="K1197" s="18" t="s">
        <v>22</v>
      </c>
      <c r="L1197" s="18" t="s">
        <v>23</v>
      </c>
      <c r="M1197" s="18" t="s">
        <v>32</v>
      </c>
      <c r="N1197" s="22">
        <f t="shared" si="108"/>
        <v>0.56317930252717197</v>
      </c>
      <c r="O1197" s="22">
        <f t="shared" si="109"/>
        <v>0.60880890362301698</v>
      </c>
      <c r="P1197" s="23">
        <f t="shared" si="110"/>
        <v>5.4360644091877797E-2</v>
      </c>
      <c r="Q1197" s="23">
        <f t="shared" si="111"/>
        <v>8.9290159471022895E-2</v>
      </c>
      <c r="R1197" s="22">
        <f t="shared" si="112"/>
        <v>1.21227103434757</v>
      </c>
      <c r="S1197" s="22">
        <f t="shared" si="113"/>
        <v>2.21227103434757</v>
      </c>
    </row>
    <row r="1198" spans="1:19">
      <c r="A1198" s="18" t="s">
        <v>1237</v>
      </c>
      <c r="B1198" s="18" t="s">
        <v>40</v>
      </c>
      <c r="C1198" s="18" t="s">
        <v>48</v>
      </c>
      <c r="D1198" s="19">
        <v>44823</v>
      </c>
      <c r="E1198" s="20">
        <v>45447</v>
      </c>
      <c r="F1198" s="21">
        <v>76849.600000000006</v>
      </c>
      <c r="G1198" s="21">
        <v>20929.599999999999</v>
      </c>
      <c r="H1198" s="21">
        <v>7590.4</v>
      </c>
      <c r="I1198" s="18">
        <v>4496.3999999999996</v>
      </c>
      <c r="J1198" s="18">
        <v>12526.255999999999</v>
      </c>
      <c r="K1198" s="18" t="s">
        <v>38</v>
      </c>
      <c r="L1198" s="18" t="s">
        <v>35</v>
      </c>
      <c r="M1198" s="18" t="s">
        <v>32</v>
      </c>
      <c r="N1198" s="22">
        <f t="shared" si="108"/>
        <v>0.27234494389040398</v>
      </c>
      <c r="O1198" s="22">
        <f t="shared" si="109"/>
        <v>0.36266340493846</v>
      </c>
      <c r="P1198" s="23">
        <f t="shared" si="110"/>
        <v>0.21483449277578201</v>
      </c>
      <c r="Q1198" s="23">
        <f t="shared" si="111"/>
        <v>0.59237984822934198</v>
      </c>
      <c r="R1198" s="22">
        <f t="shared" si="112"/>
        <v>1.78584111733832</v>
      </c>
      <c r="S1198" s="22">
        <f t="shared" si="113"/>
        <v>2.7858411173383102</v>
      </c>
    </row>
    <row r="1199" spans="1:19">
      <c r="A1199" s="18" t="s">
        <v>1238</v>
      </c>
      <c r="B1199" s="18" t="s">
        <v>28</v>
      </c>
      <c r="C1199" s="18" t="s">
        <v>21</v>
      </c>
      <c r="D1199" s="19">
        <v>44772</v>
      </c>
      <c r="E1199" s="20">
        <v>45386</v>
      </c>
      <c r="F1199" s="21">
        <v>22832</v>
      </c>
      <c r="G1199" s="21">
        <v>14569.6</v>
      </c>
      <c r="H1199" s="21">
        <v>14476.8</v>
      </c>
      <c r="I1199" s="18">
        <v>5936.4960000000001</v>
      </c>
      <c r="J1199" s="18">
        <v>8826.9760000000006</v>
      </c>
      <c r="K1199" s="18" t="s">
        <v>22</v>
      </c>
      <c r="L1199" s="18" t="s">
        <v>23</v>
      </c>
      <c r="M1199" s="18" t="s">
        <v>24</v>
      </c>
      <c r="N1199" s="22">
        <f t="shared" si="108"/>
        <v>0.63812193412754004</v>
      </c>
      <c r="O1199" s="22">
        <f t="shared" si="109"/>
        <v>0.99363057324840798</v>
      </c>
      <c r="P1199" s="23">
        <f t="shared" si="110"/>
        <v>0.407457720184494</v>
      </c>
      <c r="Q1199" s="23">
        <f t="shared" si="111"/>
        <v>0.41006962864721502</v>
      </c>
      <c r="R1199" s="22">
        <f t="shared" si="112"/>
        <v>0.48690001644067499</v>
      </c>
      <c r="S1199" s="22">
        <f t="shared" si="113"/>
        <v>1.48690001644067</v>
      </c>
    </row>
    <row r="1200" spans="1:19">
      <c r="A1200" s="18" t="s">
        <v>1239</v>
      </c>
      <c r="B1200" s="18" t="s">
        <v>40</v>
      </c>
      <c r="C1200" s="18" t="s">
        <v>41</v>
      </c>
      <c r="D1200" s="19">
        <v>44797</v>
      </c>
      <c r="E1200" s="20">
        <v>45417</v>
      </c>
      <c r="F1200" s="21">
        <v>14182.4</v>
      </c>
      <c r="G1200" s="21">
        <v>8476.7999999999993</v>
      </c>
      <c r="H1200" s="21">
        <v>5787.2</v>
      </c>
      <c r="I1200" s="18">
        <v>5321.4880000000003</v>
      </c>
      <c r="J1200" s="18">
        <v>20335.824000000001</v>
      </c>
      <c r="K1200" s="18" t="s">
        <v>38</v>
      </c>
      <c r="L1200" s="18" t="s">
        <v>50</v>
      </c>
      <c r="M1200" s="18" t="s">
        <v>24</v>
      </c>
      <c r="N1200" s="22">
        <f t="shared" si="108"/>
        <v>0.59769855595667898</v>
      </c>
      <c r="O1200" s="22">
        <f t="shared" si="109"/>
        <v>0.68271045677614195</v>
      </c>
      <c r="P1200" s="23">
        <f t="shared" si="110"/>
        <v>0.62777085692714196</v>
      </c>
      <c r="Q1200" s="23">
        <f t="shared" si="111"/>
        <v>0.91952723251313295</v>
      </c>
      <c r="R1200" s="22">
        <f t="shared" si="112"/>
        <v>2.8214544503341901</v>
      </c>
      <c r="S1200" s="22">
        <f t="shared" si="113"/>
        <v>3.8214544503341901</v>
      </c>
    </row>
    <row r="1201" spans="1:19">
      <c r="A1201" s="18" t="s">
        <v>1240</v>
      </c>
      <c r="B1201" s="18" t="s">
        <v>26</v>
      </c>
      <c r="C1201" s="18" t="s">
        <v>48</v>
      </c>
      <c r="D1201" s="19">
        <v>44931</v>
      </c>
      <c r="E1201" s="20">
        <v>45548</v>
      </c>
      <c r="F1201" s="21">
        <v>17068.8</v>
      </c>
      <c r="G1201" s="21">
        <v>3624</v>
      </c>
      <c r="H1201" s="21">
        <v>1128</v>
      </c>
      <c r="I1201" s="18">
        <v>4377.7920000000004</v>
      </c>
      <c r="J1201" s="18">
        <v>10296.528</v>
      </c>
      <c r="K1201" s="18" t="s">
        <v>22</v>
      </c>
      <c r="L1201" s="18" t="s">
        <v>44</v>
      </c>
      <c r="M1201" s="18" t="s">
        <v>32</v>
      </c>
      <c r="N1201" s="22">
        <f t="shared" si="108"/>
        <v>0.21231721034870599</v>
      </c>
      <c r="O1201" s="22">
        <f t="shared" si="109"/>
        <v>0.31125827814569501</v>
      </c>
      <c r="P1201" s="23">
        <f t="shared" si="110"/>
        <v>1.208</v>
      </c>
      <c r="Q1201" s="23">
        <f t="shared" si="111"/>
        <v>3.8810212765957401</v>
      </c>
      <c r="R1201" s="22">
        <f t="shared" si="112"/>
        <v>1.35199114073944</v>
      </c>
      <c r="S1201" s="22">
        <f t="shared" si="113"/>
        <v>2.35199114073944</v>
      </c>
    </row>
    <row r="1202" spans="1:19">
      <c r="A1202" s="18" t="s">
        <v>1241</v>
      </c>
      <c r="B1202" s="18" t="s">
        <v>20</v>
      </c>
      <c r="C1202" s="18" t="s">
        <v>48</v>
      </c>
      <c r="D1202" s="19">
        <v>44897</v>
      </c>
      <c r="E1202" s="20">
        <v>45525</v>
      </c>
      <c r="F1202" s="21">
        <v>78028.800000000003</v>
      </c>
      <c r="G1202" s="21">
        <v>47611.199999999997</v>
      </c>
      <c r="H1202" s="21">
        <v>37684.800000000003</v>
      </c>
      <c r="I1202" s="18">
        <v>1264.6079999999999</v>
      </c>
      <c r="J1202" s="18">
        <v>1520.8320000000001</v>
      </c>
      <c r="K1202" s="18" t="s">
        <v>22</v>
      </c>
      <c r="L1202" s="18" t="s">
        <v>44</v>
      </c>
      <c r="M1202" s="18" t="s">
        <v>32</v>
      </c>
      <c r="N1202" s="22">
        <f t="shared" si="108"/>
        <v>0.61017470472440904</v>
      </c>
      <c r="O1202" s="22">
        <f t="shared" si="109"/>
        <v>0.79151124105252602</v>
      </c>
      <c r="P1202" s="23">
        <f t="shared" si="110"/>
        <v>2.65611452767416E-2</v>
      </c>
      <c r="Q1202" s="23">
        <f t="shared" si="111"/>
        <v>3.3557508597630903E-2</v>
      </c>
      <c r="R1202" s="22">
        <f t="shared" si="112"/>
        <v>0.20261140211037701</v>
      </c>
      <c r="S1202" s="22">
        <f t="shared" si="113"/>
        <v>1.20261140211038</v>
      </c>
    </row>
    <row r="1203" spans="1:19">
      <c r="A1203" s="18" t="s">
        <v>1242</v>
      </c>
      <c r="B1203" s="18" t="s">
        <v>34</v>
      </c>
      <c r="C1203" s="18" t="s">
        <v>29</v>
      </c>
      <c r="D1203" s="19">
        <v>44917</v>
      </c>
      <c r="E1203" s="20">
        <v>45543</v>
      </c>
      <c r="F1203" s="21">
        <v>74553.600000000006</v>
      </c>
      <c r="G1203" s="21">
        <v>68934.399999999994</v>
      </c>
      <c r="H1203" s="21">
        <v>38964.800000000003</v>
      </c>
      <c r="I1203" s="18">
        <v>1743.6959999999999</v>
      </c>
      <c r="J1203" s="18">
        <v>4121.9040000000005</v>
      </c>
      <c r="K1203" s="18" t="s">
        <v>38</v>
      </c>
      <c r="L1203" s="18" t="s">
        <v>35</v>
      </c>
      <c r="M1203" s="18" t="s">
        <v>32</v>
      </c>
      <c r="N1203" s="22">
        <f t="shared" si="108"/>
        <v>0.92462872349557901</v>
      </c>
      <c r="O1203" s="22">
        <f t="shared" si="109"/>
        <v>0.56524463838083705</v>
      </c>
      <c r="P1203" s="23">
        <f t="shared" si="110"/>
        <v>2.5295005106303999E-2</v>
      </c>
      <c r="Q1203" s="23">
        <f t="shared" si="111"/>
        <v>4.4750544080811402E-2</v>
      </c>
      <c r="R1203" s="22">
        <f t="shared" si="112"/>
        <v>1.3638891182866699</v>
      </c>
      <c r="S1203" s="22">
        <f t="shared" si="113"/>
        <v>2.3638891182866701</v>
      </c>
    </row>
    <row r="1204" spans="1:19">
      <c r="A1204" s="18" t="s">
        <v>1243</v>
      </c>
      <c r="B1204" s="18" t="s">
        <v>28</v>
      </c>
      <c r="C1204" s="18" t="s">
        <v>29</v>
      </c>
      <c r="D1204" s="19">
        <v>44974</v>
      </c>
      <c r="E1204" s="20">
        <v>45593</v>
      </c>
      <c r="F1204" s="21">
        <v>41193.599999999999</v>
      </c>
      <c r="G1204" s="21">
        <v>30371.200000000001</v>
      </c>
      <c r="H1204" s="21">
        <v>4392</v>
      </c>
      <c r="I1204" s="18">
        <v>964.49599999999998</v>
      </c>
      <c r="J1204" s="18">
        <v>3605.0239999999999</v>
      </c>
      <c r="K1204" s="18" t="s">
        <v>38</v>
      </c>
      <c r="L1204" s="18" t="s">
        <v>31</v>
      </c>
      <c r="M1204" s="18" t="s">
        <v>32</v>
      </c>
      <c r="N1204" s="22">
        <f t="shared" si="108"/>
        <v>0.73727957741008299</v>
      </c>
      <c r="O1204" s="22">
        <f t="shared" si="109"/>
        <v>0.14461068380571099</v>
      </c>
      <c r="P1204" s="23">
        <f t="shared" si="110"/>
        <v>3.1756927615635901E-2</v>
      </c>
      <c r="Q1204" s="23">
        <f t="shared" si="111"/>
        <v>0.21960291438980001</v>
      </c>
      <c r="R1204" s="22">
        <f t="shared" si="112"/>
        <v>2.7377283057679902</v>
      </c>
      <c r="S1204" s="22">
        <f t="shared" si="113"/>
        <v>3.7377283057679902</v>
      </c>
    </row>
    <row r="1205" spans="1:19">
      <c r="A1205" s="18" t="s">
        <v>1244</v>
      </c>
      <c r="B1205" s="18" t="s">
        <v>28</v>
      </c>
      <c r="C1205" s="18" t="s">
        <v>21</v>
      </c>
      <c r="D1205" s="19">
        <v>44692</v>
      </c>
      <c r="E1205" s="20">
        <v>45306</v>
      </c>
      <c r="F1205" s="21">
        <v>11787.2</v>
      </c>
      <c r="G1205" s="21">
        <v>896</v>
      </c>
      <c r="H1205" s="21">
        <v>153.6</v>
      </c>
      <c r="I1205" s="18">
        <v>219.136</v>
      </c>
      <c r="J1205" s="18">
        <v>604.44799999999998</v>
      </c>
      <c r="K1205" s="18" t="s">
        <v>65</v>
      </c>
      <c r="L1205" s="18" t="s">
        <v>50</v>
      </c>
      <c r="M1205" s="18" t="s">
        <v>32</v>
      </c>
      <c r="N1205" s="22">
        <f t="shared" si="108"/>
        <v>7.6014659970137094E-2</v>
      </c>
      <c r="O1205" s="22">
        <f t="shared" si="109"/>
        <v>0.17142857142857101</v>
      </c>
      <c r="P1205" s="23">
        <f t="shared" si="110"/>
        <v>0.24457142857142899</v>
      </c>
      <c r="Q1205" s="23">
        <f t="shared" si="111"/>
        <v>1.4266666666666701</v>
      </c>
      <c r="R1205" s="22">
        <f t="shared" si="112"/>
        <v>1.75832359813084</v>
      </c>
      <c r="S1205" s="22">
        <f t="shared" si="113"/>
        <v>2.7583235981308398</v>
      </c>
    </row>
    <row r="1206" spans="1:19">
      <c r="A1206" s="18" t="s">
        <v>1245</v>
      </c>
      <c r="B1206" s="18" t="s">
        <v>20</v>
      </c>
      <c r="C1206" s="18" t="s">
        <v>41</v>
      </c>
      <c r="D1206" s="19">
        <v>44809</v>
      </c>
      <c r="E1206" s="20">
        <v>45414</v>
      </c>
      <c r="F1206" s="21">
        <v>65638.399999999994</v>
      </c>
      <c r="G1206" s="21">
        <v>54545.599999999999</v>
      </c>
      <c r="H1206" s="21">
        <v>11798.4</v>
      </c>
      <c r="I1206" s="18">
        <v>4637.8559999999998</v>
      </c>
      <c r="J1206" s="18">
        <v>14020.016</v>
      </c>
      <c r="K1206" s="18" t="s">
        <v>30</v>
      </c>
      <c r="L1206" s="18" t="s">
        <v>44</v>
      </c>
      <c r="M1206" s="18" t="s">
        <v>32</v>
      </c>
      <c r="N1206" s="22">
        <f t="shared" si="108"/>
        <v>0.83100136505460198</v>
      </c>
      <c r="O1206" s="22">
        <f t="shared" si="109"/>
        <v>0.21630342319087101</v>
      </c>
      <c r="P1206" s="23">
        <f t="shared" si="110"/>
        <v>8.5027133260977994E-2</v>
      </c>
      <c r="Q1206" s="23">
        <f t="shared" si="111"/>
        <v>0.39309194467046399</v>
      </c>
      <c r="R1206" s="22">
        <f t="shared" si="112"/>
        <v>2.02295198471018</v>
      </c>
      <c r="S1206" s="22">
        <f t="shared" si="113"/>
        <v>3.02295198471018</v>
      </c>
    </row>
    <row r="1207" spans="1:19">
      <c r="A1207" s="18" t="s">
        <v>1246</v>
      </c>
      <c r="B1207" s="18" t="s">
        <v>26</v>
      </c>
      <c r="C1207" s="18" t="s">
        <v>21</v>
      </c>
      <c r="D1207" s="19">
        <v>44888</v>
      </c>
      <c r="E1207" s="20">
        <v>45495</v>
      </c>
      <c r="F1207" s="21">
        <v>26540.799999999999</v>
      </c>
      <c r="G1207" s="21">
        <v>9971.2000000000007</v>
      </c>
      <c r="H1207" s="21">
        <v>1449.6</v>
      </c>
      <c r="I1207" s="18">
        <v>7308.4</v>
      </c>
      <c r="J1207" s="18">
        <v>28673.824000000001</v>
      </c>
      <c r="K1207" s="18" t="s">
        <v>43</v>
      </c>
      <c r="L1207" s="18" t="s">
        <v>50</v>
      </c>
      <c r="M1207" s="18" t="s">
        <v>32</v>
      </c>
      <c r="N1207" s="22">
        <f t="shared" si="108"/>
        <v>0.37569327224499599</v>
      </c>
      <c r="O1207" s="22">
        <f t="shared" si="109"/>
        <v>0.14537869062901199</v>
      </c>
      <c r="P1207" s="23">
        <f t="shared" si="110"/>
        <v>0.73295089858793305</v>
      </c>
      <c r="Q1207" s="23">
        <f t="shared" si="111"/>
        <v>5.0416666666666696</v>
      </c>
      <c r="R1207" s="22">
        <f t="shared" si="112"/>
        <v>2.9234064911608599</v>
      </c>
      <c r="S1207" s="22">
        <f t="shared" si="113"/>
        <v>3.9234064911608599</v>
      </c>
    </row>
    <row r="1208" spans="1:19">
      <c r="A1208" s="18" t="s">
        <v>1247</v>
      </c>
      <c r="B1208" s="18" t="s">
        <v>47</v>
      </c>
      <c r="C1208" s="18" t="s">
        <v>21</v>
      </c>
      <c r="D1208" s="19">
        <v>44871</v>
      </c>
      <c r="E1208" s="20">
        <v>45485</v>
      </c>
      <c r="F1208" s="21">
        <v>60076.800000000003</v>
      </c>
      <c r="G1208" s="21">
        <v>1467.2</v>
      </c>
      <c r="H1208" s="21">
        <v>1392</v>
      </c>
      <c r="I1208" s="18">
        <v>3275.248</v>
      </c>
      <c r="J1208" s="18">
        <v>4156.1120000000001</v>
      </c>
      <c r="K1208" s="18" t="s">
        <v>22</v>
      </c>
      <c r="L1208" s="18" t="s">
        <v>44</v>
      </c>
      <c r="M1208" s="18" t="s">
        <v>32</v>
      </c>
      <c r="N1208" s="22">
        <f t="shared" si="108"/>
        <v>2.44220730797912E-2</v>
      </c>
      <c r="O1208" s="22">
        <f t="shared" si="109"/>
        <v>0.94874591057797197</v>
      </c>
      <c r="P1208" s="23">
        <f t="shared" si="110"/>
        <v>2.2323118865867002</v>
      </c>
      <c r="Q1208" s="23">
        <f t="shared" si="111"/>
        <v>2.35290804597701</v>
      </c>
      <c r="R1208" s="22">
        <f t="shared" si="112"/>
        <v>0.26894574090267398</v>
      </c>
      <c r="S1208" s="22">
        <f t="shared" si="113"/>
        <v>1.2689457409026701</v>
      </c>
    </row>
    <row r="1209" spans="1:19">
      <c r="A1209" s="18" t="s">
        <v>1248</v>
      </c>
      <c r="B1209" s="18" t="s">
        <v>28</v>
      </c>
      <c r="C1209" s="18" t="s">
        <v>48</v>
      </c>
      <c r="D1209" s="19">
        <v>44989</v>
      </c>
      <c r="E1209" s="20">
        <v>45603</v>
      </c>
      <c r="F1209" s="21">
        <v>79894.399999999994</v>
      </c>
      <c r="G1209" s="21">
        <v>5011.2</v>
      </c>
      <c r="H1209" s="21">
        <v>1427.2</v>
      </c>
      <c r="I1209" s="18">
        <v>7582.576</v>
      </c>
      <c r="J1209" s="18">
        <v>21790.720000000001</v>
      </c>
      <c r="K1209" s="18" t="s">
        <v>65</v>
      </c>
      <c r="L1209" s="18" t="s">
        <v>35</v>
      </c>
      <c r="M1209" s="18" t="s">
        <v>32</v>
      </c>
      <c r="N1209" s="22">
        <f t="shared" si="108"/>
        <v>6.2722794088196407E-2</v>
      </c>
      <c r="O1209" s="22">
        <f t="shared" si="109"/>
        <v>0.28480204342273302</v>
      </c>
      <c r="P1209" s="23">
        <f t="shared" si="110"/>
        <v>1.5131257982120101</v>
      </c>
      <c r="Q1209" s="23">
        <f t="shared" si="111"/>
        <v>5.3129035874439499</v>
      </c>
      <c r="R1209" s="22">
        <f t="shared" si="112"/>
        <v>1.8737885383542501</v>
      </c>
      <c r="S1209" s="22">
        <f t="shared" si="113"/>
        <v>2.8737885383542499</v>
      </c>
    </row>
    <row r="1210" spans="1:19">
      <c r="A1210" s="18" t="s">
        <v>1249</v>
      </c>
      <c r="B1210" s="18" t="s">
        <v>47</v>
      </c>
      <c r="C1210" s="18" t="s">
        <v>21</v>
      </c>
      <c r="D1210" s="19">
        <v>44982</v>
      </c>
      <c r="E1210" s="20">
        <v>45587</v>
      </c>
      <c r="F1210" s="21">
        <v>50105.599999999999</v>
      </c>
      <c r="G1210" s="21">
        <v>21641.599999999999</v>
      </c>
      <c r="H1210" s="21">
        <v>2841.6</v>
      </c>
      <c r="I1210" s="18">
        <v>617.85599999999999</v>
      </c>
      <c r="J1210" s="18">
        <v>2221.7759999999998</v>
      </c>
      <c r="K1210" s="18" t="s">
        <v>30</v>
      </c>
      <c r="L1210" s="18" t="s">
        <v>44</v>
      </c>
      <c r="M1210" s="18" t="s">
        <v>24</v>
      </c>
      <c r="N1210" s="22">
        <f t="shared" si="108"/>
        <v>0.43191978541320702</v>
      </c>
      <c r="O1210" s="22">
        <f t="shared" si="109"/>
        <v>0.13130267632707401</v>
      </c>
      <c r="P1210" s="23">
        <f t="shared" si="110"/>
        <v>2.8549460298684E-2</v>
      </c>
      <c r="Q1210" s="23">
        <f t="shared" si="111"/>
        <v>0.21743243243243199</v>
      </c>
      <c r="R1210" s="22">
        <f t="shared" si="112"/>
        <v>2.5959446861404598</v>
      </c>
      <c r="S1210" s="22">
        <f t="shared" si="113"/>
        <v>3.5959446861404598</v>
      </c>
    </row>
    <row r="1211" spans="1:19">
      <c r="A1211" s="18" t="s">
        <v>1250</v>
      </c>
      <c r="B1211" s="18" t="s">
        <v>20</v>
      </c>
      <c r="C1211" s="18" t="s">
        <v>48</v>
      </c>
      <c r="D1211" s="19">
        <v>44786</v>
      </c>
      <c r="E1211" s="20">
        <v>45390</v>
      </c>
      <c r="F1211" s="21">
        <v>51785.599999999999</v>
      </c>
      <c r="G1211" s="21">
        <v>34358.400000000001</v>
      </c>
      <c r="H1211" s="21">
        <v>18782.400000000001</v>
      </c>
      <c r="I1211" s="18">
        <v>7547.04</v>
      </c>
      <c r="J1211" s="18">
        <v>29269.903999999999</v>
      </c>
      <c r="K1211" s="18" t="s">
        <v>30</v>
      </c>
      <c r="L1211" s="18" t="s">
        <v>35</v>
      </c>
      <c r="M1211" s="18" t="s">
        <v>32</v>
      </c>
      <c r="N1211" s="22">
        <f t="shared" si="108"/>
        <v>0.66347401594265598</v>
      </c>
      <c r="O1211" s="22">
        <f t="shared" si="109"/>
        <v>0.54666107851355095</v>
      </c>
      <c r="P1211" s="23">
        <f t="shared" si="110"/>
        <v>0.219656328583403</v>
      </c>
      <c r="Q1211" s="23">
        <f t="shared" si="111"/>
        <v>0.40181446460516201</v>
      </c>
      <c r="R1211" s="22">
        <f t="shared" si="112"/>
        <v>2.87832898725858</v>
      </c>
      <c r="S1211" s="22">
        <f t="shared" si="113"/>
        <v>3.87832898725858</v>
      </c>
    </row>
    <row r="1212" spans="1:19">
      <c r="A1212" s="18" t="s">
        <v>1251</v>
      </c>
      <c r="B1212" s="18" t="s">
        <v>40</v>
      </c>
      <c r="C1212" s="18" t="s">
        <v>48</v>
      </c>
      <c r="D1212" s="19">
        <v>44903</v>
      </c>
      <c r="E1212" s="20">
        <v>45510</v>
      </c>
      <c r="F1212" s="21">
        <v>73689.600000000006</v>
      </c>
      <c r="G1212" s="21">
        <v>32889.599999999999</v>
      </c>
      <c r="H1212" s="21">
        <v>14358.4</v>
      </c>
      <c r="I1212" s="18">
        <v>1562.288</v>
      </c>
      <c r="J1212" s="18">
        <v>4663.7120000000004</v>
      </c>
      <c r="K1212" s="18" t="s">
        <v>22</v>
      </c>
      <c r="L1212" s="18" t="s">
        <v>31</v>
      </c>
      <c r="M1212" s="18" t="s">
        <v>24</v>
      </c>
      <c r="N1212" s="22">
        <f t="shared" si="108"/>
        <v>0.44632621156852498</v>
      </c>
      <c r="O1212" s="22">
        <f t="shared" si="109"/>
        <v>0.43656353376143198</v>
      </c>
      <c r="P1212" s="23">
        <f t="shared" si="110"/>
        <v>4.7500972951936199E-2</v>
      </c>
      <c r="Q1212" s="23">
        <f t="shared" si="111"/>
        <v>0.10880655226209</v>
      </c>
      <c r="R1212" s="22">
        <f t="shared" si="112"/>
        <v>1.98518070931864</v>
      </c>
      <c r="S1212" s="22">
        <f t="shared" si="113"/>
        <v>2.98518070931864</v>
      </c>
    </row>
    <row r="1213" spans="1:19">
      <c r="A1213" s="18" t="s">
        <v>1252</v>
      </c>
      <c r="B1213" s="18" t="s">
        <v>28</v>
      </c>
      <c r="C1213" s="18" t="s">
        <v>48</v>
      </c>
      <c r="D1213" s="19">
        <v>44777</v>
      </c>
      <c r="E1213" s="20">
        <v>45392</v>
      </c>
      <c r="F1213" s="21">
        <v>40329.599999999999</v>
      </c>
      <c r="G1213" s="21">
        <v>10675.2</v>
      </c>
      <c r="H1213" s="21">
        <v>4019.2</v>
      </c>
      <c r="I1213" s="18">
        <v>7905.5680000000002</v>
      </c>
      <c r="J1213" s="18">
        <v>20803.088</v>
      </c>
      <c r="K1213" s="18" t="s">
        <v>38</v>
      </c>
      <c r="L1213" s="18" t="s">
        <v>35</v>
      </c>
      <c r="M1213" s="18" t="s">
        <v>32</v>
      </c>
      <c r="N1213" s="22">
        <f t="shared" si="108"/>
        <v>0.26469888121875701</v>
      </c>
      <c r="O1213" s="22">
        <f t="shared" si="109"/>
        <v>0.37649880095923299</v>
      </c>
      <c r="P1213" s="23">
        <f t="shared" si="110"/>
        <v>0.74055455635491596</v>
      </c>
      <c r="Q1213" s="23">
        <f t="shared" si="111"/>
        <v>1.9669506369426799</v>
      </c>
      <c r="R1213" s="22">
        <f t="shared" si="112"/>
        <v>1.63144760755963</v>
      </c>
      <c r="S1213" s="22">
        <f t="shared" si="113"/>
        <v>2.6314476075596298</v>
      </c>
    </row>
    <row r="1214" spans="1:19">
      <c r="A1214" s="18" t="s">
        <v>1253</v>
      </c>
      <c r="B1214" s="18" t="s">
        <v>28</v>
      </c>
      <c r="C1214" s="18" t="s">
        <v>41</v>
      </c>
      <c r="D1214" s="19">
        <v>44708</v>
      </c>
      <c r="E1214" s="20">
        <v>45316</v>
      </c>
      <c r="F1214" s="21">
        <v>75288</v>
      </c>
      <c r="G1214" s="21">
        <v>14665.6</v>
      </c>
      <c r="H1214" s="21">
        <v>9540.7999999999993</v>
      </c>
      <c r="I1214" s="18">
        <v>979.82399999999996</v>
      </c>
      <c r="J1214" s="18">
        <v>2979.4879999999998</v>
      </c>
      <c r="K1214" s="18" t="s">
        <v>22</v>
      </c>
      <c r="L1214" s="18" t="s">
        <v>35</v>
      </c>
      <c r="M1214" s="18" t="s">
        <v>24</v>
      </c>
      <c r="N1214" s="22">
        <f t="shared" si="108"/>
        <v>0.19479332695781501</v>
      </c>
      <c r="O1214" s="22">
        <f t="shared" si="109"/>
        <v>0.65055640410211601</v>
      </c>
      <c r="P1214" s="23">
        <f t="shared" si="110"/>
        <v>6.68110408029675E-2</v>
      </c>
      <c r="Q1214" s="23">
        <f t="shared" si="111"/>
        <v>0.10269830622169999</v>
      </c>
      <c r="R1214" s="22">
        <f t="shared" si="112"/>
        <v>2.0408399875896102</v>
      </c>
      <c r="S1214" s="22">
        <f t="shared" si="113"/>
        <v>3.0408399875896102</v>
      </c>
    </row>
    <row r="1215" spans="1:19">
      <c r="A1215" s="18" t="s">
        <v>1254</v>
      </c>
      <c r="B1215" s="18" t="s">
        <v>28</v>
      </c>
      <c r="C1215" s="18" t="s">
        <v>48</v>
      </c>
      <c r="D1215" s="19">
        <v>44835</v>
      </c>
      <c r="E1215" s="20">
        <v>45464</v>
      </c>
      <c r="F1215" s="21">
        <v>12633.6</v>
      </c>
      <c r="G1215" s="21">
        <v>7337.6</v>
      </c>
      <c r="H1215" s="21">
        <v>3510.4</v>
      </c>
      <c r="I1215" s="18">
        <v>6627.2</v>
      </c>
      <c r="J1215" s="18">
        <v>10272.944</v>
      </c>
      <c r="K1215" s="18" t="s">
        <v>43</v>
      </c>
      <c r="L1215" s="18" t="s">
        <v>44</v>
      </c>
      <c r="M1215" s="18" t="s">
        <v>32</v>
      </c>
      <c r="N1215" s="22">
        <f t="shared" si="108"/>
        <v>0.58080040526848997</v>
      </c>
      <c r="O1215" s="22">
        <f t="shared" si="109"/>
        <v>0.47841255996511101</v>
      </c>
      <c r="P1215" s="23">
        <f t="shared" si="110"/>
        <v>0.90318360226777095</v>
      </c>
      <c r="Q1215" s="23">
        <f t="shared" si="111"/>
        <v>1.88787602552416</v>
      </c>
      <c r="R1215" s="22">
        <f t="shared" si="112"/>
        <v>0.55011830033800102</v>
      </c>
      <c r="S1215" s="22">
        <f t="shared" si="113"/>
        <v>1.5501183003379999</v>
      </c>
    </row>
    <row r="1216" spans="1:19">
      <c r="A1216" s="18" t="s">
        <v>1255</v>
      </c>
      <c r="B1216" s="18" t="s">
        <v>40</v>
      </c>
      <c r="C1216" s="18" t="s">
        <v>21</v>
      </c>
      <c r="D1216" s="19">
        <v>44978</v>
      </c>
      <c r="E1216" s="20">
        <v>45605</v>
      </c>
      <c r="F1216" s="21">
        <v>54500.800000000003</v>
      </c>
      <c r="G1216" s="21">
        <v>19662.400000000001</v>
      </c>
      <c r="H1216" s="21">
        <v>4846.3999999999996</v>
      </c>
      <c r="I1216" s="18">
        <v>2242.2399999999998</v>
      </c>
      <c r="J1216" s="18">
        <v>7961.8879999999999</v>
      </c>
      <c r="K1216" s="18" t="s">
        <v>22</v>
      </c>
      <c r="L1216" s="18" t="s">
        <v>23</v>
      </c>
      <c r="M1216" s="18" t="s">
        <v>32</v>
      </c>
      <c r="N1216" s="22">
        <f t="shared" si="108"/>
        <v>0.36077268590552802</v>
      </c>
      <c r="O1216" s="22">
        <f t="shared" si="109"/>
        <v>0.24648059239970699</v>
      </c>
      <c r="P1216" s="23">
        <f t="shared" si="110"/>
        <v>0.114036943608105</v>
      </c>
      <c r="Q1216" s="23">
        <f t="shared" si="111"/>
        <v>0.46266094420600901</v>
      </c>
      <c r="R1216" s="22">
        <f t="shared" si="112"/>
        <v>2.5508634222919899</v>
      </c>
      <c r="S1216" s="22">
        <f t="shared" si="113"/>
        <v>3.5508634222919899</v>
      </c>
    </row>
    <row r="1217" spans="1:19">
      <c r="A1217" s="18" t="s">
        <v>1256</v>
      </c>
      <c r="B1217" s="18" t="s">
        <v>47</v>
      </c>
      <c r="C1217" s="18" t="s">
        <v>41</v>
      </c>
      <c r="D1217" s="19">
        <v>44869</v>
      </c>
      <c r="E1217" s="20">
        <v>45471</v>
      </c>
      <c r="F1217" s="21">
        <v>17003.2</v>
      </c>
      <c r="G1217" s="21">
        <v>8606.4</v>
      </c>
      <c r="H1217" s="21">
        <v>8590.4</v>
      </c>
      <c r="I1217" s="18">
        <v>4395.0559999999996</v>
      </c>
      <c r="J1217" s="18">
        <v>15656.32</v>
      </c>
      <c r="K1217" s="18" t="s">
        <v>22</v>
      </c>
      <c r="L1217" s="18" t="s">
        <v>35</v>
      </c>
      <c r="M1217" s="18" t="s">
        <v>32</v>
      </c>
      <c r="N1217" s="22">
        <f t="shared" si="108"/>
        <v>0.50616354568551802</v>
      </c>
      <c r="O1217" s="22">
        <f t="shared" si="109"/>
        <v>0.99814091838631702</v>
      </c>
      <c r="P1217" s="23">
        <f t="shared" si="110"/>
        <v>0.51067298754415302</v>
      </c>
      <c r="Q1217" s="23">
        <f t="shared" si="111"/>
        <v>0.51162413857329103</v>
      </c>
      <c r="R1217" s="22">
        <f t="shared" si="112"/>
        <v>2.5622572272116702</v>
      </c>
      <c r="S1217" s="22">
        <f t="shared" si="113"/>
        <v>3.5622572272116702</v>
      </c>
    </row>
    <row r="1218" spans="1:19">
      <c r="A1218" s="18" t="s">
        <v>1257</v>
      </c>
      <c r="B1218" s="18" t="s">
        <v>20</v>
      </c>
      <c r="C1218" s="18" t="s">
        <v>21</v>
      </c>
      <c r="D1218" s="19">
        <v>44699</v>
      </c>
      <c r="E1218" s="20">
        <v>45302</v>
      </c>
      <c r="F1218" s="21">
        <v>59563.199999999997</v>
      </c>
      <c r="G1218" s="21">
        <v>40259.199999999997</v>
      </c>
      <c r="H1218" s="21">
        <v>33028.800000000003</v>
      </c>
      <c r="I1218" s="18">
        <v>4037.3760000000002</v>
      </c>
      <c r="J1218" s="18">
        <v>6745.5039999999999</v>
      </c>
      <c r="K1218" s="18" t="s">
        <v>22</v>
      </c>
      <c r="L1218" s="18" t="s">
        <v>50</v>
      </c>
      <c r="M1218" s="18" t="s">
        <v>24</v>
      </c>
      <c r="N1218" s="22">
        <f t="shared" ref="N1218:N1281" si="114">G1218/F1218</f>
        <v>0.67590727160394304</v>
      </c>
      <c r="O1218" s="22">
        <f t="shared" ref="O1218:O1281" si="115">H1218/G1218</f>
        <v>0.82040378348303</v>
      </c>
      <c r="P1218" s="23">
        <f t="shared" ref="P1218:P1281" si="116">I1218/G1218</f>
        <v>0.100284556076623</v>
      </c>
      <c r="Q1218" s="23">
        <f t="shared" ref="Q1218:Q1281" si="117">I1218/H1218</f>
        <v>0.122238046795524</v>
      </c>
      <c r="R1218" s="22">
        <f t="shared" ref="R1218:R1281" si="118">(J1218-I1218)/I1218</f>
        <v>0.67076437765519004</v>
      </c>
      <c r="S1218" s="22">
        <f t="shared" ref="S1218:S1281" si="119">J1218/I1218</f>
        <v>1.6707643776551899</v>
      </c>
    </row>
    <row r="1219" spans="1:19">
      <c r="A1219" s="18" t="s">
        <v>1258</v>
      </c>
      <c r="B1219" s="18" t="s">
        <v>20</v>
      </c>
      <c r="C1219" s="18" t="s">
        <v>21</v>
      </c>
      <c r="D1219" s="19">
        <v>44974</v>
      </c>
      <c r="E1219" s="20">
        <v>45600</v>
      </c>
      <c r="F1219" s="21">
        <v>56854.400000000001</v>
      </c>
      <c r="G1219" s="21">
        <v>13195.2</v>
      </c>
      <c r="H1219" s="21">
        <v>2763.2</v>
      </c>
      <c r="I1219" s="18">
        <v>4361.28</v>
      </c>
      <c r="J1219" s="18">
        <v>7635.6480000000001</v>
      </c>
      <c r="K1219" s="18" t="s">
        <v>43</v>
      </c>
      <c r="L1219" s="18" t="s">
        <v>50</v>
      </c>
      <c r="M1219" s="18" t="s">
        <v>24</v>
      </c>
      <c r="N1219" s="22">
        <f t="shared" si="114"/>
        <v>0.23208757809422001</v>
      </c>
      <c r="O1219" s="22">
        <f t="shared" si="115"/>
        <v>0.20940948223596501</v>
      </c>
      <c r="P1219" s="23">
        <f t="shared" si="116"/>
        <v>0.330520189159694</v>
      </c>
      <c r="Q1219" s="23">
        <f t="shared" si="117"/>
        <v>1.5783439490445901</v>
      </c>
      <c r="R1219" s="22">
        <f t="shared" si="118"/>
        <v>0.75078142196786302</v>
      </c>
      <c r="S1219" s="22">
        <f t="shared" si="119"/>
        <v>1.7507814219678599</v>
      </c>
    </row>
    <row r="1220" spans="1:19">
      <c r="A1220" s="18" t="s">
        <v>1259</v>
      </c>
      <c r="B1220" s="18" t="s">
        <v>47</v>
      </c>
      <c r="C1220" s="18" t="s">
        <v>29</v>
      </c>
      <c r="D1220" s="19">
        <v>44961</v>
      </c>
      <c r="E1220" s="20">
        <v>45581</v>
      </c>
      <c r="F1220" s="21">
        <v>28918.400000000001</v>
      </c>
      <c r="G1220" s="21">
        <v>1843.2</v>
      </c>
      <c r="H1220" s="21">
        <v>596.79999999999995</v>
      </c>
      <c r="I1220" s="18">
        <v>4587.4719999999998</v>
      </c>
      <c r="J1220" s="18">
        <v>7690.08</v>
      </c>
      <c r="K1220" s="18" t="s">
        <v>30</v>
      </c>
      <c r="L1220" s="18" t="s">
        <v>44</v>
      </c>
      <c r="M1220" s="18" t="s">
        <v>32</v>
      </c>
      <c r="N1220" s="22">
        <f t="shared" si="114"/>
        <v>6.3737966139205501E-2</v>
      </c>
      <c r="O1220" s="22">
        <f t="shared" si="115"/>
        <v>0.32378472222222199</v>
      </c>
      <c r="P1220" s="23">
        <f t="shared" si="116"/>
        <v>2.4888628472222201</v>
      </c>
      <c r="Q1220" s="23">
        <f t="shared" si="117"/>
        <v>7.6867828418230602</v>
      </c>
      <c r="R1220" s="22">
        <f t="shared" si="118"/>
        <v>0.67632194812306201</v>
      </c>
      <c r="S1220" s="22">
        <f t="shared" si="119"/>
        <v>1.67632194812306</v>
      </c>
    </row>
    <row r="1221" spans="1:19">
      <c r="A1221" s="18" t="s">
        <v>1260</v>
      </c>
      <c r="B1221" s="18" t="s">
        <v>26</v>
      </c>
      <c r="C1221" s="18" t="s">
        <v>29</v>
      </c>
      <c r="D1221" s="19">
        <v>44941</v>
      </c>
      <c r="E1221" s="20">
        <v>45551</v>
      </c>
      <c r="F1221" s="21">
        <v>11776</v>
      </c>
      <c r="G1221" s="21">
        <v>8985.6</v>
      </c>
      <c r="H1221" s="21">
        <v>7168</v>
      </c>
      <c r="I1221" s="18">
        <v>3605.8240000000001</v>
      </c>
      <c r="J1221" s="18">
        <v>13791.968000000001</v>
      </c>
      <c r="K1221" s="18" t="s">
        <v>38</v>
      </c>
      <c r="L1221" s="18" t="s">
        <v>23</v>
      </c>
      <c r="M1221" s="18" t="s">
        <v>24</v>
      </c>
      <c r="N1221" s="22">
        <f t="shared" si="114"/>
        <v>0.76304347826087005</v>
      </c>
      <c r="O1221" s="22">
        <f t="shared" si="115"/>
        <v>0.79772079772079796</v>
      </c>
      <c r="P1221" s="23">
        <f t="shared" si="116"/>
        <v>0.401289173789174</v>
      </c>
      <c r="Q1221" s="23">
        <f t="shared" si="117"/>
        <v>0.50304464285714301</v>
      </c>
      <c r="R1221" s="22">
        <f t="shared" si="118"/>
        <v>2.8249143607674698</v>
      </c>
      <c r="S1221" s="22">
        <f t="shared" si="119"/>
        <v>3.8249143607674698</v>
      </c>
    </row>
    <row r="1222" spans="1:19">
      <c r="A1222" s="18" t="s">
        <v>1261</v>
      </c>
      <c r="B1222" s="18" t="s">
        <v>26</v>
      </c>
      <c r="C1222" s="18" t="s">
        <v>48</v>
      </c>
      <c r="D1222" s="19">
        <v>44809</v>
      </c>
      <c r="E1222" s="20">
        <v>45419</v>
      </c>
      <c r="F1222" s="21">
        <v>4124.8</v>
      </c>
      <c r="G1222" s="21">
        <v>4022.4</v>
      </c>
      <c r="H1222" s="21">
        <v>1384</v>
      </c>
      <c r="I1222" s="18">
        <v>6125.3760000000002</v>
      </c>
      <c r="J1222" s="18">
        <v>22392.16</v>
      </c>
      <c r="K1222" s="18" t="s">
        <v>30</v>
      </c>
      <c r="L1222" s="18" t="s">
        <v>50</v>
      </c>
      <c r="M1222" s="18" t="s">
        <v>32</v>
      </c>
      <c r="N1222" s="22">
        <f t="shared" si="114"/>
        <v>0.97517455391776597</v>
      </c>
      <c r="O1222" s="22">
        <f t="shared" si="115"/>
        <v>0.34407319013524301</v>
      </c>
      <c r="P1222" s="23">
        <f t="shared" si="116"/>
        <v>1.52281622911695</v>
      </c>
      <c r="Q1222" s="23">
        <f t="shared" si="117"/>
        <v>4.4258497109826598</v>
      </c>
      <c r="R1222" s="22">
        <f t="shared" si="118"/>
        <v>2.6556384457052098</v>
      </c>
      <c r="S1222" s="22">
        <f t="shared" si="119"/>
        <v>3.6556384457052098</v>
      </c>
    </row>
    <row r="1223" spans="1:19">
      <c r="A1223" s="18" t="s">
        <v>1262</v>
      </c>
      <c r="B1223" s="18" t="s">
        <v>40</v>
      </c>
      <c r="C1223" s="18" t="s">
        <v>41</v>
      </c>
      <c r="D1223" s="19">
        <v>44769</v>
      </c>
      <c r="E1223" s="20">
        <v>45381</v>
      </c>
      <c r="F1223" s="21">
        <v>31364.799999999999</v>
      </c>
      <c r="G1223" s="21">
        <v>6955.2</v>
      </c>
      <c r="H1223" s="21">
        <v>4984</v>
      </c>
      <c r="I1223" s="18">
        <v>2013.7439999999999</v>
      </c>
      <c r="J1223" s="18">
        <v>7987.7439999999997</v>
      </c>
      <c r="K1223" s="18" t="s">
        <v>43</v>
      </c>
      <c r="L1223" s="18" t="s">
        <v>35</v>
      </c>
      <c r="M1223" s="18" t="s">
        <v>32</v>
      </c>
      <c r="N1223" s="22">
        <f t="shared" si="114"/>
        <v>0.22175177268785401</v>
      </c>
      <c r="O1223" s="22">
        <f t="shared" si="115"/>
        <v>0.71658615136876003</v>
      </c>
      <c r="P1223" s="23">
        <f t="shared" si="116"/>
        <v>0.28953071083505899</v>
      </c>
      <c r="Q1223" s="23">
        <f t="shared" si="117"/>
        <v>0.40404173354735201</v>
      </c>
      <c r="R1223" s="22">
        <f t="shared" si="118"/>
        <v>2.9666134324919202</v>
      </c>
      <c r="S1223" s="22">
        <f t="shared" si="119"/>
        <v>3.9666134324919202</v>
      </c>
    </row>
    <row r="1224" spans="1:19">
      <c r="A1224" s="18" t="s">
        <v>1263</v>
      </c>
      <c r="B1224" s="18" t="s">
        <v>40</v>
      </c>
      <c r="C1224" s="18" t="s">
        <v>21</v>
      </c>
      <c r="D1224" s="19">
        <v>44947</v>
      </c>
      <c r="E1224" s="20">
        <v>45574</v>
      </c>
      <c r="F1224" s="21">
        <v>76889.600000000006</v>
      </c>
      <c r="G1224" s="21">
        <v>39931.199999999997</v>
      </c>
      <c r="H1224" s="21">
        <v>8185.6</v>
      </c>
      <c r="I1224" s="18">
        <v>7242.48</v>
      </c>
      <c r="J1224" s="18">
        <v>28456.016</v>
      </c>
      <c r="K1224" s="18" t="s">
        <v>43</v>
      </c>
      <c r="L1224" s="18" t="s">
        <v>23</v>
      </c>
      <c r="M1224" s="18" t="s">
        <v>24</v>
      </c>
      <c r="N1224" s="22">
        <f t="shared" si="114"/>
        <v>0.519331613118029</v>
      </c>
      <c r="O1224" s="22">
        <f t="shared" si="115"/>
        <v>0.20499258725007</v>
      </c>
      <c r="P1224" s="23">
        <f t="shared" si="116"/>
        <v>0.18137396321673299</v>
      </c>
      <c r="Q1224" s="23">
        <f t="shared" si="117"/>
        <v>0.88478303362001598</v>
      </c>
      <c r="R1224" s="22">
        <f t="shared" si="118"/>
        <v>2.9290430902121898</v>
      </c>
      <c r="S1224" s="22">
        <f t="shared" si="119"/>
        <v>3.9290430902121898</v>
      </c>
    </row>
    <row r="1225" spans="1:19">
      <c r="A1225" s="18" t="s">
        <v>1264</v>
      </c>
      <c r="B1225" s="18" t="s">
        <v>28</v>
      </c>
      <c r="C1225" s="18" t="s">
        <v>29</v>
      </c>
      <c r="D1225" s="19">
        <v>44719</v>
      </c>
      <c r="E1225" s="20">
        <v>45345</v>
      </c>
      <c r="F1225" s="21">
        <v>28059.200000000001</v>
      </c>
      <c r="G1225" s="21">
        <v>3966.4</v>
      </c>
      <c r="H1225" s="21">
        <v>3523.2</v>
      </c>
      <c r="I1225" s="18">
        <v>1046.752</v>
      </c>
      <c r="J1225" s="18">
        <v>2010.08</v>
      </c>
      <c r="K1225" s="18" t="s">
        <v>43</v>
      </c>
      <c r="L1225" s="18" t="s">
        <v>31</v>
      </c>
      <c r="M1225" s="18" t="s">
        <v>32</v>
      </c>
      <c r="N1225" s="22">
        <f t="shared" si="114"/>
        <v>0.14135827108399401</v>
      </c>
      <c r="O1225" s="22">
        <f t="shared" si="115"/>
        <v>0.88826139572408203</v>
      </c>
      <c r="P1225" s="23">
        <f t="shared" si="116"/>
        <v>0.26390480032271102</v>
      </c>
      <c r="Q1225" s="23">
        <f t="shared" si="117"/>
        <v>0.29710263396911901</v>
      </c>
      <c r="R1225" s="22">
        <f t="shared" si="118"/>
        <v>0.92030203906942598</v>
      </c>
      <c r="S1225" s="22">
        <f t="shared" si="119"/>
        <v>1.9203020390694301</v>
      </c>
    </row>
    <row r="1226" spans="1:19">
      <c r="A1226" s="18" t="s">
        <v>1265</v>
      </c>
      <c r="B1226" s="18" t="s">
        <v>20</v>
      </c>
      <c r="C1226" s="18" t="s">
        <v>41</v>
      </c>
      <c r="D1226" s="19">
        <v>44884</v>
      </c>
      <c r="E1226" s="20">
        <v>45504</v>
      </c>
      <c r="F1226" s="21">
        <v>65958.399999999994</v>
      </c>
      <c r="G1226" s="21">
        <v>38100.800000000003</v>
      </c>
      <c r="H1226" s="21">
        <v>33868.800000000003</v>
      </c>
      <c r="I1226" s="18">
        <v>6290.56</v>
      </c>
      <c r="J1226" s="18">
        <v>23144.991999999998</v>
      </c>
      <c r="K1226" s="18" t="s">
        <v>65</v>
      </c>
      <c r="L1226" s="18" t="s">
        <v>50</v>
      </c>
      <c r="M1226" s="18" t="s">
        <v>32</v>
      </c>
      <c r="N1226" s="22">
        <f t="shared" si="114"/>
        <v>0.57764894236367204</v>
      </c>
      <c r="O1226" s="22">
        <f t="shared" si="115"/>
        <v>0.88892621677235095</v>
      </c>
      <c r="P1226" s="23">
        <f t="shared" si="116"/>
        <v>0.16510309494813799</v>
      </c>
      <c r="Q1226" s="23">
        <f t="shared" si="117"/>
        <v>0.185733182161754</v>
      </c>
      <c r="R1226" s="22">
        <f t="shared" si="118"/>
        <v>2.67932139586937</v>
      </c>
      <c r="S1226" s="22">
        <f t="shared" si="119"/>
        <v>3.67932139586937</v>
      </c>
    </row>
    <row r="1227" spans="1:19">
      <c r="A1227" s="18" t="s">
        <v>1266</v>
      </c>
      <c r="B1227" s="18" t="s">
        <v>28</v>
      </c>
      <c r="C1227" s="18" t="s">
        <v>29</v>
      </c>
      <c r="D1227" s="19">
        <v>44759</v>
      </c>
      <c r="E1227" s="20">
        <v>45361</v>
      </c>
      <c r="F1227" s="21">
        <v>19377.599999999999</v>
      </c>
      <c r="G1227" s="21">
        <v>3209.6</v>
      </c>
      <c r="H1227" s="21">
        <v>1964.8</v>
      </c>
      <c r="I1227" s="18">
        <v>5591.1040000000003</v>
      </c>
      <c r="J1227" s="18">
        <v>21308.351999999999</v>
      </c>
      <c r="K1227" s="18" t="s">
        <v>43</v>
      </c>
      <c r="L1227" s="18" t="s">
        <v>31</v>
      </c>
      <c r="M1227" s="18" t="s">
        <v>32</v>
      </c>
      <c r="N1227" s="22">
        <f t="shared" si="114"/>
        <v>0.165634547105937</v>
      </c>
      <c r="O1227" s="22">
        <f t="shared" si="115"/>
        <v>0.61216350947158504</v>
      </c>
      <c r="P1227" s="23">
        <f t="shared" si="116"/>
        <v>1.7419940179461599</v>
      </c>
      <c r="Q1227" s="23">
        <f t="shared" si="117"/>
        <v>2.8456351791530898</v>
      </c>
      <c r="R1227" s="22">
        <f t="shared" si="118"/>
        <v>2.8111170888611601</v>
      </c>
      <c r="S1227" s="22">
        <f t="shared" si="119"/>
        <v>3.8111170888611601</v>
      </c>
    </row>
    <row r="1228" spans="1:19">
      <c r="A1228" s="18" t="s">
        <v>1267</v>
      </c>
      <c r="B1228" s="18" t="s">
        <v>28</v>
      </c>
      <c r="C1228" s="18" t="s">
        <v>48</v>
      </c>
      <c r="D1228" s="19">
        <v>44919</v>
      </c>
      <c r="E1228" s="20">
        <v>45540</v>
      </c>
      <c r="F1228" s="21">
        <v>73048</v>
      </c>
      <c r="G1228" s="21">
        <v>5804.8</v>
      </c>
      <c r="H1228" s="21">
        <v>1646.4</v>
      </c>
      <c r="I1228" s="18">
        <v>7705.2479999999996</v>
      </c>
      <c r="J1228" s="18">
        <v>13017.951999999999</v>
      </c>
      <c r="K1228" s="18" t="s">
        <v>30</v>
      </c>
      <c r="L1228" s="18" t="s">
        <v>35</v>
      </c>
      <c r="M1228" s="18" t="s">
        <v>32</v>
      </c>
      <c r="N1228" s="22">
        <f t="shared" si="114"/>
        <v>7.9465556894096998E-2</v>
      </c>
      <c r="O1228" s="22">
        <f t="shared" si="115"/>
        <v>0.283627342888644</v>
      </c>
      <c r="P1228" s="23">
        <f t="shared" si="116"/>
        <v>1.32739250275634</v>
      </c>
      <c r="Q1228" s="23">
        <f t="shared" si="117"/>
        <v>4.6800583090379</v>
      </c>
      <c r="R1228" s="22">
        <f t="shared" si="118"/>
        <v>0.68949162960101995</v>
      </c>
      <c r="S1228" s="22">
        <f t="shared" si="119"/>
        <v>1.6894916296010201</v>
      </c>
    </row>
    <row r="1229" spans="1:19">
      <c r="A1229" s="18" t="s">
        <v>1268</v>
      </c>
      <c r="B1229" s="18" t="s">
        <v>20</v>
      </c>
      <c r="C1229" s="18" t="s">
        <v>48</v>
      </c>
      <c r="D1229" s="19">
        <v>44762</v>
      </c>
      <c r="E1229" s="20">
        <v>45371</v>
      </c>
      <c r="F1229" s="21">
        <v>26499.200000000001</v>
      </c>
      <c r="G1229" s="21">
        <v>13499.2</v>
      </c>
      <c r="H1229" s="21">
        <v>1353.6</v>
      </c>
      <c r="I1229" s="18">
        <v>2022.5920000000001</v>
      </c>
      <c r="J1229" s="18">
        <v>2714.4479999999999</v>
      </c>
      <c r="K1229" s="18" t="s">
        <v>22</v>
      </c>
      <c r="L1229" s="18" t="s">
        <v>35</v>
      </c>
      <c r="M1229" s="18" t="s">
        <v>32</v>
      </c>
      <c r="N1229" s="22">
        <f t="shared" si="114"/>
        <v>0.50941915227629497</v>
      </c>
      <c r="O1229" s="22">
        <f t="shared" si="115"/>
        <v>0.10027260874718499</v>
      </c>
      <c r="P1229" s="23">
        <f t="shared" si="116"/>
        <v>0.14983050847457599</v>
      </c>
      <c r="Q1229" s="23">
        <f t="shared" si="117"/>
        <v>1.494231678487</v>
      </c>
      <c r="R1229" s="22">
        <f t="shared" si="118"/>
        <v>0.34206404455273198</v>
      </c>
      <c r="S1229" s="22">
        <f t="shared" si="119"/>
        <v>1.3420640445527301</v>
      </c>
    </row>
    <row r="1230" spans="1:19">
      <c r="A1230" s="18" t="s">
        <v>1269</v>
      </c>
      <c r="B1230" s="18" t="s">
        <v>26</v>
      </c>
      <c r="C1230" s="18" t="s">
        <v>29</v>
      </c>
      <c r="D1230" s="19">
        <v>44848</v>
      </c>
      <c r="E1230" s="20">
        <v>45454</v>
      </c>
      <c r="F1230" s="21">
        <v>66107.199999999997</v>
      </c>
      <c r="G1230" s="21">
        <v>49337.599999999999</v>
      </c>
      <c r="H1230" s="21">
        <v>5137.6000000000004</v>
      </c>
      <c r="I1230" s="18">
        <v>5880.2879999999996</v>
      </c>
      <c r="J1230" s="18">
        <v>14764.304</v>
      </c>
      <c r="K1230" s="18" t="s">
        <v>38</v>
      </c>
      <c r="L1230" s="18" t="s">
        <v>50</v>
      </c>
      <c r="M1230" s="18" t="s">
        <v>24</v>
      </c>
      <c r="N1230" s="22">
        <f t="shared" si="114"/>
        <v>0.74632717767504897</v>
      </c>
      <c r="O1230" s="22">
        <f t="shared" si="115"/>
        <v>0.104131534569983</v>
      </c>
      <c r="P1230" s="23">
        <f t="shared" si="116"/>
        <v>0.119184719159424</v>
      </c>
      <c r="Q1230" s="23">
        <f t="shared" si="117"/>
        <v>1.14455932731236</v>
      </c>
      <c r="R1230" s="22">
        <f t="shared" si="118"/>
        <v>1.5108130758221401</v>
      </c>
      <c r="S1230" s="22">
        <f t="shared" si="119"/>
        <v>2.5108130758221399</v>
      </c>
    </row>
    <row r="1231" spans="1:19">
      <c r="A1231" s="18" t="s">
        <v>1270</v>
      </c>
      <c r="B1231" s="18" t="s">
        <v>26</v>
      </c>
      <c r="C1231" s="18" t="s">
        <v>21</v>
      </c>
      <c r="D1231" s="19">
        <v>44979</v>
      </c>
      <c r="E1231" s="20">
        <v>45591</v>
      </c>
      <c r="F1231" s="21">
        <v>6044.8</v>
      </c>
      <c r="G1231" s="21">
        <v>5704</v>
      </c>
      <c r="H1231" s="21">
        <v>689.6</v>
      </c>
      <c r="I1231" s="18">
        <v>760.17600000000004</v>
      </c>
      <c r="J1231" s="18">
        <v>1281.7760000000001</v>
      </c>
      <c r="K1231" s="18" t="s">
        <v>65</v>
      </c>
      <c r="L1231" s="18" t="s">
        <v>23</v>
      </c>
      <c r="M1231" s="18" t="s">
        <v>32</v>
      </c>
      <c r="N1231" s="22">
        <f t="shared" si="114"/>
        <v>0.94362096347273705</v>
      </c>
      <c r="O1231" s="22">
        <f t="shared" si="115"/>
        <v>0.12089761570827499</v>
      </c>
      <c r="P1231" s="23">
        <f t="shared" si="116"/>
        <v>0.13327068723702701</v>
      </c>
      <c r="Q1231" s="23">
        <f t="shared" si="117"/>
        <v>1.102343387471</v>
      </c>
      <c r="R1231" s="22">
        <f t="shared" si="118"/>
        <v>0.68615688998337199</v>
      </c>
      <c r="S1231" s="22">
        <f t="shared" si="119"/>
        <v>1.6861568899833701</v>
      </c>
    </row>
    <row r="1232" spans="1:19">
      <c r="A1232" s="18" t="s">
        <v>1271</v>
      </c>
      <c r="B1232" s="18" t="s">
        <v>40</v>
      </c>
      <c r="C1232" s="18" t="s">
        <v>41</v>
      </c>
      <c r="D1232" s="19">
        <v>44745</v>
      </c>
      <c r="E1232" s="20">
        <v>45352</v>
      </c>
      <c r="F1232" s="21">
        <v>32955.199999999997</v>
      </c>
      <c r="G1232" s="21">
        <v>22520</v>
      </c>
      <c r="H1232" s="21">
        <v>2945.6</v>
      </c>
      <c r="I1232" s="18">
        <v>5410.3680000000004</v>
      </c>
      <c r="J1232" s="18">
        <v>19160.128000000001</v>
      </c>
      <c r="K1232" s="18" t="s">
        <v>65</v>
      </c>
      <c r="L1232" s="18" t="s">
        <v>31</v>
      </c>
      <c r="M1232" s="18" t="s">
        <v>32</v>
      </c>
      <c r="N1232" s="22">
        <f t="shared" si="114"/>
        <v>0.68335194445793102</v>
      </c>
      <c r="O1232" s="22">
        <f t="shared" si="115"/>
        <v>0.13079928952042599</v>
      </c>
      <c r="P1232" s="23">
        <f t="shared" si="116"/>
        <v>0.240247246891652</v>
      </c>
      <c r="Q1232" s="23">
        <f t="shared" si="117"/>
        <v>1.83676262900598</v>
      </c>
      <c r="R1232" s="22">
        <f t="shared" si="118"/>
        <v>2.5413724168115701</v>
      </c>
      <c r="S1232" s="22">
        <f t="shared" si="119"/>
        <v>3.5413724168115701</v>
      </c>
    </row>
    <row r="1233" spans="1:19">
      <c r="A1233" s="18" t="s">
        <v>1272</v>
      </c>
      <c r="B1233" s="18" t="s">
        <v>34</v>
      </c>
      <c r="C1233" s="18" t="s">
        <v>41</v>
      </c>
      <c r="D1233" s="19">
        <v>44932</v>
      </c>
      <c r="E1233" s="20">
        <v>45553</v>
      </c>
      <c r="F1233" s="21">
        <v>58649.599999999999</v>
      </c>
      <c r="G1233" s="21">
        <v>41043.199999999997</v>
      </c>
      <c r="H1233" s="21">
        <v>4464</v>
      </c>
      <c r="I1233" s="18">
        <v>893.47199999999998</v>
      </c>
      <c r="J1233" s="18">
        <v>1262.9280000000001</v>
      </c>
      <c r="K1233" s="18" t="s">
        <v>43</v>
      </c>
      <c r="L1233" s="18" t="s">
        <v>50</v>
      </c>
      <c r="M1233" s="18" t="s">
        <v>24</v>
      </c>
      <c r="N1233" s="22">
        <f t="shared" si="114"/>
        <v>0.69980357922304703</v>
      </c>
      <c r="O1233" s="22">
        <f t="shared" si="115"/>
        <v>0.108763449243724</v>
      </c>
      <c r="P1233" s="23">
        <f t="shared" si="116"/>
        <v>2.1769062841104001E-2</v>
      </c>
      <c r="Q1233" s="23">
        <f t="shared" si="117"/>
        <v>0.20015053763440899</v>
      </c>
      <c r="R1233" s="22">
        <f t="shared" si="118"/>
        <v>0.413505963253465</v>
      </c>
      <c r="S1233" s="22">
        <f t="shared" si="119"/>
        <v>1.4135059632534701</v>
      </c>
    </row>
    <row r="1234" spans="1:19">
      <c r="A1234" s="18" t="s">
        <v>1273</v>
      </c>
      <c r="B1234" s="18" t="s">
        <v>40</v>
      </c>
      <c r="C1234" s="18" t="s">
        <v>21</v>
      </c>
      <c r="D1234" s="19">
        <v>44861</v>
      </c>
      <c r="E1234" s="20">
        <v>45466</v>
      </c>
      <c r="F1234" s="21">
        <v>17476.8</v>
      </c>
      <c r="G1234" s="21">
        <v>11403.2</v>
      </c>
      <c r="H1234" s="21">
        <v>5500.8</v>
      </c>
      <c r="I1234" s="18">
        <v>1514.944</v>
      </c>
      <c r="J1234" s="18">
        <v>2544.4479999999999</v>
      </c>
      <c r="K1234" s="18" t="s">
        <v>38</v>
      </c>
      <c r="L1234" s="18" t="s">
        <v>23</v>
      </c>
      <c r="M1234" s="18" t="s">
        <v>32</v>
      </c>
      <c r="N1234" s="22">
        <f t="shared" si="114"/>
        <v>0.65247642589032295</v>
      </c>
      <c r="O1234" s="22">
        <f t="shared" si="115"/>
        <v>0.48239090781534999</v>
      </c>
      <c r="P1234" s="23">
        <f t="shared" si="116"/>
        <v>0.132852532622422</v>
      </c>
      <c r="Q1234" s="23">
        <f t="shared" si="117"/>
        <v>0.27540430482838901</v>
      </c>
      <c r="R1234" s="22">
        <f t="shared" si="118"/>
        <v>0.67956571332009597</v>
      </c>
      <c r="S1234" s="22">
        <f t="shared" si="119"/>
        <v>1.6795657133201001</v>
      </c>
    </row>
    <row r="1235" spans="1:19">
      <c r="A1235" s="18" t="s">
        <v>1274</v>
      </c>
      <c r="B1235" s="18" t="s">
        <v>34</v>
      </c>
      <c r="C1235" s="18" t="s">
        <v>48</v>
      </c>
      <c r="D1235" s="19">
        <v>44891</v>
      </c>
      <c r="E1235" s="20">
        <v>45497</v>
      </c>
      <c r="F1235" s="21">
        <v>24302.400000000001</v>
      </c>
      <c r="G1235" s="21">
        <v>24120</v>
      </c>
      <c r="H1235" s="21">
        <v>18156.8</v>
      </c>
      <c r="I1235" s="18">
        <v>3777.0239999999999</v>
      </c>
      <c r="J1235" s="18">
        <v>12164.64</v>
      </c>
      <c r="K1235" s="18" t="s">
        <v>30</v>
      </c>
      <c r="L1235" s="18" t="s">
        <v>44</v>
      </c>
      <c r="M1235" s="18" t="s">
        <v>32</v>
      </c>
      <c r="N1235" s="22">
        <f t="shared" si="114"/>
        <v>0.99249456843768502</v>
      </c>
      <c r="O1235" s="22">
        <f t="shared" si="115"/>
        <v>0.75276948590381398</v>
      </c>
      <c r="P1235" s="23">
        <f t="shared" si="116"/>
        <v>0.156593034825871</v>
      </c>
      <c r="Q1235" s="23">
        <f t="shared" si="117"/>
        <v>0.20802255904124101</v>
      </c>
      <c r="R1235" s="22">
        <f t="shared" si="118"/>
        <v>2.22069438796259</v>
      </c>
      <c r="S1235" s="22">
        <f t="shared" si="119"/>
        <v>3.22069438796259</v>
      </c>
    </row>
    <row r="1236" spans="1:19">
      <c r="A1236" s="18" t="s">
        <v>1275</v>
      </c>
      <c r="B1236" s="18" t="s">
        <v>47</v>
      </c>
      <c r="C1236" s="18" t="s">
        <v>41</v>
      </c>
      <c r="D1236" s="19">
        <v>44800</v>
      </c>
      <c r="E1236" s="20">
        <v>45423</v>
      </c>
      <c r="F1236" s="21">
        <v>73161.600000000006</v>
      </c>
      <c r="G1236" s="21">
        <v>56755.199999999997</v>
      </c>
      <c r="H1236" s="21">
        <v>54144</v>
      </c>
      <c r="I1236" s="18">
        <v>5785.9359999999997</v>
      </c>
      <c r="J1236" s="18">
        <v>7596.9279999999999</v>
      </c>
      <c r="K1236" s="18" t="s">
        <v>65</v>
      </c>
      <c r="L1236" s="18" t="s">
        <v>31</v>
      </c>
      <c r="M1236" s="18" t="s">
        <v>32</v>
      </c>
      <c r="N1236" s="22">
        <f t="shared" si="114"/>
        <v>0.77575121375147604</v>
      </c>
      <c r="O1236" s="22">
        <f t="shared" si="115"/>
        <v>0.95399188092016196</v>
      </c>
      <c r="P1236" s="23">
        <f t="shared" si="116"/>
        <v>0.10194547812359001</v>
      </c>
      <c r="Q1236" s="23">
        <f t="shared" si="117"/>
        <v>0.106861997635934</v>
      </c>
      <c r="R1236" s="22">
        <f t="shared" si="118"/>
        <v>0.31299896853335402</v>
      </c>
      <c r="S1236" s="22">
        <f t="shared" si="119"/>
        <v>1.3129989685333501</v>
      </c>
    </row>
    <row r="1237" spans="1:19">
      <c r="A1237" s="18" t="s">
        <v>1276</v>
      </c>
      <c r="B1237" s="18" t="s">
        <v>20</v>
      </c>
      <c r="C1237" s="18" t="s">
        <v>41</v>
      </c>
      <c r="D1237" s="19">
        <v>44934</v>
      </c>
      <c r="E1237" s="20">
        <v>45557</v>
      </c>
      <c r="F1237" s="21">
        <v>58974.400000000001</v>
      </c>
      <c r="G1237" s="21">
        <v>4608</v>
      </c>
      <c r="H1237" s="21">
        <v>4576</v>
      </c>
      <c r="I1237" s="18">
        <v>2626.096</v>
      </c>
      <c r="J1237" s="18">
        <v>8646.8160000000007</v>
      </c>
      <c r="K1237" s="18" t="s">
        <v>30</v>
      </c>
      <c r="L1237" s="18" t="s">
        <v>44</v>
      </c>
      <c r="M1237" s="18" t="s">
        <v>32</v>
      </c>
      <c r="N1237" s="22">
        <f t="shared" si="114"/>
        <v>7.8135597818714597E-2</v>
      </c>
      <c r="O1237" s="22">
        <f t="shared" si="115"/>
        <v>0.99305555555555602</v>
      </c>
      <c r="P1237" s="23">
        <f t="shared" si="116"/>
        <v>0.56989930555555601</v>
      </c>
      <c r="Q1237" s="23">
        <f t="shared" si="117"/>
        <v>0.57388461538461499</v>
      </c>
      <c r="R1237" s="22">
        <f t="shared" si="118"/>
        <v>2.2926503829258298</v>
      </c>
      <c r="S1237" s="22">
        <f t="shared" si="119"/>
        <v>3.2926503829258298</v>
      </c>
    </row>
    <row r="1238" spans="1:19">
      <c r="A1238" s="18" t="s">
        <v>1277</v>
      </c>
      <c r="B1238" s="18" t="s">
        <v>26</v>
      </c>
      <c r="C1238" s="18" t="s">
        <v>21</v>
      </c>
      <c r="D1238" s="19">
        <v>44928</v>
      </c>
      <c r="E1238" s="20">
        <v>45535</v>
      </c>
      <c r="F1238" s="21">
        <v>71766.399999999994</v>
      </c>
      <c r="G1238" s="21">
        <v>18617.599999999999</v>
      </c>
      <c r="H1238" s="21">
        <v>6086.4</v>
      </c>
      <c r="I1238" s="18">
        <v>4942.1279999999997</v>
      </c>
      <c r="J1238" s="18">
        <v>14688.272000000001</v>
      </c>
      <c r="K1238" s="18" t="s">
        <v>43</v>
      </c>
      <c r="L1238" s="18" t="s">
        <v>31</v>
      </c>
      <c r="M1238" s="18" t="s">
        <v>32</v>
      </c>
      <c r="N1238" s="22">
        <f t="shared" si="114"/>
        <v>0.25941944977036602</v>
      </c>
      <c r="O1238" s="22">
        <f t="shared" si="115"/>
        <v>0.32691646613956699</v>
      </c>
      <c r="P1238" s="23">
        <f t="shared" si="116"/>
        <v>0.26545462358198701</v>
      </c>
      <c r="Q1238" s="23">
        <f t="shared" si="117"/>
        <v>0.81199526813880096</v>
      </c>
      <c r="R1238" s="22">
        <f t="shared" si="118"/>
        <v>1.9720541434782799</v>
      </c>
      <c r="S1238" s="22">
        <f t="shared" si="119"/>
        <v>2.9720541434782799</v>
      </c>
    </row>
    <row r="1239" spans="1:19">
      <c r="A1239" s="18" t="s">
        <v>1278</v>
      </c>
      <c r="B1239" s="18" t="s">
        <v>20</v>
      </c>
      <c r="C1239" s="18" t="s">
        <v>21</v>
      </c>
      <c r="D1239" s="19">
        <v>44934</v>
      </c>
      <c r="E1239" s="20">
        <v>45545</v>
      </c>
      <c r="F1239" s="21">
        <v>29904</v>
      </c>
      <c r="G1239" s="21">
        <v>15937.6</v>
      </c>
      <c r="H1239" s="21">
        <v>9939.2000000000007</v>
      </c>
      <c r="I1239" s="18">
        <v>6387.1679999999997</v>
      </c>
      <c r="J1239" s="18">
        <v>16653.2</v>
      </c>
      <c r="K1239" s="18" t="s">
        <v>65</v>
      </c>
      <c r="L1239" s="18" t="s">
        <v>44</v>
      </c>
      <c r="M1239" s="18" t="s">
        <v>32</v>
      </c>
      <c r="N1239" s="22">
        <f t="shared" si="114"/>
        <v>0.53295880149812702</v>
      </c>
      <c r="O1239" s="22">
        <f t="shared" si="115"/>
        <v>0.62363216544523603</v>
      </c>
      <c r="P1239" s="23">
        <f t="shared" si="116"/>
        <v>0.40076096777432002</v>
      </c>
      <c r="Q1239" s="23">
        <f t="shared" si="117"/>
        <v>0.64262395363811997</v>
      </c>
      <c r="R1239" s="22">
        <f t="shared" si="118"/>
        <v>1.6072901166839499</v>
      </c>
      <c r="S1239" s="22">
        <f t="shared" si="119"/>
        <v>2.6072901166839499</v>
      </c>
    </row>
    <row r="1240" spans="1:19">
      <c r="A1240" s="18" t="s">
        <v>1279</v>
      </c>
      <c r="B1240" s="18" t="s">
        <v>34</v>
      </c>
      <c r="C1240" s="18" t="s">
        <v>41</v>
      </c>
      <c r="D1240" s="19">
        <v>44709</v>
      </c>
      <c r="E1240" s="20">
        <v>45320</v>
      </c>
      <c r="F1240" s="21">
        <v>6968</v>
      </c>
      <c r="G1240" s="21">
        <v>3300.8</v>
      </c>
      <c r="H1240" s="21">
        <v>174.4</v>
      </c>
      <c r="I1240" s="18">
        <v>3221.28</v>
      </c>
      <c r="J1240" s="18">
        <v>11462.848</v>
      </c>
      <c r="K1240" s="18" t="s">
        <v>38</v>
      </c>
      <c r="L1240" s="18" t="s">
        <v>31</v>
      </c>
      <c r="M1240" s="18" t="s">
        <v>24</v>
      </c>
      <c r="N1240" s="22">
        <f t="shared" si="114"/>
        <v>0.473708381171068</v>
      </c>
      <c r="O1240" s="22">
        <f t="shared" si="115"/>
        <v>5.2835676199709199E-2</v>
      </c>
      <c r="P1240" s="23">
        <f t="shared" si="116"/>
        <v>0.97590887057682996</v>
      </c>
      <c r="Q1240" s="23">
        <f t="shared" si="117"/>
        <v>18.470642201834899</v>
      </c>
      <c r="R1240" s="22">
        <f t="shared" si="118"/>
        <v>2.5584761337108199</v>
      </c>
      <c r="S1240" s="22">
        <f t="shared" si="119"/>
        <v>3.5584761337108199</v>
      </c>
    </row>
    <row r="1241" spans="1:19">
      <c r="A1241" s="18" t="s">
        <v>1280</v>
      </c>
      <c r="B1241" s="18" t="s">
        <v>40</v>
      </c>
      <c r="C1241" s="18" t="s">
        <v>29</v>
      </c>
      <c r="D1241" s="19">
        <v>44714</v>
      </c>
      <c r="E1241" s="20">
        <v>45332</v>
      </c>
      <c r="F1241" s="21">
        <v>1619.2</v>
      </c>
      <c r="G1241" s="21">
        <v>185.6</v>
      </c>
      <c r="H1241" s="21">
        <v>174.4</v>
      </c>
      <c r="I1241" s="18">
        <v>6882.4960000000001</v>
      </c>
      <c r="J1241" s="18">
        <v>13646.128000000001</v>
      </c>
      <c r="K1241" s="18" t="s">
        <v>38</v>
      </c>
      <c r="L1241" s="18" t="s">
        <v>35</v>
      </c>
      <c r="M1241" s="18" t="s">
        <v>24</v>
      </c>
      <c r="N1241" s="22">
        <f t="shared" si="114"/>
        <v>0.114624505928854</v>
      </c>
      <c r="O1241" s="22">
        <f t="shared" si="115"/>
        <v>0.93965517241379304</v>
      </c>
      <c r="P1241" s="23">
        <f t="shared" si="116"/>
        <v>37.082413793103399</v>
      </c>
      <c r="Q1241" s="23">
        <f t="shared" si="117"/>
        <v>39.463853211009202</v>
      </c>
      <c r="R1241" s="22">
        <f t="shared" si="118"/>
        <v>0.98272952138294001</v>
      </c>
      <c r="S1241" s="22">
        <f t="shared" si="119"/>
        <v>1.9827295213829399</v>
      </c>
    </row>
    <row r="1242" spans="1:19">
      <c r="A1242" s="18" t="s">
        <v>1281</v>
      </c>
      <c r="B1242" s="18" t="s">
        <v>20</v>
      </c>
      <c r="C1242" s="18" t="s">
        <v>41</v>
      </c>
      <c r="D1242" s="19">
        <v>44825</v>
      </c>
      <c r="E1242" s="20">
        <v>45452</v>
      </c>
      <c r="F1242" s="21">
        <v>25987.200000000001</v>
      </c>
      <c r="G1242" s="21">
        <v>16782.400000000001</v>
      </c>
      <c r="H1242" s="21">
        <v>1048</v>
      </c>
      <c r="I1242" s="18">
        <v>3196.8319999999999</v>
      </c>
      <c r="J1242" s="18">
        <v>5725.2479999999996</v>
      </c>
      <c r="K1242" s="18" t="s">
        <v>43</v>
      </c>
      <c r="L1242" s="18" t="s">
        <v>44</v>
      </c>
      <c r="M1242" s="18" t="s">
        <v>24</v>
      </c>
      <c r="N1242" s="22">
        <f t="shared" si="114"/>
        <v>0.64579485285063398</v>
      </c>
      <c r="O1242" s="22">
        <f t="shared" si="115"/>
        <v>6.2446372390123003E-2</v>
      </c>
      <c r="P1242" s="23">
        <f t="shared" si="116"/>
        <v>0.190487177042616</v>
      </c>
      <c r="Q1242" s="23">
        <f t="shared" si="117"/>
        <v>3.0504122137404601</v>
      </c>
      <c r="R1242" s="22">
        <f t="shared" si="118"/>
        <v>0.79091300387383501</v>
      </c>
      <c r="S1242" s="22">
        <f t="shared" si="119"/>
        <v>1.7909130038738399</v>
      </c>
    </row>
    <row r="1243" spans="1:19">
      <c r="A1243" s="18" t="s">
        <v>1282</v>
      </c>
      <c r="B1243" s="18" t="s">
        <v>47</v>
      </c>
      <c r="C1243" s="18" t="s">
        <v>41</v>
      </c>
      <c r="D1243" s="19">
        <v>44745</v>
      </c>
      <c r="E1243" s="20">
        <v>45351</v>
      </c>
      <c r="F1243" s="21">
        <v>29184</v>
      </c>
      <c r="G1243" s="21">
        <v>4097.6000000000004</v>
      </c>
      <c r="H1243" s="21">
        <v>3096</v>
      </c>
      <c r="I1243" s="18">
        <v>1067.3920000000001</v>
      </c>
      <c r="J1243" s="18">
        <v>3419.2959999999998</v>
      </c>
      <c r="K1243" s="18" t="s">
        <v>30</v>
      </c>
      <c r="L1243" s="18" t="s">
        <v>50</v>
      </c>
      <c r="M1243" s="18" t="s">
        <v>24</v>
      </c>
      <c r="N1243" s="22">
        <f t="shared" si="114"/>
        <v>0.14040570175438599</v>
      </c>
      <c r="O1243" s="22">
        <f t="shared" si="115"/>
        <v>0.75556423272159301</v>
      </c>
      <c r="P1243" s="23">
        <f t="shared" si="116"/>
        <v>0.26049199531432998</v>
      </c>
      <c r="Q1243" s="23">
        <f t="shared" si="117"/>
        <v>0.34476485788113698</v>
      </c>
      <c r="R1243" s="22">
        <f t="shared" si="118"/>
        <v>2.2034116800575601</v>
      </c>
      <c r="S1243" s="22">
        <f t="shared" si="119"/>
        <v>3.2034116800575601</v>
      </c>
    </row>
    <row r="1244" spans="1:19">
      <c r="A1244" s="18" t="s">
        <v>1283</v>
      </c>
      <c r="B1244" s="18" t="s">
        <v>20</v>
      </c>
      <c r="C1244" s="18" t="s">
        <v>21</v>
      </c>
      <c r="D1244" s="19">
        <v>44870</v>
      </c>
      <c r="E1244" s="20">
        <v>45474</v>
      </c>
      <c r="F1244" s="21">
        <v>10168</v>
      </c>
      <c r="G1244" s="21">
        <v>7140.8</v>
      </c>
      <c r="H1244" s="21">
        <v>3827.2</v>
      </c>
      <c r="I1244" s="18">
        <v>3006.96</v>
      </c>
      <c r="J1244" s="18">
        <v>7689.28</v>
      </c>
      <c r="K1244" s="18" t="s">
        <v>30</v>
      </c>
      <c r="L1244" s="18" t="s">
        <v>31</v>
      </c>
      <c r="M1244" s="18" t="s">
        <v>24</v>
      </c>
      <c r="N1244" s="22">
        <f t="shared" si="114"/>
        <v>0.70228166797796998</v>
      </c>
      <c r="O1244" s="22">
        <f t="shared" si="115"/>
        <v>0.53596235715886198</v>
      </c>
      <c r="P1244" s="23">
        <f t="shared" si="116"/>
        <v>0.42109567555456001</v>
      </c>
      <c r="Q1244" s="23">
        <f t="shared" si="117"/>
        <v>0.78568143812709001</v>
      </c>
      <c r="R1244" s="22">
        <f t="shared" si="118"/>
        <v>1.55716072046186</v>
      </c>
      <c r="S1244" s="22">
        <f t="shared" si="119"/>
        <v>2.55716072046186</v>
      </c>
    </row>
    <row r="1245" spans="1:19">
      <c r="A1245" s="18" t="s">
        <v>1284</v>
      </c>
      <c r="B1245" s="18" t="s">
        <v>28</v>
      </c>
      <c r="C1245" s="18" t="s">
        <v>48</v>
      </c>
      <c r="D1245" s="19">
        <v>44988</v>
      </c>
      <c r="E1245" s="20">
        <v>45592</v>
      </c>
      <c r="F1245" s="21">
        <v>7102.4</v>
      </c>
      <c r="G1245" s="21">
        <v>5036.8</v>
      </c>
      <c r="H1245" s="21">
        <v>1240</v>
      </c>
      <c r="I1245" s="18">
        <v>5119.8559999999998</v>
      </c>
      <c r="J1245" s="18">
        <v>6331.1040000000003</v>
      </c>
      <c r="K1245" s="18" t="s">
        <v>30</v>
      </c>
      <c r="L1245" s="18" t="s">
        <v>50</v>
      </c>
      <c r="M1245" s="18" t="s">
        <v>32</v>
      </c>
      <c r="N1245" s="22">
        <f t="shared" si="114"/>
        <v>0.70916873169632799</v>
      </c>
      <c r="O1245" s="22">
        <f t="shared" si="115"/>
        <v>0.246188055908513</v>
      </c>
      <c r="P1245" s="23">
        <f t="shared" si="116"/>
        <v>1.0164898348157601</v>
      </c>
      <c r="Q1245" s="23">
        <f t="shared" si="117"/>
        <v>4.1289161290322598</v>
      </c>
      <c r="R1245" s="22">
        <f t="shared" si="118"/>
        <v>0.23657852877112201</v>
      </c>
      <c r="S1245" s="22">
        <f t="shared" si="119"/>
        <v>1.23657852877112</v>
      </c>
    </row>
    <row r="1246" spans="1:19">
      <c r="A1246" s="18" t="s">
        <v>1285</v>
      </c>
      <c r="B1246" s="18" t="s">
        <v>47</v>
      </c>
      <c r="C1246" s="18" t="s">
        <v>48</v>
      </c>
      <c r="D1246" s="19">
        <v>44955</v>
      </c>
      <c r="E1246" s="20">
        <v>45574</v>
      </c>
      <c r="F1246" s="21">
        <v>47963.199999999997</v>
      </c>
      <c r="G1246" s="21">
        <v>36896</v>
      </c>
      <c r="H1246" s="21">
        <v>31787.200000000001</v>
      </c>
      <c r="I1246" s="18">
        <v>4249.7920000000004</v>
      </c>
      <c r="J1246" s="18">
        <v>7759.8879999999999</v>
      </c>
      <c r="K1246" s="18" t="s">
        <v>30</v>
      </c>
      <c r="L1246" s="18" t="s">
        <v>50</v>
      </c>
      <c r="M1246" s="18" t="s">
        <v>32</v>
      </c>
      <c r="N1246" s="22">
        <f t="shared" si="114"/>
        <v>0.76925642992961296</v>
      </c>
      <c r="O1246" s="22">
        <f t="shared" si="115"/>
        <v>0.86153512575889002</v>
      </c>
      <c r="P1246" s="23">
        <f t="shared" si="116"/>
        <v>0.115183000867303</v>
      </c>
      <c r="Q1246" s="23">
        <f t="shared" si="117"/>
        <v>0.133695072230332</v>
      </c>
      <c r="R1246" s="22">
        <f t="shared" si="118"/>
        <v>0.82594536391428097</v>
      </c>
      <c r="S1246" s="22">
        <f t="shared" si="119"/>
        <v>1.82594536391428</v>
      </c>
    </row>
    <row r="1247" spans="1:19">
      <c r="A1247" s="18" t="s">
        <v>1286</v>
      </c>
      <c r="B1247" s="18" t="s">
        <v>47</v>
      </c>
      <c r="C1247" s="18" t="s">
        <v>48</v>
      </c>
      <c r="D1247" s="19">
        <v>44897</v>
      </c>
      <c r="E1247" s="20">
        <v>45527</v>
      </c>
      <c r="F1247" s="21">
        <v>55075.199999999997</v>
      </c>
      <c r="G1247" s="21">
        <v>36916.800000000003</v>
      </c>
      <c r="H1247" s="21">
        <v>2166.4</v>
      </c>
      <c r="I1247" s="18">
        <v>617.66399999999999</v>
      </c>
      <c r="J1247" s="18">
        <v>2188.1280000000002</v>
      </c>
      <c r="K1247" s="18" t="s">
        <v>38</v>
      </c>
      <c r="L1247" s="18" t="s">
        <v>23</v>
      </c>
      <c r="M1247" s="18" t="s">
        <v>32</v>
      </c>
      <c r="N1247" s="22">
        <f t="shared" si="114"/>
        <v>0.67029806519086599</v>
      </c>
      <c r="O1247" s="22">
        <f t="shared" si="115"/>
        <v>5.8683309495947598E-2</v>
      </c>
      <c r="P1247" s="23">
        <f t="shared" si="116"/>
        <v>1.6731244311533E-2</v>
      </c>
      <c r="Q1247" s="23">
        <f t="shared" si="117"/>
        <v>0.285110782865583</v>
      </c>
      <c r="R1247" s="22">
        <f t="shared" si="118"/>
        <v>2.5425862604911398</v>
      </c>
      <c r="S1247" s="22">
        <f t="shared" si="119"/>
        <v>3.5425862604911398</v>
      </c>
    </row>
    <row r="1248" spans="1:19">
      <c r="A1248" s="18" t="s">
        <v>1287</v>
      </c>
      <c r="B1248" s="18" t="s">
        <v>28</v>
      </c>
      <c r="C1248" s="18" t="s">
        <v>41</v>
      </c>
      <c r="D1248" s="19">
        <v>44865</v>
      </c>
      <c r="E1248" s="20">
        <v>45493</v>
      </c>
      <c r="F1248" s="21">
        <v>7376</v>
      </c>
      <c r="G1248" s="21">
        <v>6936</v>
      </c>
      <c r="H1248" s="21">
        <v>4006.4</v>
      </c>
      <c r="I1248" s="18">
        <v>1080.6559999999999</v>
      </c>
      <c r="J1248" s="18">
        <v>4093.6480000000001</v>
      </c>
      <c r="K1248" s="18" t="s">
        <v>22</v>
      </c>
      <c r="L1248" s="18" t="s">
        <v>35</v>
      </c>
      <c r="M1248" s="18" t="s">
        <v>24</v>
      </c>
      <c r="N1248" s="22">
        <f t="shared" si="114"/>
        <v>0.94034707158351405</v>
      </c>
      <c r="O1248" s="22">
        <f t="shared" si="115"/>
        <v>0.57762399077278004</v>
      </c>
      <c r="P1248" s="23">
        <f t="shared" si="116"/>
        <v>0.15580392156862699</v>
      </c>
      <c r="Q1248" s="23">
        <f t="shared" si="117"/>
        <v>0.26973242811501602</v>
      </c>
      <c r="R1248" s="22">
        <f t="shared" si="118"/>
        <v>2.78811388638012</v>
      </c>
      <c r="S1248" s="22">
        <f t="shared" si="119"/>
        <v>3.78811388638012</v>
      </c>
    </row>
    <row r="1249" spans="1:19">
      <c r="A1249" s="18" t="s">
        <v>1288</v>
      </c>
      <c r="B1249" s="18" t="s">
        <v>20</v>
      </c>
      <c r="C1249" s="18" t="s">
        <v>21</v>
      </c>
      <c r="D1249" s="19">
        <v>44874</v>
      </c>
      <c r="E1249" s="20">
        <v>45483</v>
      </c>
      <c r="F1249" s="21">
        <v>20457.599999999999</v>
      </c>
      <c r="G1249" s="21">
        <v>9993.6</v>
      </c>
      <c r="H1249" s="21">
        <v>3003.2</v>
      </c>
      <c r="I1249" s="18">
        <v>5030.7359999999999</v>
      </c>
      <c r="J1249" s="18">
        <v>7838.72</v>
      </c>
      <c r="K1249" s="18" t="s">
        <v>65</v>
      </c>
      <c r="L1249" s="18" t="s">
        <v>31</v>
      </c>
      <c r="M1249" s="18" t="s">
        <v>24</v>
      </c>
      <c r="N1249" s="22">
        <f t="shared" si="114"/>
        <v>0.48850305021116902</v>
      </c>
      <c r="O1249" s="22">
        <f t="shared" si="115"/>
        <v>0.300512327889849</v>
      </c>
      <c r="P1249" s="23">
        <f t="shared" si="116"/>
        <v>0.50339577329490903</v>
      </c>
      <c r="Q1249" s="23">
        <f t="shared" si="117"/>
        <v>1.6751251997868899</v>
      </c>
      <c r="R1249" s="22">
        <f t="shared" si="118"/>
        <v>0.55816564415226699</v>
      </c>
      <c r="S1249" s="22">
        <f t="shared" si="119"/>
        <v>1.55816564415227</v>
      </c>
    </row>
    <row r="1250" spans="1:19">
      <c r="A1250" s="18" t="s">
        <v>1289</v>
      </c>
      <c r="B1250" s="18" t="s">
        <v>40</v>
      </c>
      <c r="C1250" s="18" t="s">
        <v>48</v>
      </c>
      <c r="D1250" s="19">
        <v>44911</v>
      </c>
      <c r="E1250" s="20">
        <v>45512</v>
      </c>
      <c r="F1250" s="21">
        <v>18012.8</v>
      </c>
      <c r="G1250" s="21">
        <v>6230.4</v>
      </c>
      <c r="H1250" s="21">
        <v>5932.8</v>
      </c>
      <c r="I1250" s="18">
        <v>3452.1759999999999</v>
      </c>
      <c r="J1250" s="18">
        <v>10848.88</v>
      </c>
      <c r="K1250" s="18" t="s">
        <v>30</v>
      </c>
      <c r="L1250" s="18" t="s">
        <v>35</v>
      </c>
      <c r="M1250" s="18" t="s">
        <v>32</v>
      </c>
      <c r="N1250" s="22">
        <f t="shared" si="114"/>
        <v>0.34588736898205702</v>
      </c>
      <c r="O1250" s="22">
        <f t="shared" si="115"/>
        <v>0.95223420647149504</v>
      </c>
      <c r="P1250" s="23">
        <f t="shared" si="116"/>
        <v>0.55408577298407802</v>
      </c>
      <c r="Q1250" s="23">
        <f t="shared" si="117"/>
        <v>0.581879719525351</v>
      </c>
      <c r="R1250" s="22">
        <f t="shared" si="118"/>
        <v>2.1426207702040698</v>
      </c>
      <c r="S1250" s="22">
        <f t="shared" si="119"/>
        <v>3.1426207702040698</v>
      </c>
    </row>
    <row r="1251" spans="1:19">
      <c r="A1251" s="18" t="s">
        <v>1290</v>
      </c>
      <c r="B1251" s="18" t="s">
        <v>47</v>
      </c>
      <c r="C1251" s="18" t="s">
        <v>29</v>
      </c>
      <c r="D1251" s="19">
        <v>44799</v>
      </c>
      <c r="E1251" s="20">
        <v>45400</v>
      </c>
      <c r="F1251" s="21">
        <v>18830.400000000001</v>
      </c>
      <c r="G1251" s="21">
        <v>7905.6</v>
      </c>
      <c r="H1251" s="21">
        <v>7163.2</v>
      </c>
      <c r="I1251" s="18">
        <v>3924.4639999999999</v>
      </c>
      <c r="J1251" s="18">
        <v>10919.871999999999</v>
      </c>
      <c r="K1251" s="18" t="s">
        <v>43</v>
      </c>
      <c r="L1251" s="18" t="s">
        <v>50</v>
      </c>
      <c r="M1251" s="18" t="s">
        <v>24</v>
      </c>
      <c r="N1251" s="22">
        <f t="shared" si="114"/>
        <v>0.419831761407086</v>
      </c>
      <c r="O1251" s="22">
        <f t="shared" si="115"/>
        <v>0.90609188423396103</v>
      </c>
      <c r="P1251" s="23">
        <f t="shared" si="116"/>
        <v>0.49641570532280899</v>
      </c>
      <c r="Q1251" s="23">
        <f t="shared" si="117"/>
        <v>0.547864641501005</v>
      </c>
      <c r="R1251" s="22">
        <f t="shared" si="118"/>
        <v>1.7825129750202799</v>
      </c>
      <c r="S1251" s="22">
        <f t="shared" si="119"/>
        <v>2.7825129750202802</v>
      </c>
    </row>
    <row r="1252" spans="1:19">
      <c r="A1252" s="18" t="s">
        <v>1291</v>
      </c>
      <c r="B1252" s="18" t="s">
        <v>26</v>
      </c>
      <c r="C1252" s="18" t="s">
        <v>41</v>
      </c>
      <c r="D1252" s="19">
        <v>44912</v>
      </c>
      <c r="E1252" s="20">
        <v>45539</v>
      </c>
      <c r="F1252" s="21">
        <v>17808</v>
      </c>
      <c r="G1252" s="21">
        <v>17356.8</v>
      </c>
      <c r="H1252" s="21">
        <v>6262.4</v>
      </c>
      <c r="I1252" s="18">
        <v>7808.88</v>
      </c>
      <c r="J1252" s="18">
        <v>22471.295999999998</v>
      </c>
      <c r="K1252" s="18" t="s">
        <v>65</v>
      </c>
      <c r="L1252" s="18" t="s">
        <v>35</v>
      </c>
      <c r="M1252" s="18" t="s">
        <v>32</v>
      </c>
      <c r="N1252" s="22">
        <f t="shared" si="114"/>
        <v>0.97466307277627995</v>
      </c>
      <c r="O1252" s="22">
        <f t="shared" si="115"/>
        <v>0.36080383480826</v>
      </c>
      <c r="P1252" s="23">
        <f t="shared" si="116"/>
        <v>0.44990320796460198</v>
      </c>
      <c r="Q1252" s="23">
        <f t="shared" si="117"/>
        <v>1.2469468574348499</v>
      </c>
      <c r="R1252" s="22">
        <f t="shared" si="118"/>
        <v>1.8776592802040799</v>
      </c>
      <c r="S1252" s="22">
        <f t="shared" si="119"/>
        <v>2.8776592802040701</v>
      </c>
    </row>
    <row r="1253" spans="1:19">
      <c r="A1253" s="18" t="s">
        <v>1292</v>
      </c>
      <c r="B1253" s="18" t="s">
        <v>34</v>
      </c>
      <c r="C1253" s="18" t="s">
        <v>29</v>
      </c>
      <c r="D1253" s="19">
        <v>44979</v>
      </c>
      <c r="E1253" s="20">
        <v>45604</v>
      </c>
      <c r="F1253" s="21">
        <v>15401.6</v>
      </c>
      <c r="G1253" s="21">
        <v>9491.2000000000007</v>
      </c>
      <c r="H1253" s="21">
        <v>8190.4</v>
      </c>
      <c r="I1253" s="18">
        <v>3371.712</v>
      </c>
      <c r="J1253" s="18">
        <v>7858.8159999999998</v>
      </c>
      <c r="K1253" s="18" t="s">
        <v>65</v>
      </c>
      <c r="L1253" s="18" t="s">
        <v>50</v>
      </c>
      <c r="M1253" s="18" t="s">
        <v>24</v>
      </c>
      <c r="N1253" s="22">
        <f t="shared" si="114"/>
        <v>0.616247662580511</v>
      </c>
      <c r="O1253" s="22">
        <f t="shared" si="115"/>
        <v>0.86294672960215801</v>
      </c>
      <c r="P1253" s="23">
        <f t="shared" si="116"/>
        <v>0.35524612272420802</v>
      </c>
      <c r="Q1253" s="23">
        <f t="shared" si="117"/>
        <v>0.41166634108224298</v>
      </c>
      <c r="R1253" s="22">
        <f t="shared" si="118"/>
        <v>1.3308087998025899</v>
      </c>
      <c r="S1253" s="22">
        <f t="shared" si="119"/>
        <v>2.3308087998025901</v>
      </c>
    </row>
    <row r="1254" spans="1:19">
      <c r="A1254" s="18" t="s">
        <v>1293</v>
      </c>
      <c r="B1254" s="18" t="s">
        <v>34</v>
      </c>
      <c r="C1254" s="18" t="s">
        <v>41</v>
      </c>
      <c r="D1254" s="19">
        <v>44918</v>
      </c>
      <c r="E1254" s="20">
        <v>45546</v>
      </c>
      <c r="F1254" s="21">
        <v>39272</v>
      </c>
      <c r="G1254" s="21">
        <v>1411.2</v>
      </c>
      <c r="H1254" s="21">
        <v>683.2</v>
      </c>
      <c r="I1254" s="18">
        <v>486.89600000000002</v>
      </c>
      <c r="J1254" s="18">
        <v>681.87199999999996</v>
      </c>
      <c r="K1254" s="18" t="s">
        <v>65</v>
      </c>
      <c r="L1254" s="18" t="s">
        <v>50</v>
      </c>
      <c r="M1254" s="18" t="s">
        <v>32</v>
      </c>
      <c r="N1254" s="22">
        <f t="shared" si="114"/>
        <v>3.5933998777755098E-2</v>
      </c>
      <c r="O1254" s="22">
        <f t="shared" si="115"/>
        <v>0.48412698412698402</v>
      </c>
      <c r="P1254" s="23">
        <f t="shared" si="116"/>
        <v>0.34502267573696099</v>
      </c>
      <c r="Q1254" s="23">
        <f t="shared" si="117"/>
        <v>0.71266978922716595</v>
      </c>
      <c r="R1254" s="22">
        <f t="shared" si="118"/>
        <v>0.40044691268771998</v>
      </c>
      <c r="S1254" s="22">
        <f t="shared" si="119"/>
        <v>1.4004469126877199</v>
      </c>
    </row>
    <row r="1255" spans="1:19">
      <c r="A1255" s="18" t="s">
        <v>1294</v>
      </c>
      <c r="B1255" s="18" t="s">
        <v>40</v>
      </c>
      <c r="C1255" s="18" t="s">
        <v>29</v>
      </c>
      <c r="D1255" s="19">
        <v>44914</v>
      </c>
      <c r="E1255" s="20">
        <v>45528</v>
      </c>
      <c r="F1255" s="21">
        <v>37310.400000000001</v>
      </c>
      <c r="G1255" s="21">
        <v>9798.4</v>
      </c>
      <c r="H1255" s="21">
        <v>7878.4</v>
      </c>
      <c r="I1255" s="18">
        <v>2958.672</v>
      </c>
      <c r="J1255" s="18">
        <v>3751.1039999999998</v>
      </c>
      <c r="K1255" s="18" t="s">
        <v>30</v>
      </c>
      <c r="L1255" s="18" t="s">
        <v>50</v>
      </c>
      <c r="M1255" s="18" t="s">
        <v>24</v>
      </c>
      <c r="N1255" s="22">
        <f t="shared" si="114"/>
        <v>0.26261846562888602</v>
      </c>
      <c r="O1255" s="22">
        <f t="shared" si="115"/>
        <v>0.80404964075767504</v>
      </c>
      <c r="P1255" s="23">
        <f t="shared" si="116"/>
        <v>0.301954604833442</v>
      </c>
      <c r="Q1255" s="23">
        <f t="shared" si="117"/>
        <v>0.37554224207961001</v>
      </c>
      <c r="R1255" s="22">
        <f t="shared" si="118"/>
        <v>0.26783367673064101</v>
      </c>
      <c r="S1255" s="22">
        <f t="shared" si="119"/>
        <v>1.26783367673064</v>
      </c>
    </row>
    <row r="1256" spans="1:19">
      <c r="A1256" s="18" t="s">
        <v>1295</v>
      </c>
      <c r="B1256" s="18" t="s">
        <v>47</v>
      </c>
      <c r="C1256" s="18" t="s">
        <v>21</v>
      </c>
      <c r="D1256" s="19">
        <v>44948</v>
      </c>
      <c r="E1256" s="20">
        <v>45561</v>
      </c>
      <c r="F1256" s="21">
        <v>8867.2000000000007</v>
      </c>
      <c r="G1256" s="21">
        <v>233.6</v>
      </c>
      <c r="H1256" s="21">
        <v>73.599999999999994</v>
      </c>
      <c r="I1256" s="18">
        <v>1016.112</v>
      </c>
      <c r="J1256" s="18">
        <v>3115.44</v>
      </c>
      <c r="K1256" s="18" t="s">
        <v>30</v>
      </c>
      <c r="L1256" s="18" t="s">
        <v>31</v>
      </c>
      <c r="M1256" s="18" t="s">
        <v>32</v>
      </c>
      <c r="N1256" s="22">
        <f t="shared" si="114"/>
        <v>2.63442800433057E-2</v>
      </c>
      <c r="O1256" s="22">
        <f t="shared" si="115"/>
        <v>0.31506849315068503</v>
      </c>
      <c r="P1256" s="23">
        <f t="shared" si="116"/>
        <v>4.3497945205479498</v>
      </c>
      <c r="Q1256" s="23">
        <f t="shared" si="117"/>
        <v>13.805869565217399</v>
      </c>
      <c r="R1256" s="22">
        <f t="shared" si="118"/>
        <v>2.0660399640984499</v>
      </c>
      <c r="S1256" s="22">
        <f t="shared" si="119"/>
        <v>3.0660399640984499</v>
      </c>
    </row>
    <row r="1257" spans="1:19">
      <c r="A1257" s="18" t="s">
        <v>1296</v>
      </c>
      <c r="B1257" s="18" t="s">
        <v>26</v>
      </c>
      <c r="C1257" s="18" t="s">
        <v>29</v>
      </c>
      <c r="D1257" s="19">
        <v>44751</v>
      </c>
      <c r="E1257" s="20">
        <v>45358</v>
      </c>
      <c r="F1257" s="21">
        <v>33243.199999999997</v>
      </c>
      <c r="G1257" s="21">
        <v>13433.6</v>
      </c>
      <c r="H1257" s="21">
        <v>10619.2</v>
      </c>
      <c r="I1257" s="18">
        <v>7951.3440000000001</v>
      </c>
      <c r="J1257" s="18">
        <v>14658.304</v>
      </c>
      <c r="K1257" s="18" t="s">
        <v>38</v>
      </c>
      <c r="L1257" s="18" t="s">
        <v>44</v>
      </c>
      <c r="M1257" s="18" t="s">
        <v>24</v>
      </c>
      <c r="N1257" s="22">
        <f t="shared" si="114"/>
        <v>0.40410068826105799</v>
      </c>
      <c r="O1257" s="22">
        <f t="shared" si="115"/>
        <v>0.790495474035255</v>
      </c>
      <c r="P1257" s="23">
        <f t="shared" si="116"/>
        <v>0.59189971414959497</v>
      </c>
      <c r="Q1257" s="23">
        <f t="shared" si="117"/>
        <v>0.74877052885339801</v>
      </c>
      <c r="R1257" s="22">
        <f t="shared" si="118"/>
        <v>0.84350016802190897</v>
      </c>
      <c r="S1257" s="22">
        <f t="shared" si="119"/>
        <v>1.8435001680219101</v>
      </c>
    </row>
    <row r="1258" spans="1:19">
      <c r="A1258" s="18" t="s">
        <v>1297</v>
      </c>
      <c r="B1258" s="18" t="s">
        <v>34</v>
      </c>
      <c r="C1258" s="18" t="s">
        <v>21</v>
      </c>
      <c r="D1258" s="19">
        <v>44835</v>
      </c>
      <c r="E1258" s="20">
        <v>45460</v>
      </c>
      <c r="F1258" s="21">
        <v>17660.8</v>
      </c>
      <c r="G1258" s="21">
        <v>7156.8</v>
      </c>
      <c r="H1258" s="21">
        <v>6182.4</v>
      </c>
      <c r="I1258" s="18">
        <v>979.13599999999997</v>
      </c>
      <c r="J1258" s="18">
        <v>2450.944</v>
      </c>
      <c r="K1258" s="18" t="s">
        <v>65</v>
      </c>
      <c r="L1258" s="18" t="s">
        <v>31</v>
      </c>
      <c r="M1258" s="18" t="s">
        <v>32</v>
      </c>
      <c r="N1258" s="22">
        <f t="shared" si="114"/>
        <v>0.40523645587968798</v>
      </c>
      <c r="O1258" s="22">
        <f t="shared" si="115"/>
        <v>0.863849765258216</v>
      </c>
      <c r="P1258" s="23">
        <f t="shared" si="116"/>
        <v>0.136811983009166</v>
      </c>
      <c r="Q1258" s="23">
        <f t="shared" si="117"/>
        <v>0.15837474120082801</v>
      </c>
      <c r="R1258" s="22">
        <f t="shared" si="118"/>
        <v>1.5031701418393399</v>
      </c>
      <c r="S1258" s="22">
        <f t="shared" si="119"/>
        <v>2.5031701418393402</v>
      </c>
    </row>
    <row r="1259" spans="1:19">
      <c r="A1259" s="18" t="s">
        <v>1298</v>
      </c>
      <c r="B1259" s="18" t="s">
        <v>47</v>
      </c>
      <c r="C1259" s="18" t="s">
        <v>48</v>
      </c>
      <c r="D1259" s="19">
        <v>44948</v>
      </c>
      <c r="E1259" s="20">
        <v>45555</v>
      </c>
      <c r="F1259" s="21">
        <v>51680</v>
      </c>
      <c r="G1259" s="21">
        <v>1345.6</v>
      </c>
      <c r="H1259" s="21">
        <v>1339.2</v>
      </c>
      <c r="I1259" s="18">
        <v>1226.5920000000001</v>
      </c>
      <c r="J1259" s="18">
        <v>3300.32</v>
      </c>
      <c r="K1259" s="18" t="s">
        <v>30</v>
      </c>
      <c r="L1259" s="18" t="s">
        <v>23</v>
      </c>
      <c r="M1259" s="18" t="s">
        <v>32</v>
      </c>
      <c r="N1259" s="22">
        <f t="shared" si="114"/>
        <v>2.60371517027864E-2</v>
      </c>
      <c r="O1259" s="22">
        <f t="shared" si="115"/>
        <v>0.99524375743162896</v>
      </c>
      <c r="P1259" s="23">
        <f t="shared" si="116"/>
        <v>0.91155766944114203</v>
      </c>
      <c r="Q1259" s="23">
        <f t="shared" si="117"/>
        <v>0.91591397849462397</v>
      </c>
      <c r="R1259" s="22">
        <f t="shared" si="118"/>
        <v>1.69064203908064</v>
      </c>
      <c r="S1259" s="22">
        <f t="shared" si="119"/>
        <v>2.69064203908064</v>
      </c>
    </row>
    <row r="1260" spans="1:19">
      <c r="A1260" s="18" t="s">
        <v>1299</v>
      </c>
      <c r="B1260" s="18" t="s">
        <v>28</v>
      </c>
      <c r="C1260" s="18" t="s">
        <v>21</v>
      </c>
      <c r="D1260" s="19">
        <v>44867</v>
      </c>
      <c r="E1260" s="20">
        <v>45486</v>
      </c>
      <c r="F1260" s="21">
        <v>21913.599999999999</v>
      </c>
      <c r="G1260" s="21">
        <v>13963.2</v>
      </c>
      <c r="H1260" s="21">
        <v>13865.6</v>
      </c>
      <c r="I1260" s="18">
        <v>4863.2</v>
      </c>
      <c r="J1260" s="18">
        <v>9410.4159999999993</v>
      </c>
      <c r="K1260" s="18" t="s">
        <v>65</v>
      </c>
      <c r="L1260" s="18" t="s">
        <v>44</v>
      </c>
      <c r="M1260" s="18" t="s">
        <v>32</v>
      </c>
      <c r="N1260" s="22">
        <f t="shared" si="114"/>
        <v>0.63719334112149495</v>
      </c>
      <c r="O1260" s="22">
        <f t="shared" si="115"/>
        <v>0.99301019823536196</v>
      </c>
      <c r="P1260" s="23">
        <f t="shared" si="116"/>
        <v>0.34828692563309299</v>
      </c>
      <c r="Q1260" s="23">
        <f t="shared" si="117"/>
        <v>0.35073851834756498</v>
      </c>
      <c r="R1260" s="22">
        <f t="shared" si="118"/>
        <v>0.93502549761473897</v>
      </c>
      <c r="S1260" s="22">
        <f t="shared" si="119"/>
        <v>1.9350254976147401</v>
      </c>
    </row>
    <row r="1261" spans="1:19">
      <c r="A1261" s="18" t="s">
        <v>1300</v>
      </c>
      <c r="B1261" s="18" t="s">
        <v>40</v>
      </c>
      <c r="C1261" s="18" t="s">
        <v>29</v>
      </c>
      <c r="D1261" s="19">
        <v>44880</v>
      </c>
      <c r="E1261" s="20">
        <v>45485</v>
      </c>
      <c r="F1261" s="21">
        <v>56748.800000000003</v>
      </c>
      <c r="G1261" s="21">
        <v>43427.199999999997</v>
      </c>
      <c r="H1261" s="21">
        <v>10465.6</v>
      </c>
      <c r="I1261" s="18">
        <v>5986.6080000000002</v>
      </c>
      <c r="J1261" s="18">
        <v>10993.487999999999</v>
      </c>
      <c r="K1261" s="18" t="s">
        <v>30</v>
      </c>
      <c r="L1261" s="18" t="s">
        <v>31</v>
      </c>
      <c r="M1261" s="18" t="s">
        <v>24</v>
      </c>
      <c r="N1261" s="22">
        <f t="shared" si="114"/>
        <v>0.765253185970452</v>
      </c>
      <c r="O1261" s="22">
        <f t="shared" si="115"/>
        <v>0.24099182079434101</v>
      </c>
      <c r="P1261" s="23">
        <f t="shared" si="116"/>
        <v>0.13785387959619799</v>
      </c>
      <c r="Q1261" s="23">
        <f t="shared" si="117"/>
        <v>0.57202721296437897</v>
      </c>
      <c r="R1261" s="22">
        <f t="shared" si="118"/>
        <v>0.83634672589219095</v>
      </c>
      <c r="S1261" s="22">
        <f t="shared" si="119"/>
        <v>1.8363467258921899</v>
      </c>
    </row>
    <row r="1262" spans="1:19">
      <c r="A1262" s="18" t="s">
        <v>1301</v>
      </c>
      <c r="B1262" s="18" t="s">
        <v>28</v>
      </c>
      <c r="C1262" s="18" t="s">
        <v>48</v>
      </c>
      <c r="D1262" s="19">
        <v>44895</v>
      </c>
      <c r="E1262" s="20">
        <v>45509</v>
      </c>
      <c r="F1262" s="21">
        <v>47672</v>
      </c>
      <c r="G1262" s="21">
        <v>1326.4</v>
      </c>
      <c r="H1262" s="21">
        <v>752</v>
      </c>
      <c r="I1262" s="18">
        <v>5100.2719999999999</v>
      </c>
      <c r="J1262" s="18">
        <v>14317.856</v>
      </c>
      <c r="K1262" s="18" t="s">
        <v>65</v>
      </c>
      <c r="L1262" s="18" t="s">
        <v>35</v>
      </c>
      <c r="M1262" s="18" t="s">
        <v>32</v>
      </c>
      <c r="N1262" s="22">
        <f t="shared" si="114"/>
        <v>2.7823460312132901E-2</v>
      </c>
      <c r="O1262" s="22">
        <f t="shared" si="115"/>
        <v>0.56694813027744295</v>
      </c>
      <c r="P1262" s="23">
        <f t="shared" si="116"/>
        <v>3.8451990349819098</v>
      </c>
      <c r="Q1262" s="23">
        <f t="shared" si="117"/>
        <v>6.7822765957446798</v>
      </c>
      <c r="R1262" s="22">
        <f t="shared" si="118"/>
        <v>1.8072730238701</v>
      </c>
      <c r="S1262" s="22">
        <f t="shared" si="119"/>
        <v>2.8072730238701</v>
      </c>
    </row>
    <row r="1263" spans="1:19">
      <c r="A1263" s="18" t="s">
        <v>1302</v>
      </c>
      <c r="B1263" s="18" t="s">
        <v>20</v>
      </c>
      <c r="C1263" s="18" t="s">
        <v>21</v>
      </c>
      <c r="D1263" s="19">
        <v>44760</v>
      </c>
      <c r="E1263" s="20">
        <v>45370</v>
      </c>
      <c r="F1263" s="21">
        <v>77136</v>
      </c>
      <c r="G1263" s="21">
        <v>41736</v>
      </c>
      <c r="H1263" s="21">
        <v>5958.4</v>
      </c>
      <c r="I1263" s="18">
        <v>6530.1760000000004</v>
      </c>
      <c r="J1263" s="18">
        <v>16445.008000000002</v>
      </c>
      <c r="K1263" s="18" t="s">
        <v>43</v>
      </c>
      <c r="L1263" s="18" t="s">
        <v>35</v>
      </c>
      <c r="M1263" s="18" t="s">
        <v>24</v>
      </c>
      <c r="N1263" s="22">
        <f t="shared" si="114"/>
        <v>0.54107031736154299</v>
      </c>
      <c r="O1263" s="22">
        <f t="shared" si="115"/>
        <v>0.14276404063638101</v>
      </c>
      <c r="P1263" s="23">
        <f t="shared" si="116"/>
        <v>0.15646386812344301</v>
      </c>
      <c r="Q1263" s="23">
        <f t="shared" si="117"/>
        <v>1.0959613319011801</v>
      </c>
      <c r="R1263" s="22">
        <f t="shared" si="118"/>
        <v>1.51831007311288</v>
      </c>
      <c r="S1263" s="22">
        <f t="shared" si="119"/>
        <v>2.5183100731128798</v>
      </c>
    </row>
    <row r="1264" spans="1:19">
      <c r="A1264" s="18" t="s">
        <v>1303</v>
      </c>
      <c r="B1264" s="18" t="s">
        <v>34</v>
      </c>
      <c r="C1264" s="18" t="s">
        <v>29</v>
      </c>
      <c r="D1264" s="19">
        <v>44864</v>
      </c>
      <c r="E1264" s="20">
        <v>45470</v>
      </c>
      <c r="F1264" s="21">
        <v>44550.400000000001</v>
      </c>
      <c r="G1264" s="21">
        <v>18123.2</v>
      </c>
      <c r="H1264" s="21">
        <v>3844.8</v>
      </c>
      <c r="I1264" s="18">
        <v>2616.768</v>
      </c>
      <c r="J1264" s="18">
        <v>9178.6560000000009</v>
      </c>
      <c r="K1264" s="18" t="s">
        <v>30</v>
      </c>
      <c r="L1264" s="18" t="s">
        <v>31</v>
      </c>
      <c r="M1264" s="18" t="s">
        <v>32</v>
      </c>
      <c r="N1264" s="22">
        <f t="shared" si="114"/>
        <v>0.40680218359431097</v>
      </c>
      <c r="O1264" s="22">
        <f t="shared" si="115"/>
        <v>0.21214796503928701</v>
      </c>
      <c r="P1264" s="23">
        <f t="shared" si="116"/>
        <v>0.14438774609340499</v>
      </c>
      <c r="Q1264" s="23">
        <f t="shared" si="117"/>
        <v>0.68059925093633</v>
      </c>
      <c r="R1264" s="22">
        <f t="shared" si="118"/>
        <v>2.5076307872918</v>
      </c>
      <c r="S1264" s="22">
        <f t="shared" si="119"/>
        <v>3.5076307872918</v>
      </c>
    </row>
    <row r="1265" spans="1:19">
      <c r="A1265" s="18" t="s">
        <v>1304</v>
      </c>
      <c r="B1265" s="18" t="s">
        <v>34</v>
      </c>
      <c r="C1265" s="18" t="s">
        <v>29</v>
      </c>
      <c r="D1265" s="19">
        <v>44953</v>
      </c>
      <c r="E1265" s="20">
        <v>45557</v>
      </c>
      <c r="F1265" s="21">
        <v>31356.799999999999</v>
      </c>
      <c r="G1265" s="21">
        <v>2393.6</v>
      </c>
      <c r="H1265" s="21">
        <v>1321.6</v>
      </c>
      <c r="I1265" s="18">
        <v>3280.5439999999999</v>
      </c>
      <c r="J1265" s="18">
        <v>6178.8639999999996</v>
      </c>
      <c r="K1265" s="18" t="s">
        <v>65</v>
      </c>
      <c r="L1265" s="18" t="s">
        <v>35</v>
      </c>
      <c r="M1265" s="18" t="s">
        <v>32</v>
      </c>
      <c r="N1265" s="22">
        <f t="shared" si="114"/>
        <v>7.6334319828553904E-2</v>
      </c>
      <c r="O1265" s="22">
        <f t="shared" si="115"/>
        <v>0.55213903743315496</v>
      </c>
      <c r="P1265" s="23">
        <f t="shared" si="116"/>
        <v>1.37054812834225</v>
      </c>
      <c r="Q1265" s="23">
        <f t="shared" si="117"/>
        <v>2.4822518159806299</v>
      </c>
      <c r="R1265" s="22">
        <f t="shared" si="118"/>
        <v>0.88348761668796405</v>
      </c>
      <c r="S1265" s="22">
        <f t="shared" si="119"/>
        <v>1.8834876166879599</v>
      </c>
    </row>
    <row r="1266" spans="1:19">
      <c r="A1266" s="18" t="s">
        <v>1305</v>
      </c>
      <c r="B1266" s="18" t="s">
        <v>40</v>
      </c>
      <c r="C1266" s="18" t="s">
        <v>29</v>
      </c>
      <c r="D1266" s="19">
        <v>44802</v>
      </c>
      <c r="E1266" s="20">
        <v>45414</v>
      </c>
      <c r="F1266" s="21">
        <v>49875.199999999997</v>
      </c>
      <c r="G1266" s="21">
        <v>23464</v>
      </c>
      <c r="H1266" s="21">
        <v>16566.400000000001</v>
      </c>
      <c r="I1266" s="18">
        <v>1497.472</v>
      </c>
      <c r="J1266" s="18">
        <v>4378.5919999999996</v>
      </c>
      <c r="K1266" s="18" t="s">
        <v>65</v>
      </c>
      <c r="L1266" s="18" t="s">
        <v>23</v>
      </c>
      <c r="M1266" s="18" t="s">
        <v>32</v>
      </c>
      <c r="N1266" s="22">
        <f t="shared" si="114"/>
        <v>0.47045425381752898</v>
      </c>
      <c r="O1266" s="22">
        <f t="shared" si="115"/>
        <v>0.70603477667916803</v>
      </c>
      <c r="P1266" s="23">
        <f t="shared" si="116"/>
        <v>6.3819979543129901E-2</v>
      </c>
      <c r="Q1266" s="23">
        <f t="shared" si="117"/>
        <v>9.0392118987830797E-2</v>
      </c>
      <c r="R1266" s="22">
        <f t="shared" si="118"/>
        <v>1.9239892298487</v>
      </c>
      <c r="S1266" s="22">
        <f t="shared" si="119"/>
        <v>2.9239892298486998</v>
      </c>
    </row>
    <row r="1267" spans="1:19">
      <c r="A1267" s="18" t="s">
        <v>1306</v>
      </c>
      <c r="B1267" s="18" t="s">
        <v>47</v>
      </c>
      <c r="C1267" s="18" t="s">
        <v>48</v>
      </c>
      <c r="D1267" s="19">
        <v>44843</v>
      </c>
      <c r="E1267" s="20">
        <v>45454</v>
      </c>
      <c r="F1267" s="21">
        <v>3974.4</v>
      </c>
      <c r="G1267" s="21">
        <v>3444.8</v>
      </c>
      <c r="H1267" s="21">
        <v>2756.8</v>
      </c>
      <c r="I1267" s="18">
        <v>3025.3119999999999</v>
      </c>
      <c r="J1267" s="18">
        <v>11876.016</v>
      </c>
      <c r="K1267" s="18" t="s">
        <v>22</v>
      </c>
      <c r="L1267" s="18" t="s">
        <v>35</v>
      </c>
      <c r="M1267" s="18" t="s">
        <v>24</v>
      </c>
      <c r="N1267" s="22">
        <f t="shared" si="114"/>
        <v>0.86674718196457301</v>
      </c>
      <c r="O1267" s="22">
        <f t="shared" si="115"/>
        <v>0.80027868091035803</v>
      </c>
      <c r="P1267" s="23">
        <f t="shared" si="116"/>
        <v>0.87822573153739003</v>
      </c>
      <c r="Q1267" s="23">
        <f t="shared" si="117"/>
        <v>1.0973998839233901</v>
      </c>
      <c r="R1267" s="22">
        <f t="shared" si="118"/>
        <v>2.9255508192212898</v>
      </c>
      <c r="S1267" s="22">
        <f t="shared" si="119"/>
        <v>3.9255508192212898</v>
      </c>
    </row>
    <row r="1268" spans="1:19">
      <c r="A1268" s="18" t="s">
        <v>1307</v>
      </c>
      <c r="B1268" s="18" t="s">
        <v>34</v>
      </c>
      <c r="C1268" s="18" t="s">
        <v>48</v>
      </c>
      <c r="D1268" s="19">
        <v>44816</v>
      </c>
      <c r="E1268" s="20">
        <v>45442</v>
      </c>
      <c r="F1268" s="21">
        <v>48480</v>
      </c>
      <c r="G1268" s="21">
        <v>5483.2</v>
      </c>
      <c r="H1268" s="21">
        <v>3097.6</v>
      </c>
      <c r="I1268" s="18">
        <v>5012.4319999999998</v>
      </c>
      <c r="J1268" s="18">
        <v>6969.9679999999998</v>
      </c>
      <c r="K1268" s="18" t="s">
        <v>30</v>
      </c>
      <c r="L1268" s="18" t="s">
        <v>23</v>
      </c>
      <c r="M1268" s="18" t="s">
        <v>32</v>
      </c>
      <c r="N1268" s="22">
        <f t="shared" si="114"/>
        <v>0.113102310231023</v>
      </c>
      <c r="O1268" s="22">
        <f t="shared" si="115"/>
        <v>0.56492559089582695</v>
      </c>
      <c r="P1268" s="23">
        <f t="shared" si="116"/>
        <v>0.91414356580099199</v>
      </c>
      <c r="Q1268" s="23">
        <f t="shared" si="117"/>
        <v>1.6181663223140501</v>
      </c>
      <c r="R1268" s="22">
        <f t="shared" si="118"/>
        <v>0.390536170864762</v>
      </c>
      <c r="S1268" s="22">
        <f t="shared" si="119"/>
        <v>1.3905361708647599</v>
      </c>
    </row>
    <row r="1269" spans="1:19">
      <c r="A1269" s="18" t="s">
        <v>1308</v>
      </c>
      <c r="B1269" s="18" t="s">
        <v>28</v>
      </c>
      <c r="C1269" s="18" t="s">
        <v>29</v>
      </c>
      <c r="D1269" s="19">
        <v>44911</v>
      </c>
      <c r="E1269" s="20">
        <v>45525</v>
      </c>
      <c r="F1269" s="21">
        <v>75987.199999999997</v>
      </c>
      <c r="G1269" s="21">
        <v>67044.800000000003</v>
      </c>
      <c r="H1269" s="21">
        <v>42441.599999999999</v>
      </c>
      <c r="I1269" s="18">
        <v>1136.8800000000001</v>
      </c>
      <c r="J1269" s="18">
        <v>4415.0240000000003</v>
      </c>
      <c r="K1269" s="18" t="s">
        <v>43</v>
      </c>
      <c r="L1269" s="18" t="s">
        <v>35</v>
      </c>
      <c r="M1269" s="18" t="s">
        <v>32</v>
      </c>
      <c r="N1269" s="22">
        <f t="shared" si="114"/>
        <v>0.88231702181420002</v>
      </c>
      <c r="O1269" s="22">
        <f t="shared" si="115"/>
        <v>0.63303343436030801</v>
      </c>
      <c r="P1269" s="23">
        <f t="shared" si="116"/>
        <v>1.6957019783786401E-2</v>
      </c>
      <c r="Q1269" s="23">
        <f t="shared" si="117"/>
        <v>2.6786926034833802E-2</v>
      </c>
      <c r="R1269" s="22">
        <f t="shared" si="118"/>
        <v>2.8834564773766802</v>
      </c>
      <c r="S1269" s="22">
        <f t="shared" si="119"/>
        <v>3.8834564773766802</v>
      </c>
    </row>
    <row r="1270" spans="1:19">
      <c r="A1270" s="18" t="s">
        <v>1309</v>
      </c>
      <c r="B1270" s="18" t="s">
        <v>26</v>
      </c>
      <c r="C1270" s="18" t="s">
        <v>21</v>
      </c>
      <c r="D1270" s="19">
        <v>44825</v>
      </c>
      <c r="E1270" s="20">
        <v>45445</v>
      </c>
      <c r="F1270" s="21">
        <v>77616</v>
      </c>
      <c r="G1270" s="21">
        <v>8542.4</v>
      </c>
      <c r="H1270" s="21">
        <v>2748.8</v>
      </c>
      <c r="I1270" s="18">
        <v>283.024</v>
      </c>
      <c r="J1270" s="18">
        <v>619.23199999999997</v>
      </c>
      <c r="K1270" s="18" t="s">
        <v>30</v>
      </c>
      <c r="L1270" s="18" t="s">
        <v>44</v>
      </c>
      <c r="M1270" s="18" t="s">
        <v>32</v>
      </c>
      <c r="N1270" s="22">
        <f t="shared" si="114"/>
        <v>0.11005978148835301</v>
      </c>
      <c r="O1270" s="22">
        <f t="shared" si="115"/>
        <v>0.32178310545045902</v>
      </c>
      <c r="P1270" s="23">
        <f t="shared" si="116"/>
        <v>3.31316725978648E-2</v>
      </c>
      <c r="Q1270" s="23">
        <f t="shared" si="117"/>
        <v>0.102962747380675</v>
      </c>
      <c r="R1270" s="22">
        <f t="shared" si="118"/>
        <v>1.1879133925038201</v>
      </c>
      <c r="S1270" s="22">
        <f t="shared" si="119"/>
        <v>2.1879133925038201</v>
      </c>
    </row>
    <row r="1271" spans="1:19">
      <c r="A1271" s="18" t="s">
        <v>1310</v>
      </c>
      <c r="B1271" s="18" t="s">
        <v>40</v>
      </c>
      <c r="C1271" s="18" t="s">
        <v>48</v>
      </c>
      <c r="D1271" s="19">
        <v>44829</v>
      </c>
      <c r="E1271" s="20">
        <v>45436</v>
      </c>
      <c r="F1271" s="21">
        <v>58856</v>
      </c>
      <c r="G1271" s="21">
        <v>58716.800000000003</v>
      </c>
      <c r="H1271" s="21">
        <v>39958.400000000001</v>
      </c>
      <c r="I1271" s="18">
        <v>4501.6000000000004</v>
      </c>
      <c r="J1271" s="18">
        <v>16839.648000000001</v>
      </c>
      <c r="K1271" s="18" t="s">
        <v>65</v>
      </c>
      <c r="L1271" s="18" t="s">
        <v>35</v>
      </c>
      <c r="M1271" s="18" t="s">
        <v>32</v>
      </c>
      <c r="N1271" s="22">
        <f t="shared" si="114"/>
        <v>0.99763490553214595</v>
      </c>
      <c r="O1271" s="22">
        <f t="shared" si="115"/>
        <v>0.68052754918524205</v>
      </c>
      <c r="P1271" s="23">
        <f t="shared" si="116"/>
        <v>7.6666303340781505E-2</v>
      </c>
      <c r="Q1271" s="23">
        <f t="shared" si="117"/>
        <v>0.112657163449988</v>
      </c>
      <c r="R1271" s="22">
        <f t="shared" si="118"/>
        <v>2.7408139328238801</v>
      </c>
      <c r="S1271" s="22">
        <f t="shared" si="119"/>
        <v>3.7408139328238801</v>
      </c>
    </row>
    <row r="1272" spans="1:19">
      <c r="A1272" s="18" t="s">
        <v>1311</v>
      </c>
      <c r="B1272" s="18" t="s">
        <v>28</v>
      </c>
      <c r="C1272" s="18" t="s">
        <v>48</v>
      </c>
      <c r="D1272" s="19">
        <v>44956</v>
      </c>
      <c r="E1272" s="20">
        <v>45567</v>
      </c>
      <c r="F1272" s="21">
        <v>18870.400000000001</v>
      </c>
      <c r="G1272" s="21">
        <v>2017.6</v>
      </c>
      <c r="H1272" s="21">
        <v>70.400000000000006</v>
      </c>
      <c r="I1272" s="18">
        <v>1675.7439999999999</v>
      </c>
      <c r="J1272" s="18">
        <v>2670.2080000000001</v>
      </c>
      <c r="K1272" s="18" t="s">
        <v>38</v>
      </c>
      <c r="L1272" s="18" t="s">
        <v>35</v>
      </c>
      <c r="M1272" s="18" t="s">
        <v>24</v>
      </c>
      <c r="N1272" s="22">
        <f t="shared" si="114"/>
        <v>0.10691877225708001</v>
      </c>
      <c r="O1272" s="22">
        <f t="shared" si="115"/>
        <v>3.4892942109436997E-2</v>
      </c>
      <c r="P1272" s="23">
        <f t="shared" si="116"/>
        <v>0.83056304520222002</v>
      </c>
      <c r="Q1272" s="23">
        <f t="shared" si="117"/>
        <v>23.803181818181798</v>
      </c>
      <c r="R1272" s="22">
        <f t="shared" si="118"/>
        <v>0.59344625432046905</v>
      </c>
      <c r="S1272" s="22">
        <f t="shared" si="119"/>
        <v>1.5934462543204699</v>
      </c>
    </row>
    <row r="1273" spans="1:19">
      <c r="A1273" s="18" t="s">
        <v>1312</v>
      </c>
      <c r="B1273" s="18" t="s">
        <v>47</v>
      </c>
      <c r="C1273" s="18" t="s">
        <v>41</v>
      </c>
      <c r="D1273" s="19">
        <v>44796</v>
      </c>
      <c r="E1273" s="20">
        <v>45416</v>
      </c>
      <c r="F1273" s="21">
        <v>21707.200000000001</v>
      </c>
      <c r="G1273" s="21">
        <v>14716.8</v>
      </c>
      <c r="H1273" s="21">
        <v>7329.6</v>
      </c>
      <c r="I1273" s="18">
        <v>404.01600000000002</v>
      </c>
      <c r="J1273" s="18">
        <v>1247.3119999999999</v>
      </c>
      <c r="K1273" s="18" t="s">
        <v>30</v>
      </c>
      <c r="L1273" s="18" t="s">
        <v>50</v>
      </c>
      <c r="M1273" s="18" t="s">
        <v>32</v>
      </c>
      <c r="N1273" s="22">
        <f t="shared" si="114"/>
        <v>0.67796860028009098</v>
      </c>
      <c r="O1273" s="22">
        <f t="shared" si="115"/>
        <v>0.498043052837573</v>
      </c>
      <c r="P1273" s="23">
        <f t="shared" si="116"/>
        <v>2.7452707110241399E-2</v>
      </c>
      <c r="Q1273" s="23">
        <f t="shared" si="117"/>
        <v>5.5121152586771499E-2</v>
      </c>
      <c r="R1273" s="22">
        <f t="shared" si="118"/>
        <v>2.0872836719337799</v>
      </c>
      <c r="S1273" s="22">
        <f t="shared" si="119"/>
        <v>3.0872836719337799</v>
      </c>
    </row>
    <row r="1274" spans="1:19">
      <c r="A1274" s="18" t="s">
        <v>1313</v>
      </c>
      <c r="B1274" s="18" t="s">
        <v>40</v>
      </c>
      <c r="C1274" s="18" t="s">
        <v>41</v>
      </c>
      <c r="D1274" s="19">
        <v>44883</v>
      </c>
      <c r="E1274" s="20">
        <v>45496</v>
      </c>
      <c r="F1274" s="21">
        <v>71417.600000000006</v>
      </c>
      <c r="G1274" s="21">
        <v>69568</v>
      </c>
      <c r="H1274" s="21">
        <v>20632</v>
      </c>
      <c r="I1274" s="18">
        <v>7164.56</v>
      </c>
      <c r="J1274" s="18">
        <v>26261.407999999999</v>
      </c>
      <c r="K1274" s="18" t="s">
        <v>22</v>
      </c>
      <c r="L1274" s="18" t="s">
        <v>23</v>
      </c>
      <c r="M1274" s="18" t="s">
        <v>24</v>
      </c>
      <c r="N1274" s="22">
        <f t="shared" si="114"/>
        <v>0.97410162200914097</v>
      </c>
      <c r="O1274" s="22">
        <f t="shared" si="115"/>
        <v>0.29657313707451699</v>
      </c>
      <c r="P1274" s="23">
        <f t="shared" si="116"/>
        <v>0.10298643054277801</v>
      </c>
      <c r="Q1274" s="23">
        <f t="shared" si="117"/>
        <v>0.34725474990306299</v>
      </c>
      <c r="R1274" s="22">
        <f t="shared" si="118"/>
        <v>2.6654599863773898</v>
      </c>
      <c r="S1274" s="22">
        <f t="shared" si="119"/>
        <v>3.6654599863773898</v>
      </c>
    </row>
    <row r="1275" spans="1:19">
      <c r="A1275" s="18" t="s">
        <v>1314</v>
      </c>
      <c r="B1275" s="18" t="s">
        <v>20</v>
      </c>
      <c r="C1275" s="18" t="s">
        <v>21</v>
      </c>
      <c r="D1275" s="19">
        <v>44784</v>
      </c>
      <c r="E1275" s="20">
        <v>45403</v>
      </c>
      <c r="F1275" s="21">
        <v>52755.199999999997</v>
      </c>
      <c r="G1275" s="21">
        <v>5561.6</v>
      </c>
      <c r="H1275" s="21">
        <v>2747.2</v>
      </c>
      <c r="I1275" s="18">
        <v>233.71199999999999</v>
      </c>
      <c r="J1275" s="18">
        <v>714.44799999999998</v>
      </c>
      <c r="K1275" s="18" t="s">
        <v>65</v>
      </c>
      <c r="L1275" s="18" t="s">
        <v>23</v>
      </c>
      <c r="M1275" s="18" t="s">
        <v>32</v>
      </c>
      <c r="N1275" s="22">
        <f t="shared" si="114"/>
        <v>0.105422782967366</v>
      </c>
      <c r="O1275" s="22">
        <f t="shared" si="115"/>
        <v>0.49395857307249702</v>
      </c>
      <c r="P1275" s="23">
        <f t="shared" si="116"/>
        <v>4.2022439585730702E-2</v>
      </c>
      <c r="Q1275" s="23">
        <f t="shared" si="117"/>
        <v>8.5072801397786793E-2</v>
      </c>
      <c r="R1275" s="22">
        <f t="shared" si="118"/>
        <v>2.0569589922639802</v>
      </c>
      <c r="S1275" s="22">
        <f t="shared" si="119"/>
        <v>3.0569589922639802</v>
      </c>
    </row>
    <row r="1276" spans="1:19">
      <c r="A1276" s="18" t="s">
        <v>1315</v>
      </c>
      <c r="B1276" s="18" t="s">
        <v>26</v>
      </c>
      <c r="C1276" s="18" t="s">
        <v>41</v>
      </c>
      <c r="D1276" s="19">
        <v>44735</v>
      </c>
      <c r="E1276" s="20">
        <v>45348</v>
      </c>
      <c r="F1276" s="21">
        <v>61902.400000000001</v>
      </c>
      <c r="G1276" s="21">
        <v>56484.800000000003</v>
      </c>
      <c r="H1276" s="21">
        <v>21568</v>
      </c>
      <c r="I1276" s="18">
        <v>5123.04</v>
      </c>
      <c r="J1276" s="18">
        <v>16119.536</v>
      </c>
      <c r="K1276" s="18" t="s">
        <v>22</v>
      </c>
      <c r="L1276" s="18" t="s">
        <v>23</v>
      </c>
      <c r="M1276" s="18" t="s">
        <v>24</v>
      </c>
      <c r="N1276" s="22">
        <f t="shared" si="114"/>
        <v>0.91248158391274004</v>
      </c>
      <c r="O1276" s="22">
        <f t="shared" si="115"/>
        <v>0.38183723762853</v>
      </c>
      <c r="P1276" s="23">
        <f t="shared" si="116"/>
        <v>9.0697674418604601E-2</v>
      </c>
      <c r="Q1276" s="23">
        <f t="shared" si="117"/>
        <v>0.237529673590504</v>
      </c>
      <c r="R1276" s="22">
        <f t="shared" si="118"/>
        <v>2.1464786532995999</v>
      </c>
      <c r="S1276" s="22">
        <f t="shared" si="119"/>
        <v>3.1464786532995999</v>
      </c>
    </row>
    <row r="1277" spans="1:19">
      <c r="A1277" s="18" t="s">
        <v>1316</v>
      </c>
      <c r="B1277" s="18" t="s">
        <v>26</v>
      </c>
      <c r="C1277" s="18" t="s">
        <v>41</v>
      </c>
      <c r="D1277" s="19">
        <v>44792</v>
      </c>
      <c r="E1277" s="20">
        <v>45416</v>
      </c>
      <c r="F1277" s="21">
        <v>59134.400000000001</v>
      </c>
      <c r="G1277" s="21">
        <v>4430.3999999999996</v>
      </c>
      <c r="H1277" s="21">
        <v>2456</v>
      </c>
      <c r="I1277" s="18">
        <v>3478.9920000000002</v>
      </c>
      <c r="J1277" s="18">
        <v>8278.7360000000008</v>
      </c>
      <c r="K1277" s="18" t="s">
        <v>30</v>
      </c>
      <c r="L1277" s="18" t="s">
        <v>35</v>
      </c>
      <c r="M1277" s="18" t="s">
        <v>32</v>
      </c>
      <c r="N1277" s="22">
        <f t="shared" si="114"/>
        <v>7.4920858248329197E-2</v>
      </c>
      <c r="O1277" s="22">
        <f t="shared" si="115"/>
        <v>0.55435175153484995</v>
      </c>
      <c r="P1277" s="23">
        <f t="shared" si="116"/>
        <v>0.78525460455037899</v>
      </c>
      <c r="Q1277" s="23">
        <f t="shared" si="117"/>
        <v>1.4165276872964201</v>
      </c>
      <c r="R1277" s="22">
        <f t="shared" si="118"/>
        <v>1.3796364004286299</v>
      </c>
      <c r="S1277" s="22">
        <f t="shared" si="119"/>
        <v>2.3796364004286299</v>
      </c>
    </row>
    <row r="1278" spans="1:19">
      <c r="A1278" s="18" t="s">
        <v>1317</v>
      </c>
      <c r="B1278" s="18" t="s">
        <v>28</v>
      </c>
      <c r="C1278" s="18" t="s">
        <v>48</v>
      </c>
      <c r="D1278" s="19">
        <v>44858</v>
      </c>
      <c r="E1278" s="20">
        <v>45483</v>
      </c>
      <c r="F1278" s="21">
        <v>19537.599999999999</v>
      </c>
      <c r="G1278" s="21">
        <v>9662.4</v>
      </c>
      <c r="H1278" s="21">
        <v>4608</v>
      </c>
      <c r="I1278" s="18">
        <v>6122.3519999999999</v>
      </c>
      <c r="J1278" s="18">
        <v>16110.111999999999</v>
      </c>
      <c r="K1278" s="18" t="s">
        <v>43</v>
      </c>
      <c r="L1278" s="18" t="s">
        <v>23</v>
      </c>
      <c r="M1278" s="18" t="s">
        <v>32</v>
      </c>
      <c r="N1278" s="22">
        <f t="shared" si="114"/>
        <v>0.49455409057407301</v>
      </c>
      <c r="O1278" s="22">
        <f t="shared" si="115"/>
        <v>0.47690014903129702</v>
      </c>
      <c r="P1278" s="23">
        <f t="shared" si="116"/>
        <v>0.63362642821659199</v>
      </c>
      <c r="Q1278" s="23">
        <f t="shared" si="117"/>
        <v>1.3286354166666701</v>
      </c>
      <c r="R1278" s="22">
        <f t="shared" si="118"/>
        <v>1.63135997407532</v>
      </c>
      <c r="S1278" s="22">
        <f t="shared" si="119"/>
        <v>2.6313599740753202</v>
      </c>
    </row>
    <row r="1279" spans="1:19">
      <c r="A1279" s="18" t="s">
        <v>1318</v>
      </c>
      <c r="B1279" s="18" t="s">
        <v>28</v>
      </c>
      <c r="C1279" s="18" t="s">
        <v>29</v>
      </c>
      <c r="D1279" s="19">
        <v>44793</v>
      </c>
      <c r="E1279" s="20">
        <v>45396</v>
      </c>
      <c r="F1279" s="21">
        <v>69896</v>
      </c>
      <c r="G1279" s="21">
        <v>7737.6</v>
      </c>
      <c r="H1279" s="21">
        <v>1576</v>
      </c>
      <c r="I1279" s="18">
        <v>972.35199999999998</v>
      </c>
      <c r="J1279" s="18">
        <v>2571.1680000000001</v>
      </c>
      <c r="K1279" s="18" t="s">
        <v>43</v>
      </c>
      <c r="L1279" s="18" t="s">
        <v>35</v>
      </c>
      <c r="M1279" s="18" t="s">
        <v>32</v>
      </c>
      <c r="N1279" s="22">
        <f t="shared" si="114"/>
        <v>0.110701613826256</v>
      </c>
      <c r="O1279" s="22">
        <f t="shared" si="115"/>
        <v>0.20368072787427599</v>
      </c>
      <c r="P1279" s="23">
        <f t="shared" si="116"/>
        <v>0.12566583953680699</v>
      </c>
      <c r="Q1279" s="23">
        <f t="shared" si="117"/>
        <v>0.61697461928934005</v>
      </c>
      <c r="R1279" s="22">
        <f t="shared" si="118"/>
        <v>1.64427696965708</v>
      </c>
      <c r="S1279" s="22">
        <f t="shared" si="119"/>
        <v>2.64427696965708</v>
      </c>
    </row>
    <row r="1280" spans="1:19">
      <c r="A1280" s="18" t="s">
        <v>1319</v>
      </c>
      <c r="B1280" s="18" t="s">
        <v>28</v>
      </c>
      <c r="C1280" s="18" t="s">
        <v>21</v>
      </c>
      <c r="D1280" s="19">
        <v>44711</v>
      </c>
      <c r="E1280" s="20">
        <v>45333</v>
      </c>
      <c r="F1280" s="21">
        <v>42121.599999999999</v>
      </c>
      <c r="G1280" s="21">
        <v>23636.799999999999</v>
      </c>
      <c r="H1280" s="21">
        <v>4108.8</v>
      </c>
      <c r="I1280" s="18">
        <v>1402.528</v>
      </c>
      <c r="J1280" s="18">
        <v>5529.8720000000003</v>
      </c>
      <c r="K1280" s="18" t="s">
        <v>43</v>
      </c>
      <c r="L1280" s="18" t="s">
        <v>31</v>
      </c>
      <c r="M1280" s="18" t="s">
        <v>32</v>
      </c>
      <c r="N1280" s="22">
        <f t="shared" si="114"/>
        <v>0.56115627136670998</v>
      </c>
      <c r="O1280" s="22">
        <f t="shared" si="115"/>
        <v>0.173830636972856</v>
      </c>
      <c r="P1280" s="23">
        <f t="shared" si="116"/>
        <v>5.9336627631489898E-2</v>
      </c>
      <c r="Q1280" s="23">
        <f t="shared" si="117"/>
        <v>0.341347352024922</v>
      </c>
      <c r="R1280" s="22">
        <f t="shared" si="118"/>
        <v>2.94278902096785</v>
      </c>
      <c r="S1280" s="22">
        <f t="shared" si="119"/>
        <v>3.94278902096785</v>
      </c>
    </row>
    <row r="1281" spans="1:19">
      <c r="A1281" s="18" t="s">
        <v>1320</v>
      </c>
      <c r="B1281" s="18" t="s">
        <v>20</v>
      </c>
      <c r="C1281" s="18" t="s">
        <v>29</v>
      </c>
      <c r="D1281" s="19">
        <v>44798</v>
      </c>
      <c r="E1281" s="20">
        <v>45400</v>
      </c>
      <c r="F1281" s="21">
        <v>66132.800000000003</v>
      </c>
      <c r="G1281" s="21">
        <v>45132.800000000003</v>
      </c>
      <c r="H1281" s="21">
        <v>8331.2000000000007</v>
      </c>
      <c r="I1281" s="18">
        <v>4134.3999999999996</v>
      </c>
      <c r="J1281" s="18">
        <v>12256.208000000001</v>
      </c>
      <c r="K1281" s="18" t="s">
        <v>22</v>
      </c>
      <c r="L1281" s="18" t="s">
        <v>50</v>
      </c>
      <c r="M1281" s="18" t="s">
        <v>32</v>
      </c>
      <c r="N1281" s="22">
        <f t="shared" si="114"/>
        <v>0.68245711658965003</v>
      </c>
      <c r="O1281" s="22">
        <f t="shared" si="115"/>
        <v>0.184593023255814</v>
      </c>
      <c r="P1281" s="23">
        <f t="shared" si="116"/>
        <v>9.1605218377765196E-2</v>
      </c>
      <c r="Q1281" s="23">
        <f t="shared" si="117"/>
        <v>0.49625504129057002</v>
      </c>
      <c r="R1281" s="22">
        <f t="shared" si="118"/>
        <v>1.96444659442724</v>
      </c>
      <c r="S1281" s="22">
        <f t="shared" si="119"/>
        <v>2.96444659442724</v>
      </c>
    </row>
    <row r="1282" spans="1:19">
      <c r="A1282" s="18" t="s">
        <v>1321</v>
      </c>
      <c r="B1282" s="18" t="s">
        <v>34</v>
      </c>
      <c r="C1282" s="18" t="s">
        <v>48</v>
      </c>
      <c r="D1282" s="19">
        <v>44791</v>
      </c>
      <c r="E1282" s="20">
        <v>45401</v>
      </c>
      <c r="F1282" s="21">
        <v>79116.800000000003</v>
      </c>
      <c r="G1282" s="21">
        <v>48694.400000000001</v>
      </c>
      <c r="H1282" s="21">
        <v>27932.799999999999</v>
      </c>
      <c r="I1282" s="18">
        <v>1814.336</v>
      </c>
      <c r="J1282" s="18">
        <v>3214.7040000000002</v>
      </c>
      <c r="K1282" s="18" t="s">
        <v>30</v>
      </c>
      <c r="L1282" s="18" t="s">
        <v>44</v>
      </c>
      <c r="M1282" s="18" t="s">
        <v>32</v>
      </c>
      <c r="N1282" s="22">
        <f t="shared" ref="N1282:N1345" si="120">G1282/F1282</f>
        <v>0.61547484225853399</v>
      </c>
      <c r="O1282" s="22">
        <f t="shared" ref="O1282:O1345" si="121">H1282/G1282</f>
        <v>0.57363475060787295</v>
      </c>
      <c r="P1282" s="23">
        <f t="shared" ref="P1282:P1345" si="122">I1282/G1282</f>
        <v>3.7259643819412498E-2</v>
      </c>
      <c r="Q1282" s="23">
        <f t="shared" ref="Q1282:Q1345" si="123">I1282/H1282</f>
        <v>6.4953602932752902E-2</v>
      </c>
      <c r="R1282" s="22">
        <f t="shared" ref="R1282:R1345" si="124">(J1282-I1282)/I1282</f>
        <v>0.77183498536103601</v>
      </c>
      <c r="S1282" s="22">
        <f t="shared" ref="S1282:S1345" si="125">J1282/I1282</f>
        <v>1.77183498536104</v>
      </c>
    </row>
    <row r="1283" spans="1:19">
      <c r="A1283" s="18" t="s">
        <v>1322</v>
      </c>
      <c r="B1283" s="18" t="s">
        <v>34</v>
      </c>
      <c r="C1283" s="18" t="s">
        <v>48</v>
      </c>
      <c r="D1283" s="19">
        <v>44972</v>
      </c>
      <c r="E1283" s="20">
        <v>45574</v>
      </c>
      <c r="F1283" s="21">
        <v>15377.6</v>
      </c>
      <c r="G1283" s="21">
        <v>3417.6</v>
      </c>
      <c r="H1283" s="21">
        <v>606.4</v>
      </c>
      <c r="I1283" s="18">
        <v>7726.9920000000002</v>
      </c>
      <c r="J1283" s="18">
        <v>19248.608</v>
      </c>
      <c r="K1283" s="18" t="s">
        <v>65</v>
      </c>
      <c r="L1283" s="18" t="s">
        <v>44</v>
      </c>
      <c r="M1283" s="18" t="s">
        <v>32</v>
      </c>
      <c r="N1283" s="22">
        <f t="shared" si="120"/>
        <v>0.222245343876808</v>
      </c>
      <c r="O1283" s="22">
        <f t="shared" si="121"/>
        <v>0.177434456928839</v>
      </c>
      <c r="P1283" s="23">
        <f t="shared" si="122"/>
        <v>2.26094101123596</v>
      </c>
      <c r="Q1283" s="23">
        <f t="shared" si="123"/>
        <v>12.742401055408999</v>
      </c>
      <c r="R1283" s="22">
        <f t="shared" si="124"/>
        <v>1.4910868291309201</v>
      </c>
      <c r="S1283" s="22">
        <f t="shared" si="125"/>
        <v>2.4910868291309201</v>
      </c>
    </row>
    <row r="1284" spans="1:19">
      <c r="A1284" s="18" t="s">
        <v>1323</v>
      </c>
      <c r="B1284" s="18" t="s">
        <v>28</v>
      </c>
      <c r="C1284" s="18" t="s">
        <v>21</v>
      </c>
      <c r="D1284" s="19">
        <v>44985</v>
      </c>
      <c r="E1284" s="20">
        <v>45607</v>
      </c>
      <c r="F1284" s="21">
        <v>19731.2</v>
      </c>
      <c r="G1284" s="21">
        <v>7838.4</v>
      </c>
      <c r="H1284" s="21">
        <v>4123.2</v>
      </c>
      <c r="I1284" s="18">
        <v>2587.2640000000001</v>
      </c>
      <c r="J1284" s="18">
        <v>8772.6080000000002</v>
      </c>
      <c r="K1284" s="18" t="s">
        <v>65</v>
      </c>
      <c r="L1284" s="18" t="s">
        <v>31</v>
      </c>
      <c r="M1284" s="18" t="s">
        <v>32</v>
      </c>
      <c r="N1284" s="22">
        <f t="shared" si="120"/>
        <v>0.39725916315277299</v>
      </c>
      <c r="O1284" s="22">
        <f t="shared" si="121"/>
        <v>0.52602571953459898</v>
      </c>
      <c r="P1284" s="23">
        <f t="shared" si="122"/>
        <v>0.330075525617473</v>
      </c>
      <c r="Q1284" s="23">
        <f t="shared" si="123"/>
        <v>0.627489328676756</v>
      </c>
      <c r="R1284" s="22">
        <f t="shared" si="124"/>
        <v>2.3906891604412999</v>
      </c>
      <c r="S1284" s="22">
        <f t="shared" si="125"/>
        <v>3.3906891604412999</v>
      </c>
    </row>
    <row r="1285" spans="1:19">
      <c r="A1285" s="18" t="s">
        <v>1324</v>
      </c>
      <c r="B1285" s="18" t="s">
        <v>28</v>
      </c>
      <c r="C1285" s="18" t="s">
        <v>29</v>
      </c>
      <c r="D1285" s="19">
        <v>44771</v>
      </c>
      <c r="E1285" s="20">
        <v>45393</v>
      </c>
      <c r="F1285" s="21">
        <v>71265.600000000006</v>
      </c>
      <c r="G1285" s="21">
        <v>66587.199999999997</v>
      </c>
      <c r="H1285" s="21">
        <v>49627.199999999997</v>
      </c>
      <c r="I1285" s="18">
        <v>2907.1680000000001</v>
      </c>
      <c r="J1285" s="18">
        <v>5016.6080000000002</v>
      </c>
      <c r="K1285" s="18" t="s">
        <v>30</v>
      </c>
      <c r="L1285" s="18" t="s">
        <v>35</v>
      </c>
      <c r="M1285" s="18" t="s">
        <v>24</v>
      </c>
      <c r="N1285" s="22">
        <f t="shared" si="120"/>
        <v>0.93435261893536303</v>
      </c>
      <c r="O1285" s="22">
        <f t="shared" si="121"/>
        <v>0.74529639330081499</v>
      </c>
      <c r="P1285" s="23">
        <f t="shared" si="122"/>
        <v>4.3659562198140198E-2</v>
      </c>
      <c r="Q1285" s="23">
        <f t="shared" si="123"/>
        <v>5.8580133475190997E-2</v>
      </c>
      <c r="R1285" s="22">
        <f t="shared" si="124"/>
        <v>0.72559962134971201</v>
      </c>
      <c r="S1285" s="22">
        <f t="shared" si="125"/>
        <v>1.72559962134971</v>
      </c>
    </row>
    <row r="1286" spans="1:19">
      <c r="A1286" s="18" t="s">
        <v>1325</v>
      </c>
      <c r="B1286" s="18" t="s">
        <v>47</v>
      </c>
      <c r="C1286" s="18" t="s">
        <v>21</v>
      </c>
      <c r="D1286" s="19">
        <v>44963</v>
      </c>
      <c r="E1286" s="20">
        <v>45567</v>
      </c>
      <c r="F1286" s="21">
        <v>45392</v>
      </c>
      <c r="G1286" s="21">
        <v>21422.400000000001</v>
      </c>
      <c r="H1286" s="21">
        <v>10740.8</v>
      </c>
      <c r="I1286" s="18">
        <v>965.10400000000004</v>
      </c>
      <c r="J1286" s="18">
        <v>2132.0479999999998</v>
      </c>
      <c r="K1286" s="18" t="s">
        <v>38</v>
      </c>
      <c r="L1286" s="18" t="s">
        <v>50</v>
      </c>
      <c r="M1286" s="18" t="s">
        <v>24</v>
      </c>
      <c r="N1286" s="22">
        <f t="shared" si="120"/>
        <v>0.47194219245682101</v>
      </c>
      <c r="O1286" s="22">
        <f t="shared" si="121"/>
        <v>0.50138173127193997</v>
      </c>
      <c r="P1286" s="23">
        <f t="shared" si="122"/>
        <v>4.5051161401150203E-2</v>
      </c>
      <c r="Q1286" s="23">
        <f t="shared" si="123"/>
        <v>8.9854014598540199E-2</v>
      </c>
      <c r="R1286" s="22">
        <f t="shared" si="124"/>
        <v>1.2091380825278899</v>
      </c>
      <c r="S1286" s="22">
        <f t="shared" si="125"/>
        <v>2.2091380825278901</v>
      </c>
    </row>
    <row r="1287" spans="1:19">
      <c r="A1287" s="18" t="s">
        <v>1326</v>
      </c>
      <c r="B1287" s="18" t="s">
        <v>47</v>
      </c>
      <c r="C1287" s="18" t="s">
        <v>21</v>
      </c>
      <c r="D1287" s="19">
        <v>44796</v>
      </c>
      <c r="E1287" s="20">
        <v>45400</v>
      </c>
      <c r="F1287" s="21">
        <v>11937.6</v>
      </c>
      <c r="G1287" s="21">
        <v>10377.6</v>
      </c>
      <c r="H1287" s="21">
        <v>4220.8</v>
      </c>
      <c r="I1287" s="18">
        <v>1147.904</v>
      </c>
      <c r="J1287" s="18">
        <v>1916.6880000000001</v>
      </c>
      <c r="K1287" s="18" t="s">
        <v>43</v>
      </c>
      <c r="L1287" s="18" t="s">
        <v>44</v>
      </c>
      <c r="M1287" s="18" t="s">
        <v>32</v>
      </c>
      <c r="N1287" s="22">
        <f t="shared" si="120"/>
        <v>0.86932046642541205</v>
      </c>
      <c r="O1287" s="22">
        <f t="shared" si="121"/>
        <v>0.40672217082947898</v>
      </c>
      <c r="P1287" s="23">
        <f t="shared" si="122"/>
        <v>0.110613629355535</v>
      </c>
      <c r="Q1287" s="23">
        <f t="shared" si="123"/>
        <v>0.27196360879454101</v>
      </c>
      <c r="R1287" s="22">
        <f t="shared" si="124"/>
        <v>0.66972847903657495</v>
      </c>
      <c r="S1287" s="22">
        <f t="shared" si="125"/>
        <v>1.6697284790365701</v>
      </c>
    </row>
    <row r="1288" spans="1:19">
      <c r="A1288" s="18" t="s">
        <v>1327</v>
      </c>
      <c r="B1288" s="18" t="s">
        <v>40</v>
      </c>
      <c r="C1288" s="18" t="s">
        <v>29</v>
      </c>
      <c r="D1288" s="19">
        <v>44775</v>
      </c>
      <c r="E1288" s="20">
        <v>45394</v>
      </c>
      <c r="F1288" s="21">
        <v>79692.800000000003</v>
      </c>
      <c r="G1288" s="21">
        <v>32083.200000000001</v>
      </c>
      <c r="H1288" s="21">
        <v>3819.2</v>
      </c>
      <c r="I1288" s="18">
        <v>577.53599999999994</v>
      </c>
      <c r="J1288" s="18">
        <v>2133.0239999999999</v>
      </c>
      <c r="K1288" s="18" t="s">
        <v>65</v>
      </c>
      <c r="L1288" s="18" t="s">
        <v>31</v>
      </c>
      <c r="M1288" s="18" t="s">
        <v>32</v>
      </c>
      <c r="N1288" s="22">
        <f t="shared" si="120"/>
        <v>0.402585929971089</v>
      </c>
      <c r="O1288" s="22">
        <f t="shared" si="121"/>
        <v>0.11904049471374401</v>
      </c>
      <c r="P1288" s="23">
        <f t="shared" si="122"/>
        <v>1.8001196888091001E-2</v>
      </c>
      <c r="Q1288" s="23">
        <f t="shared" si="123"/>
        <v>0.15121910347716799</v>
      </c>
      <c r="R1288" s="22">
        <f t="shared" si="124"/>
        <v>2.6933178191489402</v>
      </c>
      <c r="S1288" s="22">
        <f t="shared" si="125"/>
        <v>3.6933178191489402</v>
      </c>
    </row>
    <row r="1289" spans="1:19">
      <c r="A1289" s="18" t="s">
        <v>1328</v>
      </c>
      <c r="B1289" s="18" t="s">
        <v>40</v>
      </c>
      <c r="C1289" s="18" t="s">
        <v>21</v>
      </c>
      <c r="D1289" s="19">
        <v>44749</v>
      </c>
      <c r="E1289" s="20">
        <v>45375</v>
      </c>
      <c r="F1289" s="21">
        <v>33368</v>
      </c>
      <c r="G1289" s="21">
        <v>8588.7999999999993</v>
      </c>
      <c r="H1289" s="21">
        <v>4817.6000000000004</v>
      </c>
      <c r="I1289" s="18">
        <v>682.35199999999998</v>
      </c>
      <c r="J1289" s="18">
        <v>1013.984</v>
      </c>
      <c r="K1289" s="18" t="s">
        <v>65</v>
      </c>
      <c r="L1289" s="18" t="s">
        <v>44</v>
      </c>
      <c r="M1289" s="18" t="s">
        <v>32</v>
      </c>
      <c r="N1289" s="22">
        <f t="shared" si="120"/>
        <v>0.25739630783984702</v>
      </c>
      <c r="O1289" s="22">
        <f t="shared" si="121"/>
        <v>0.56091654247391998</v>
      </c>
      <c r="P1289" s="23">
        <f t="shared" si="122"/>
        <v>7.9446721311475399E-2</v>
      </c>
      <c r="Q1289" s="23">
        <f t="shared" si="123"/>
        <v>0.14163732979076701</v>
      </c>
      <c r="R1289" s="22">
        <f t="shared" si="124"/>
        <v>0.48601308415597799</v>
      </c>
      <c r="S1289" s="22">
        <f t="shared" si="125"/>
        <v>1.48601308415598</v>
      </c>
    </row>
    <row r="1290" spans="1:19">
      <c r="A1290" s="18" t="s">
        <v>1329</v>
      </c>
      <c r="B1290" s="18" t="s">
        <v>40</v>
      </c>
      <c r="C1290" s="18" t="s">
        <v>48</v>
      </c>
      <c r="D1290" s="19">
        <v>44709</v>
      </c>
      <c r="E1290" s="20">
        <v>45315</v>
      </c>
      <c r="F1290" s="21">
        <v>6784</v>
      </c>
      <c r="G1290" s="21">
        <v>6328</v>
      </c>
      <c r="H1290" s="21">
        <v>3742.4</v>
      </c>
      <c r="I1290" s="18">
        <v>4487.6319999999996</v>
      </c>
      <c r="J1290" s="18">
        <v>8554.0480000000007</v>
      </c>
      <c r="K1290" s="18" t="s">
        <v>65</v>
      </c>
      <c r="L1290" s="18" t="s">
        <v>35</v>
      </c>
      <c r="M1290" s="18" t="s">
        <v>24</v>
      </c>
      <c r="N1290" s="22">
        <f t="shared" si="120"/>
        <v>0.93278301886792403</v>
      </c>
      <c r="O1290" s="22">
        <f t="shared" si="121"/>
        <v>0.59140328697850797</v>
      </c>
      <c r="P1290" s="23">
        <f t="shared" si="122"/>
        <v>0.709170670037927</v>
      </c>
      <c r="Q1290" s="23">
        <f t="shared" si="123"/>
        <v>1.1991321077383501</v>
      </c>
      <c r="R1290" s="22">
        <f t="shared" si="124"/>
        <v>0.90613847124719704</v>
      </c>
      <c r="S1290" s="22">
        <f t="shared" si="125"/>
        <v>1.9061384712472</v>
      </c>
    </row>
    <row r="1291" spans="1:19">
      <c r="A1291" s="18" t="s">
        <v>1330</v>
      </c>
      <c r="B1291" s="18" t="s">
        <v>28</v>
      </c>
      <c r="C1291" s="18" t="s">
        <v>21</v>
      </c>
      <c r="D1291" s="19">
        <v>44747</v>
      </c>
      <c r="E1291" s="20">
        <v>45356</v>
      </c>
      <c r="F1291" s="21">
        <v>40254.400000000001</v>
      </c>
      <c r="G1291" s="21">
        <v>32091.200000000001</v>
      </c>
      <c r="H1291" s="21">
        <v>7544</v>
      </c>
      <c r="I1291" s="18">
        <v>4875.6639999999998</v>
      </c>
      <c r="J1291" s="18">
        <v>13243.248</v>
      </c>
      <c r="K1291" s="18" t="s">
        <v>22</v>
      </c>
      <c r="L1291" s="18" t="s">
        <v>31</v>
      </c>
      <c r="M1291" s="18" t="s">
        <v>32</v>
      </c>
      <c r="N1291" s="22">
        <f t="shared" si="120"/>
        <v>0.797209746015342</v>
      </c>
      <c r="O1291" s="22">
        <f t="shared" si="121"/>
        <v>0.23508002193747801</v>
      </c>
      <c r="P1291" s="23">
        <f t="shared" si="122"/>
        <v>0.15193149523857</v>
      </c>
      <c r="Q1291" s="23">
        <f t="shared" si="123"/>
        <v>0.64629692470837796</v>
      </c>
      <c r="R1291" s="22">
        <f t="shared" si="124"/>
        <v>1.71619373279209</v>
      </c>
      <c r="S1291" s="22">
        <f t="shared" si="125"/>
        <v>2.7161937327920902</v>
      </c>
    </row>
    <row r="1292" spans="1:19">
      <c r="A1292" s="18" t="s">
        <v>1331</v>
      </c>
      <c r="B1292" s="18" t="s">
        <v>26</v>
      </c>
      <c r="C1292" s="18" t="s">
        <v>41</v>
      </c>
      <c r="D1292" s="19">
        <v>44895</v>
      </c>
      <c r="E1292" s="20">
        <v>45498</v>
      </c>
      <c r="F1292" s="21">
        <v>27558.400000000001</v>
      </c>
      <c r="G1292" s="21">
        <v>17969.599999999999</v>
      </c>
      <c r="H1292" s="21">
        <v>16608</v>
      </c>
      <c r="I1292" s="18">
        <v>7307.9359999999997</v>
      </c>
      <c r="J1292" s="18">
        <v>21365.184000000001</v>
      </c>
      <c r="K1292" s="18" t="s">
        <v>22</v>
      </c>
      <c r="L1292" s="18" t="s">
        <v>31</v>
      </c>
      <c r="M1292" s="18" t="s">
        <v>32</v>
      </c>
      <c r="N1292" s="22">
        <f t="shared" si="120"/>
        <v>0.652055271713888</v>
      </c>
      <c r="O1292" s="22">
        <f t="shared" si="121"/>
        <v>0.92422758436470498</v>
      </c>
      <c r="P1292" s="23">
        <f t="shared" si="122"/>
        <v>0.40668328732971198</v>
      </c>
      <c r="Q1292" s="23">
        <f t="shared" si="123"/>
        <v>0.44002504816955701</v>
      </c>
      <c r="R1292" s="22">
        <f t="shared" si="124"/>
        <v>1.92355926488683</v>
      </c>
      <c r="S1292" s="22">
        <f t="shared" si="125"/>
        <v>2.9235592648868298</v>
      </c>
    </row>
    <row r="1293" spans="1:19">
      <c r="A1293" s="18" t="s">
        <v>1332</v>
      </c>
      <c r="B1293" s="18" t="s">
        <v>34</v>
      </c>
      <c r="C1293" s="18" t="s">
        <v>48</v>
      </c>
      <c r="D1293" s="19">
        <v>44778</v>
      </c>
      <c r="E1293" s="20">
        <v>45383</v>
      </c>
      <c r="F1293" s="21">
        <v>42635.199999999997</v>
      </c>
      <c r="G1293" s="21">
        <v>184</v>
      </c>
      <c r="H1293" s="21">
        <v>161.6</v>
      </c>
      <c r="I1293" s="18">
        <v>2346.8000000000002</v>
      </c>
      <c r="J1293" s="18">
        <v>4854.0320000000002</v>
      </c>
      <c r="K1293" s="18" t="s">
        <v>22</v>
      </c>
      <c r="L1293" s="18" t="s">
        <v>31</v>
      </c>
      <c r="M1293" s="18" t="s">
        <v>32</v>
      </c>
      <c r="N1293" s="22">
        <f t="shared" si="120"/>
        <v>4.3156828160768601E-3</v>
      </c>
      <c r="O1293" s="22">
        <f t="shared" si="121"/>
        <v>0.87826086956521698</v>
      </c>
      <c r="P1293" s="23">
        <f t="shared" si="122"/>
        <v>12.754347826087001</v>
      </c>
      <c r="Q1293" s="23">
        <f t="shared" si="123"/>
        <v>14.5222772277228</v>
      </c>
      <c r="R1293" s="22">
        <f t="shared" si="124"/>
        <v>1.0683620248849499</v>
      </c>
      <c r="S1293" s="22">
        <f t="shared" si="125"/>
        <v>2.0683620248849501</v>
      </c>
    </row>
    <row r="1294" spans="1:19">
      <c r="A1294" s="18" t="s">
        <v>1333</v>
      </c>
      <c r="B1294" s="18" t="s">
        <v>47</v>
      </c>
      <c r="C1294" s="18" t="s">
        <v>48</v>
      </c>
      <c r="D1294" s="19">
        <v>44814</v>
      </c>
      <c r="E1294" s="20">
        <v>45418</v>
      </c>
      <c r="F1294" s="21">
        <v>24772.799999999999</v>
      </c>
      <c r="G1294" s="21">
        <v>21977.599999999999</v>
      </c>
      <c r="H1294" s="21">
        <v>20736</v>
      </c>
      <c r="I1294" s="18">
        <v>2110.4479999999999</v>
      </c>
      <c r="J1294" s="18">
        <v>5947.232</v>
      </c>
      <c r="K1294" s="18" t="s">
        <v>22</v>
      </c>
      <c r="L1294" s="18" t="s">
        <v>31</v>
      </c>
      <c r="M1294" s="18" t="s">
        <v>24</v>
      </c>
      <c r="N1294" s="22">
        <f t="shared" si="120"/>
        <v>0.887166569786217</v>
      </c>
      <c r="O1294" s="22">
        <f t="shared" si="121"/>
        <v>0.94350611531741402</v>
      </c>
      <c r="P1294" s="23">
        <f t="shared" si="122"/>
        <v>9.6027227722772293E-2</v>
      </c>
      <c r="Q1294" s="23">
        <f t="shared" si="123"/>
        <v>0.101777006172839</v>
      </c>
      <c r="R1294" s="22">
        <f t="shared" si="124"/>
        <v>1.81799504181103</v>
      </c>
      <c r="S1294" s="22">
        <f t="shared" si="125"/>
        <v>2.81799504181103</v>
      </c>
    </row>
    <row r="1295" spans="1:19">
      <c r="A1295" s="18" t="s">
        <v>1334</v>
      </c>
      <c r="B1295" s="18" t="s">
        <v>28</v>
      </c>
      <c r="C1295" s="18" t="s">
        <v>21</v>
      </c>
      <c r="D1295" s="19">
        <v>44761</v>
      </c>
      <c r="E1295" s="20">
        <v>45382</v>
      </c>
      <c r="F1295" s="21">
        <v>23656</v>
      </c>
      <c r="G1295" s="21">
        <v>19507.2</v>
      </c>
      <c r="H1295" s="21">
        <v>14459.2</v>
      </c>
      <c r="I1295" s="18">
        <v>3774.944</v>
      </c>
      <c r="J1295" s="18">
        <v>7297.5680000000002</v>
      </c>
      <c r="K1295" s="18" t="s">
        <v>43</v>
      </c>
      <c r="L1295" s="18" t="s">
        <v>23</v>
      </c>
      <c r="M1295" s="18" t="s">
        <v>32</v>
      </c>
      <c r="N1295" s="22">
        <f t="shared" si="120"/>
        <v>0.82461954683801197</v>
      </c>
      <c r="O1295" s="22">
        <f t="shared" si="121"/>
        <v>0.74122375328084</v>
      </c>
      <c r="P1295" s="23">
        <f t="shared" si="122"/>
        <v>0.19351541994750701</v>
      </c>
      <c r="Q1295" s="23">
        <f t="shared" si="123"/>
        <v>0.261075578178599</v>
      </c>
      <c r="R1295" s="22">
        <f t="shared" si="124"/>
        <v>0.93315927335610804</v>
      </c>
      <c r="S1295" s="22">
        <f t="shared" si="125"/>
        <v>1.93315927335611</v>
      </c>
    </row>
    <row r="1296" spans="1:19">
      <c r="A1296" s="18" t="s">
        <v>1335</v>
      </c>
      <c r="B1296" s="18" t="s">
        <v>47</v>
      </c>
      <c r="C1296" s="18" t="s">
        <v>29</v>
      </c>
      <c r="D1296" s="19">
        <v>44845</v>
      </c>
      <c r="E1296" s="20">
        <v>45472</v>
      </c>
      <c r="F1296" s="21">
        <v>28489.599999999999</v>
      </c>
      <c r="G1296" s="21">
        <v>9096</v>
      </c>
      <c r="H1296" s="21">
        <v>3526.4</v>
      </c>
      <c r="I1296" s="18">
        <v>7556.7839999999997</v>
      </c>
      <c r="J1296" s="18">
        <v>24702</v>
      </c>
      <c r="K1296" s="18" t="s">
        <v>22</v>
      </c>
      <c r="L1296" s="18" t="s">
        <v>31</v>
      </c>
      <c r="M1296" s="18" t="s">
        <v>24</v>
      </c>
      <c r="N1296" s="22">
        <f t="shared" si="120"/>
        <v>0.31927440188700401</v>
      </c>
      <c r="O1296" s="22">
        <f t="shared" si="121"/>
        <v>0.38768689533861</v>
      </c>
      <c r="P1296" s="23">
        <f t="shared" si="122"/>
        <v>0.83078100263852195</v>
      </c>
      <c r="Q1296" s="23">
        <f t="shared" si="123"/>
        <v>2.1429174228675101</v>
      </c>
      <c r="R1296" s="22">
        <f t="shared" si="124"/>
        <v>2.2688508762457702</v>
      </c>
      <c r="S1296" s="22">
        <f t="shared" si="125"/>
        <v>3.2688508762457702</v>
      </c>
    </row>
    <row r="1297" spans="1:19">
      <c r="A1297" s="18" t="s">
        <v>1336</v>
      </c>
      <c r="B1297" s="18" t="s">
        <v>40</v>
      </c>
      <c r="C1297" s="18" t="s">
        <v>29</v>
      </c>
      <c r="D1297" s="19">
        <v>44724</v>
      </c>
      <c r="E1297" s="20">
        <v>45342</v>
      </c>
      <c r="F1297" s="21">
        <v>34884.800000000003</v>
      </c>
      <c r="G1297" s="21">
        <v>11976</v>
      </c>
      <c r="H1297" s="21">
        <v>1571.2</v>
      </c>
      <c r="I1297" s="18">
        <v>6162.0959999999995</v>
      </c>
      <c r="J1297" s="18">
        <v>17375.472000000002</v>
      </c>
      <c r="K1297" s="18" t="s">
        <v>43</v>
      </c>
      <c r="L1297" s="18" t="s">
        <v>31</v>
      </c>
      <c r="M1297" s="18" t="s">
        <v>24</v>
      </c>
      <c r="N1297" s="22">
        <f t="shared" si="120"/>
        <v>0.34330138054396198</v>
      </c>
      <c r="O1297" s="22">
        <f t="shared" si="121"/>
        <v>0.13119572478289901</v>
      </c>
      <c r="P1297" s="23">
        <f t="shared" si="122"/>
        <v>0.51453707414829697</v>
      </c>
      <c r="Q1297" s="23">
        <f t="shared" si="123"/>
        <v>3.9219042769857402</v>
      </c>
      <c r="R1297" s="22">
        <f t="shared" si="124"/>
        <v>1.8197340645131099</v>
      </c>
      <c r="S1297" s="22">
        <f t="shared" si="125"/>
        <v>2.8197340645131099</v>
      </c>
    </row>
    <row r="1298" spans="1:19">
      <c r="A1298" s="18" t="s">
        <v>1337</v>
      </c>
      <c r="B1298" s="18" t="s">
        <v>26</v>
      </c>
      <c r="C1298" s="18" t="s">
        <v>41</v>
      </c>
      <c r="D1298" s="19">
        <v>44821</v>
      </c>
      <c r="E1298" s="20">
        <v>45423</v>
      </c>
      <c r="F1298" s="21">
        <v>27105.599999999999</v>
      </c>
      <c r="G1298" s="21">
        <v>5040</v>
      </c>
      <c r="H1298" s="21">
        <v>1628.8</v>
      </c>
      <c r="I1298" s="18">
        <v>6099.808</v>
      </c>
      <c r="J1298" s="18">
        <v>20005.968000000001</v>
      </c>
      <c r="K1298" s="18" t="s">
        <v>30</v>
      </c>
      <c r="L1298" s="18" t="s">
        <v>44</v>
      </c>
      <c r="M1298" s="18" t="s">
        <v>32</v>
      </c>
      <c r="N1298" s="22">
        <f t="shared" si="120"/>
        <v>0.185939436869134</v>
      </c>
      <c r="O1298" s="22">
        <f t="shared" si="121"/>
        <v>0.323174603174603</v>
      </c>
      <c r="P1298" s="23">
        <f t="shared" si="122"/>
        <v>1.21027936507937</v>
      </c>
      <c r="Q1298" s="23">
        <f t="shared" si="123"/>
        <v>3.7449705304518699</v>
      </c>
      <c r="R1298" s="22">
        <f t="shared" si="124"/>
        <v>2.2797701173545102</v>
      </c>
      <c r="S1298" s="22">
        <f t="shared" si="125"/>
        <v>3.2797701173545102</v>
      </c>
    </row>
    <row r="1299" spans="1:19">
      <c r="A1299" s="18" t="s">
        <v>1338</v>
      </c>
      <c r="B1299" s="18" t="s">
        <v>34</v>
      </c>
      <c r="C1299" s="18" t="s">
        <v>41</v>
      </c>
      <c r="D1299" s="19">
        <v>44826</v>
      </c>
      <c r="E1299" s="20">
        <v>45442</v>
      </c>
      <c r="F1299" s="21">
        <v>12124.8</v>
      </c>
      <c r="G1299" s="21">
        <v>2291.1999999999998</v>
      </c>
      <c r="H1299" s="21">
        <v>512</v>
      </c>
      <c r="I1299" s="18">
        <v>3744.8159999999998</v>
      </c>
      <c r="J1299" s="18">
        <v>14945.92</v>
      </c>
      <c r="K1299" s="18" t="s">
        <v>43</v>
      </c>
      <c r="L1299" s="18" t="s">
        <v>50</v>
      </c>
      <c r="M1299" s="18" t="s">
        <v>24</v>
      </c>
      <c r="N1299" s="22">
        <f t="shared" si="120"/>
        <v>0.18896806545262601</v>
      </c>
      <c r="O1299" s="22">
        <f t="shared" si="121"/>
        <v>0.223463687150838</v>
      </c>
      <c r="P1299" s="23">
        <f t="shared" si="122"/>
        <v>1.6344343575419</v>
      </c>
      <c r="Q1299" s="23">
        <f t="shared" si="123"/>
        <v>7.3140937499999996</v>
      </c>
      <c r="R1299" s="22">
        <f t="shared" si="124"/>
        <v>2.99109595771862</v>
      </c>
      <c r="S1299" s="22">
        <f t="shared" si="125"/>
        <v>3.99109595771862</v>
      </c>
    </row>
    <row r="1300" spans="1:19">
      <c r="A1300" s="18" t="s">
        <v>1339</v>
      </c>
      <c r="B1300" s="18" t="s">
        <v>26</v>
      </c>
      <c r="C1300" s="18" t="s">
        <v>48</v>
      </c>
      <c r="D1300" s="19">
        <v>44930</v>
      </c>
      <c r="E1300" s="20">
        <v>45550</v>
      </c>
      <c r="F1300" s="21">
        <v>34060.800000000003</v>
      </c>
      <c r="G1300" s="21">
        <v>883.2</v>
      </c>
      <c r="H1300" s="21">
        <v>220.8</v>
      </c>
      <c r="I1300" s="18">
        <v>4069.2159999999999</v>
      </c>
      <c r="J1300" s="18">
        <v>8268.32</v>
      </c>
      <c r="K1300" s="18" t="s">
        <v>38</v>
      </c>
      <c r="L1300" s="18" t="s">
        <v>50</v>
      </c>
      <c r="M1300" s="18" t="s">
        <v>24</v>
      </c>
      <c r="N1300" s="22">
        <f t="shared" si="120"/>
        <v>2.5930101465614398E-2</v>
      </c>
      <c r="O1300" s="22">
        <f t="shared" si="121"/>
        <v>0.25</v>
      </c>
      <c r="P1300" s="23">
        <f t="shared" si="122"/>
        <v>4.6073550724637702</v>
      </c>
      <c r="Q1300" s="23">
        <f t="shared" si="123"/>
        <v>18.429420289855099</v>
      </c>
      <c r="R1300" s="22">
        <f t="shared" si="124"/>
        <v>1.0319196621658799</v>
      </c>
      <c r="S1300" s="22">
        <f t="shared" si="125"/>
        <v>2.0319196621658802</v>
      </c>
    </row>
    <row r="1301" spans="1:19">
      <c r="A1301" s="18" t="s">
        <v>1340</v>
      </c>
      <c r="B1301" s="18" t="s">
        <v>40</v>
      </c>
      <c r="C1301" s="18" t="s">
        <v>29</v>
      </c>
      <c r="D1301" s="19">
        <v>44849</v>
      </c>
      <c r="E1301" s="20">
        <v>45455</v>
      </c>
      <c r="F1301" s="21">
        <v>12921.6</v>
      </c>
      <c r="G1301" s="21">
        <v>10025.6</v>
      </c>
      <c r="H1301" s="21">
        <v>6755.2</v>
      </c>
      <c r="I1301" s="18">
        <v>7344.4160000000002</v>
      </c>
      <c r="J1301" s="18">
        <v>27672.383999999998</v>
      </c>
      <c r="K1301" s="18" t="s">
        <v>43</v>
      </c>
      <c r="L1301" s="18" t="s">
        <v>31</v>
      </c>
      <c r="M1301" s="18" t="s">
        <v>32</v>
      </c>
      <c r="N1301" s="22">
        <f t="shared" si="120"/>
        <v>0.77587914809311498</v>
      </c>
      <c r="O1301" s="22">
        <f t="shared" si="121"/>
        <v>0.67379508458346604</v>
      </c>
      <c r="P1301" s="23">
        <f t="shared" si="122"/>
        <v>0.73256623045004798</v>
      </c>
      <c r="Q1301" s="23">
        <f t="shared" si="123"/>
        <v>1.08722406442444</v>
      </c>
      <c r="R1301" s="22">
        <f t="shared" si="124"/>
        <v>2.767812716491</v>
      </c>
      <c r="S1301" s="22">
        <f t="shared" si="125"/>
        <v>3.767812716491</v>
      </c>
    </row>
    <row r="1302" spans="1:19">
      <c r="A1302" s="18" t="s">
        <v>1341</v>
      </c>
      <c r="B1302" s="18" t="s">
        <v>34</v>
      </c>
      <c r="C1302" s="18" t="s">
        <v>41</v>
      </c>
      <c r="D1302" s="19">
        <v>44723</v>
      </c>
      <c r="E1302" s="20">
        <v>45348</v>
      </c>
      <c r="F1302" s="21">
        <v>48260.800000000003</v>
      </c>
      <c r="G1302" s="21">
        <v>15979.2</v>
      </c>
      <c r="H1302" s="21">
        <v>11302.4</v>
      </c>
      <c r="I1302" s="18">
        <v>1957.5360000000001</v>
      </c>
      <c r="J1302" s="18">
        <v>3655.5520000000001</v>
      </c>
      <c r="K1302" s="18" t="s">
        <v>65</v>
      </c>
      <c r="L1302" s="18" t="s">
        <v>44</v>
      </c>
      <c r="M1302" s="18" t="s">
        <v>32</v>
      </c>
      <c r="N1302" s="22">
        <f t="shared" si="120"/>
        <v>0.331101017803269</v>
      </c>
      <c r="O1302" s="22">
        <f t="shared" si="121"/>
        <v>0.70731951536998094</v>
      </c>
      <c r="P1302" s="23">
        <f t="shared" si="122"/>
        <v>0.122505256833884</v>
      </c>
      <c r="Q1302" s="23">
        <f t="shared" si="123"/>
        <v>0.173196489241223</v>
      </c>
      <c r="R1302" s="22">
        <f t="shared" si="124"/>
        <v>0.86742517123567597</v>
      </c>
      <c r="S1302" s="22">
        <f t="shared" si="125"/>
        <v>1.86742517123568</v>
      </c>
    </row>
    <row r="1303" spans="1:19">
      <c r="A1303" s="18" t="s">
        <v>1342</v>
      </c>
      <c r="B1303" s="18" t="s">
        <v>20</v>
      </c>
      <c r="C1303" s="18" t="s">
        <v>48</v>
      </c>
      <c r="D1303" s="19">
        <v>44940</v>
      </c>
      <c r="E1303" s="20">
        <v>45560</v>
      </c>
      <c r="F1303" s="21">
        <v>74641.600000000006</v>
      </c>
      <c r="G1303" s="21">
        <v>30710.400000000001</v>
      </c>
      <c r="H1303" s="21">
        <v>3993.6</v>
      </c>
      <c r="I1303" s="18">
        <v>3845.7759999999998</v>
      </c>
      <c r="J1303" s="18">
        <v>12840.784</v>
      </c>
      <c r="K1303" s="18" t="s">
        <v>38</v>
      </c>
      <c r="L1303" s="18" t="s">
        <v>31</v>
      </c>
      <c r="M1303" s="18" t="s">
        <v>32</v>
      </c>
      <c r="N1303" s="22">
        <f t="shared" si="120"/>
        <v>0.41143812565646998</v>
      </c>
      <c r="O1303" s="22">
        <f t="shared" si="121"/>
        <v>0.13004063769928101</v>
      </c>
      <c r="P1303" s="23">
        <f t="shared" si="122"/>
        <v>0.12522715431905801</v>
      </c>
      <c r="Q1303" s="23">
        <f t="shared" si="123"/>
        <v>0.96298477564102603</v>
      </c>
      <c r="R1303" s="22">
        <f t="shared" si="124"/>
        <v>2.3389318566655999</v>
      </c>
      <c r="S1303" s="22">
        <f t="shared" si="125"/>
        <v>3.3389318566655999</v>
      </c>
    </row>
    <row r="1304" spans="1:19">
      <c r="A1304" s="18" t="s">
        <v>1343</v>
      </c>
      <c r="B1304" s="18" t="s">
        <v>40</v>
      </c>
      <c r="C1304" s="18" t="s">
        <v>48</v>
      </c>
      <c r="D1304" s="19">
        <v>44825</v>
      </c>
      <c r="E1304" s="20">
        <v>45434</v>
      </c>
      <c r="F1304" s="21">
        <v>37724.800000000003</v>
      </c>
      <c r="G1304" s="21">
        <v>16793.599999999999</v>
      </c>
      <c r="H1304" s="21">
        <v>4564.8</v>
      </c>
      <c r="I1304" s="18">
        <v>7568.2240000000002</v>
      </c>
      <c r="J1304" s="18">
        <v>14152.448</v>
      </c>
      <c r="K1304" s="18" t="s">
        <v>22</v>
      </c>
      <c r="L1304" s="18" t="s">
        <v>31</v>
      </c>
      <c r="M1304" s="18" t="s">
        <v>32</v>
      </c>
      <c r="N1304" s="22">
        <f t="shared" si="120"/>
        <v>0.44516074306557002</v>
      </c>
      <c r="O1304" s="22">
        <f t="shared" si="121"/>
        <v>0.27181783536585402</v>
      </c>
      <c r="P1304" s="23">
        <f t="shared" si="122"/>
        <v>0.45066120426829298</v>
      </c>
      <c r="Q1304" s="23">
        <f t="shared" si="123"/>
        <v>1.6579530318962501</v>
      </c>
      <c r="R1304" s="22">
        <f t="shared" si="124"/>
        <v>0.86998270664293198</v>
      </c>
      <c r="S1304" s="22">
        <f t="shared" si="125"/>
        <v>1.86998270664293</v>
      </c>
    </row>
    <row r="1305" spans="1:19">
      <c r="A1305" s="18" t="s">
        <v>1344</v>
      </c>
      <c r="B1305" s="18" t="s">
        <v>26</v>
      </c>
      <c r="C1305" s="18" t="s">
        <v>29</v>
      </c>
      <c r="D1305" s="19">
        <v>44739</v>
      </c>
      <c r="E1305" s="20">
        <v>45344</v>
      </c>
      <c r="F1305" s="21">
        <v>48360</v>
      </c>
      <c r="G1305" s="21">
        <v>19756.8</v>
      </c>
      <c r="H1305" s="21">
        <v>4560</v>
      </c>
      <c r="I1305" s="18">
        <v>5262.4</v>
      </c>
      <c r="J1305" s="18">
        <v>9379.0239999999994</v>
      </c>
      <c r="K1305" s="18" t="s">
        <v>38</v>
      </c>
      <c r="L1305" s="18" t="s">
        <v>35</v>
      </c>
      <c r="M1305" s="18" t="s">
        <v>32</v>
      </c>
      <c r="N1305" s="22">
        <f t="shared" si="120"/>
        <v>0.40853598014888298</v>
      </c>
      <c r="O1305" s="22">
        <f t="shared" si="121"/>
        <v>0.23080660835762901</v>
      </c>
      <c r="P1305" s="23">
        <f t="shared" si="122"/>
        <v>0.26635892452219001</v>
      </c>
      <c r="Q1305" s="23">
        <f t="shared" si="123"/>
        <v>1.1540350877193</v>
      </c>
      <c r="R1305" s="22">
        <f t="shared" si="124"/>
        <v>0.78227120705381603</v>
      </c>
      <c r="S1305" s="22">
        <f t="shared" si="125"/>
        <v>1.78227120705382</v>
      </c>
    </row>
    <row r="1306" spans="1:19">
      <c r="A1306" s="18" t="s">
        <v>1345</v>
      </c>
      <c r="B1306" s="18" t="s">
        <v>47</v>
      </c>
      <c r="C1306" s="18" t="s">
        <v>41</v>
      </c>
      <c r="D1306" s="19">
        <v>44937</v>
      </c>
      <c r="E1306" s="20">
        <v>45538</v>
      </c>
      <c r="F1306" s="21">
        <v>14371.2</v>
      </c>
      <c r="G1306" s="21">
        <v>13608</v>
      </c>
      <c r="H1306" s="21">
        <v>10646.4</v>
      </c>
      <c r="I1306" s="18">
        <v>1810.288</v>
      </c>
      <c r="J1306" s="18">
        <v>4903.4560000000001</v>
      </c>
      <c r="K1306" s="18" t="s">
        <v>30</v>
      </c>
      <c r="L1306" s="18" t="s">
        <v>50</v>
      </c>
      <c r="M1306" s="18" t="s">
        <v>24</v>
      </c>
      <c r="N1306" s="22">
        <f t="shared" si="120"/>
        <v>0.94689378757514997</v>
      </c>
      <c r="O1306" s="22">
        <f t="shared" si="121"/>
        <v>0.78236331569664896</v>
      </c>
      <c r="P1306" s="23">
        <f t="shared" si="122"/>
        <v>0.13303115814226901</v>
      </c>
      <c r="Q1306" s="23">
        <f t="shared" si="123"/>
        <v>0.170037571385633</v>
      </c>
      <c r="R1306" s="22">
        <f t="shared" si="124"/>
        <v>1.7086607213879801</v>
      </c>
      <c r="S1306" s="22">
        <f t="shared" si="125"/>
        <v>2.7086607213879801</v>
      </c>
    </row>
    <row r="1307" spans="1:19">
      <c r="A1307" s="18" t="s">
        <v>1346</v>
      </c>
      <c r="B1307" s="18" t="s">
        <v>20</v>
      </c>
      <c r="C1307" s="18" t="s">
        <v>21</v>
      </c>
      <c r="D1307" s="19">
        <v>44938</v>
      </c>
      <c r="E1307" s="20">
        <v>45548</v>
      </c>
      <c r="F1307" s="21">
        <v>40716.800000000003</v>
      </c>
      <c r="G1307" s="21">
        <v>3859.2</v>
      </c>
      <c r="H1307" s="21">
        <v>1856</v>
      </c>
      <c r="I1307" s="18">
        <v>1006.5119999999999</v>
      </c>
      <c r="J1307" s="18">
        <v>2121.2159999999999</v>
      </c>
      <c r="K1307" s="18" t="s">
        <v>22</v>
      </c>
      <c r="L1307" s="18" t="s">
        <v>31</v>
      </c>
      <c r="M1307" s="18" t="s">
        <v>32</v>
      </c>
      <c r="N1307" s="22">
        <f t="shared" si="120"/>
        <v>9.4781515246777706E-2</v>
      </c>
      <c r="O1307" s="22">
        <f t="shared" si="121"/>
        <v>0.48092868988391402</v>
      </c>
      <c r="P1307" s="23">
        <f t="shared" si="122"/>
        <v>0.26080845771144301</v>
      </c>
      <c r="Q1307" s="23">
        <f t="shared" si="123"/>
        <v>0.54230172413793098</v>
      </c>
      <c r="R1307" s="22">
        <f t="shared" si="124"/>
        <v>1.1074920120177401</v>
      </c>
      <c r="S1307" s="22">
        <f t="shared" si="125"/>
        <v>2.1074920120177398</v>
      </c>
    </row>
    <row r="1308" spans="1:19">
      <c r="A1308" s="18" t="s">
        <v>1347</v>
      </c>
      <c r="B1308" s="18" t="s">
        <v>40</v>
      </c>
      <c r="C1308" s="18" t="s">
        <v>48</v>
      </c>
      <c r="D1308" s="19">
        <v>44755</v>
      </c>
      <c r="E1308" s="20">
        <v>45359</v>
      </c>
      <c r="F1308" s="21">
        <v>36379.199999999997</v>
      </c>
      <c r="G1308" s="21">
        <v>32046.400000000001</v>
      </c>
      <c r="H1308" s="21">
        <v>18272</v>
      </c>
      <c r="I1308" s="18">
        <v>1860.4480000000001</v>
      </c>
      <c r="J1308" s="18">
        <v>5077.04</v>
      </c>
      <c r="K1308" s="18" t="s">
        <v>38</v>
      </c>
      <c r="L1308" s="18" t="s">
        <v>35</v>
      </c>
      <c r="M1308" s="18" t="s">
        <v>24</v>
      </c>
      <c r="N1308" s="22">
        <f t="shared" si="120"/>
        <v>0.88089897523859795</v>
      </c>
      <c r="O1308" s="22">
        <f t="shared" si="121"/>
        <v>0.57017324878925602</v>
      </c>
      <c r="P1308" s="23">
        <f t="shared" si="122"/>
        <v>5.8054820510260098E-2</v>
      </c>
      <c r="Q1308" s="23">
        <f t="shared" si="123"/>
        <v>0.101819614711033</v>
      </c>
      <c r="R1308" s="22">
        <f t="shared" si="124"/>
        <v>1.72893410619378</v>
      </c>
      <c r="S1308" s="22">
        <f t="shared" si="125"/>
        <v>2.7289341061937802</v>
      </c>
    </row>
    <row r="1309" spans="1:19">
      <c r="A1309" s="18" t="s">
        <v>1348</v>
      </c>
      <c r="B1309" s="18" t="s">
        <v>40</v>
      </c>
      <c r="C1309" s="18" t="s">
        <v>48</v>
      </c>
      <c r="D1309" s="19">
        <v>44808</v>
      </c>
      <c r="E1309" s="20">
        <v>45438</v>
      </c>
      <c r="F1309" s="21">
        <v>50536</v>
      </c>
      <c r="G1309" s="21">
        <v>43801.599999999999</v>
      </c>
      <c r="H1309" s="21">
        <v>26472</v>
      </c>
      <c r="I1309" s="18">
        <v>6551.7280000000001</v>
      </c>
      <c r="J1309" s="18">
        <v>9230.24</v>
      </c>
      <c r="K1309" s="18" t="s">
        <v>43</v>
      </c>
      <c r="L1309" s="18" t="s">
        <v>50</v>
      </c>
      <c r="M1309" s="18" t="s">
        <v>32</v>
      </c>
      <c r="N1309" s="22">
        <f t="shared" si="120"/>
        <v>0.86674054139623202</v>
      </c>
      <c r="O1309" s="22">
        <f t="shared" si="121"/>
        <v>0.60436148451198102</v>
      </c>
      <c r="P1309" s="23">
        <f t="shared" si="122"/>
        <v>0.14957736703682101</v>
      </c>
      <c r="Q1309" s="23">
        <f t="shared" si="123"/>
        <v>0.24749652462979799</v>
      </c>
      <c r="R1309" s="22">
        <f t="shared" si="124"/>
        <v>0.40882527479773301</v>
      </c>
      <c r="S1309" s="22">
        <f t="shared" si="125"/>
        <v>1.4088252747977299</v>
      </c>
    </row>
    <row r="1310" spans="1:19">
      <c r="A1310" s="18" t="s">
        <v>1349</v>
      </c>
      <c r="B1310" s="18" t="s">
        <v>40</v>
      </c>
      <c r="C1310" s="18" t="s">
        <v>41</v>
      </c>
      <c r="D1310" s="19">
        <v>44794</v>
      </c>
      <c r="E1310" s="20">
        <v>45422</v>
      </c>
      <c r="F1310" s="21">
        <v>65294.400000000001</v>
      </c>
      <c r="G1310" s="21">
        <v>8268.7999999999993</v>
      </c>
      <c r="H1310" s="21">
        <v>4630.3999999999996</v>
      </c>
      <c r="I1310" s="18">
        <v>7710.08</v>
      </c>
      <c r="J1310" s="18">
        <v>17319.52</v>
      </c>
      <c r="K1310" s="18" t="s">
        <v>30</v>
      </c>
      <c r="L1310" s="18" t="s">
        <v>35</v>
      </c>
      <c r="M1310" s="18" t="s">
        <v>32</v>
      </c>
      <c r="N1310" s="22">
        <f t="shared" si="120"/>
        <v>0.126638731652332</v>
      </c>
      <c r="O1310" s="22">
        <f t="shared" si="121"/>
        <v>0.55998452012383904</v>
      </c>
      <c r="P1310" s="23">
        <f t="shared" si="122"/>
        <v>0.93243034055727603</v>
      </c>
      <c r="Q1310" s="23">
        <f t="shared" si="123"/>
        <v>1.6651002073254999</v>
      </c>
      <c r="R1310" s="22">
        <f t="shared" si="124"/>
        <v>1.2463476384162</v>
      </c>
      <c r="S1310" s="22">
        <f t="shared" si="125"/>
        <v>2.2463476384162</v>
      </c>
    </row>
    <row r="1311" spans="1:19">
      <c r="A1311" s="18" t="s">
        <v>1350</v>
      </c>
      <c r="B1311" s="18" t="s">
        <v>20</v>
      </c>
      <c r="C1311" s="18" t="s">
        <v>41</v>
      </c>
      <c r="D1311" s="19">
        <v>44811</v>
      </c>
      <c r="E1311" s="20">
        <v>45435</v>
      </c>
      <c r="F1311" s="21">
        <v>11062.4</v>
      </c>
      <c r="G1311" s="21">
        <v>1480</v>
      </c>
      <c r="H1311" s="21">
        <v>62.4</v>
      </c>
      <c r="I1311" s="18">
        <v>1786.3520000000001</v>
      </c>
      <c r="J1311" s="18">
        <v>4226.6719999999996</v>
      </c>
      <c r="K1311" s="18" t="s">
        <v>65</v>
      </c>
      <c r="L1311" s="18" t="s">
        <v>44</v>
      </c>
      <c r="M1311" s="18" t="s">
        <v>32</v>
      </c>
      <c r="N1311" s="22">
        <f t="shared" si="120"/>
        <v>0.133786520104137</v>
      </c>
      <c r="O1311" s="22">
        <f t="shared" si="121"/>
        <v>4.2162162162162203E-2</v>
      </c>
      <c r="P1311" s="23">
        <f t="shared" si="122"/>
        <v>1.2069945945945899</v>
      </c>
      <c r="Q1311" s="23">
        <f t="shared" si="123"/>
        <v>28.627435897435898</v>
      </c>
      <c r="R1311" s="22">
        <f t="shared" si="124"/>
        <v>1.3660913414601401</v>
      </c>
      <c r="S1311" s="22">
        <f t="shared" si="125"/>
        <v>2.3660913414601401</v>
      </c>
    </row>
    <row r="1312" spans="1:19">
      <c r="A1312" s="18" t="s">
        <v>1351</v>
      </c>
      <c r="B1312" s="18" t="s">
        <v>40</v>
      </c>
      <c r="C1312" s="18" t="s">
        <v>29</v>
      </c>
      <c r="D1312" s="19">
        <v>44718</v>
      </c>
      <c r="E1312" s="20">
        <v>45344</v>
      </c>
      <c r="F1312" s="21">
        <v>52867.199999999997</v>
      </c>
      <c r="G1312" s="21">
        <v>46468.800000000003</v>
      </c>
      <c r="H1312" s="21">
        <v>44256</v>
      </c>
      <c r="I1312" s="18">
        <v>5123.8879999999999</v>
      </c>
      <c r="J1312" s="18">
        <v>17229.952000000001</v>
      </c>
      <c r="K1312" s="18" t="s">
        <v>22</v>
      </c>
      <c r="L1312" s="18" t="s">
        <v>44</v>
      </c>
      <c r="M1312" s="18" t="s">
        <v>24</v>
      </c>
      <c r="N1312" s="22">
        <f t="shared" si="120"/>
        <v>0.87897221717813701</v>
      </c>
      <c r="O1312" s="22">
        <f t="shared" si="121"/>
        <v>0.952380952380952</v>
      </c>
      <c r="P1312" s="23">
        <f t="shared" si="122"/>
        <v>0.11026512412629499</v>
      </c>
      <c r="Q1312" s="23">
        <f t="shared" si="123"/>
        <v>0.11577838033261</v>
      </c>
      <c r="R1312" s="22">
        <f t="shared" si="124"/>
        <v>2.3626714713514398</v>
      </c>
      <c r="S1312" s="22">
        <f t="shared" si="125"/>
        <v>3.3626714713514398</v>
      </c>
    </row>
    <row r="1313" spans="1:19">
      <c r="A1313" s="18" t="s">
        <v>1352</v>
      </c>
      <c r="B1313" s="18" t="s">
        <v>34</v>
      </c>
      <c r="C1313" s="18" t="s">
        <v>21</v>
      </c>
      <c r="D1313" s="19">
        <v>44957</v>
      </c>
      <c r="E1313" s="20">
        <v>45568</v>
      </c>
      <c r="F1313" s="21">
        <v>75012.800000000003</v>
      </c>
      <c r="G1313" s="21">
        <v>72355.199999999997</v>
      </c>
      <c r="H1313" s="21">
        <v>15092.8</v>
      </c>
      <c r="I1313" s="18">
        <v>7168.9279999999999</v>
      </c>
      <c r="J1313" s="18">
        <v>27165.328000000001</v>
      </c>
      <c r="K1313" s="18" t="s">
        <v>43</v>
      </c>
      <c r="L1313" s="18" t="s">
        <v>23</v>
      </c>
      <c r="M1313" s="18" t="s">
        <v>32</v>
      </c>
      <c r="N1313" s="22">
        <f t="shared" si="120"/>
        <v>0.96457137981784402</v>
      </c>
      <c r="O1313" s="22">
        <f t="shared" si="121"/>
        <v>0.208593162619964</v>
      </c>
      <c r="P1313" s="23">
        <f t="shared" si="122"/>
        <v>9.9079651497058996E-2</v>
      </c>
      <c r="Q1313" s="23">
        <f t="shared" si="123"/>
        <v>0.47498992897275499</v>
      </c>
      <c r="R1313" s="22">
        <f t="shared" si="124"/>
        <v>2.7893152225827902</v>
      </c>
      <c r="S1313" s="22">
        <f t="shared" si="125"/>
        <v>3.7893152225827902</v>
      </c>
    </row>
    <row r="1314" spans="1:19">
      <c r="A1314" s="18" t="s">
        <v>1353</v>
      </c>
      <c r="B1314" s="18" t="s">
        <v>26</v>
      </c>
      <c r="C1314" s="18" t="s">
        <v>21</v>
      </c>
      <c r="D1314" s="19">
        <v>44982</v>
      </c>
      <c r="E1314" s="20">
        <v>45603</v>
      </c>
      <c r="F1314" s="21">
        <v>30710.400000000001</v>
      </c>
      <c r="G1314" s="21">
        <v>15364.8</v>
      </c>
      <c r="H1314" s="21">
        <v>8712</v>
      </c>
      <c r="I1314" s="18">
        <v>6306.2879999999996</v>
      </c>
      <c r="J1314" s="18">
        <v>18669.504000000001</v>
      </c>
      <c r="K1314" s="18" t="s">
        <v>30</v>
      </c>
      <c r="L1314" s="18" t="s">
        <v>35</v>
      </c>
      <c r="M1314" s="18" t="s">
        <v>24</v>
      </c>
      <c r="N1314" s="22">
        <f t="shared" si="120"/>
        <v>0.50031259768677705</v>
      </c>
      <c r="O1314" s="22">
        <f t="shared" si="121"/>
        <v>0.56701030927835006</v>
      </c>
      <c r="P1314" s="23">
        <f t="shared" si="122"/>
        <v>0.41043736332396102</v>
      </c>
      <c r="Q1314" s="23">
        <f t="shared" si="123"/>
        <v>0.72386225895316803</v>
      </c>
      <c r="R1314" s="22">
        <f t="shared" si="124"/>
        <v>1.9604585137881401</v>
      </c>
      <c r="S1314" s="22">
        <f t="shared" si="125"/>
        <v>2.9604585137881401</v>
      </c>
    </row>
    <row r="1315" spans="1:19">
      <c r="A1315" s="18" t="s">
        <v>1354</v>
      </c>
      <c r="B1315" s="18" t="s">
        <v>28</v>
      </c>
      <c r="C1315" s="18" t="s">
        <v>48</v>
      </c>
      <c r="D1315" s="19">
        <v>44777</v>
      </c>
      <c r="E1315" s="20">
        <v>45388</v>
      </c>
      <c r="F1315" s="21">
        <v>16612.8</v>
      </c>
      <c r="G1315" s="21">
        <v>8320</v>
      </c>
      <c r="H1315" s="21">
        <v>6862.4</v>
      </c>
      <c r="I1315" s="18">
        <v>3968.0479999999998</v>
      </c>
      <c r="J1315" s="18">
        <v>13729.456</v>
      </c>
      <c r="K1315" s="18" t="s">
        <v>65</v>
      </c>
      <c r="L1315" s="18" t="s">
        <v>31</v>
      </c>
      <c r="M1315" s="18" t="s">
        <v>24</v>
      </c>
      <c r="N1315" s="22">
        <f t="shared" si="120"/>
        <v>0.50081864586343094</v>
      </c>
      <c r="O1315" s="22">
        <f t="shared" si="121"/>
        <v>0.82480769230769202</v>
      </c>
      <c r="P1315" s="23">
        <f t="shared" si="122"/>
        <v>0.47692884615384601</v>
      </c>
      <c r="Q1315" s="23">
        <f t="shared" si="123"/>
        <v>0.57823035672651002</v>
      </c>
      <c r="R1315" s="22">
        <f t="shared" si="124"/>
        <v>2.4600024999697601</v>
      </c>
      <c r="S1315" s="22">
        <f t="shared" si="125"/>
        <v>3.4600024999697601</v>
      </c>
    </row>
    <row r="1316" spans="1:19">
      <c r="A1316" s="18" t="s">
        <v>1355</v>
      </c>
      <c r="B1316" s="18" t="s">
        <v>34</v>
      </c>
      <c r="C1316" s="18" t="s">
        <v>41</v>
      </c>
      <c r="D1316" s="19">
        <v>44790</v>
      </c>
      <c r="E1316" s="20">
        <v>45393</v>
      </c>
      <c r="F1316" s="21">
        <v>67004.800000000003</v>
      </c>
      <c r="G1316" s="21">
        <v>38742.400000000001</v>
      </c>
      <c r="H1316" s="21">
        <v>25851.200000000001</v>
      </c>
      <c r="I1316" s="18">
        <v>6493.6480000000001</v>
      </c>
      <c r="J1316" s="18">
        <v>14229.136</v>
      </c>
      <c r="K1316" s="18" t="s">
        <v>22</v>
      </c>
      <c r="L1316" s="18" t="s">
        <v>50</v>
      </c>
      <c r="M1316" s="18" t="s">
        <v>32</v>
      </c>
      <c r="N1316" s="22">
        <f t="shared" si="120"/>
        <v>0.57820335259563505</v>
      </c>
      <c r="O1316" s="22">
        <f t="shared" si="121"/>
        <v>0.66725861072106996</v>
      </c>
      <c r="P1316" s="23">
        <f t="shared" si="122"/>
        <v>0.167610886264145</v>
      </c>
      <c r="Q1316" s="23">
        <f t="shared" si="123"/>
        <v>0.25119329083369402</v>
      </c>
      <c r="R1316" s="22">
        <f t="shared" si="124"/>
        <v>1.1912391925155199</v>
      </c>
      <c r="S1316" s="22">
        <f t="shared" si="125"/>
        <v>2.1912391925155199</v>
      </c>
    </row>
    <row r="1317" spans="1:19">
      <c r="A1317" s="18" t="s">
        <v>1356</v>
      </c>
      <c r="B1317" s="18" t="s">
        <v>40</v>
      </c>
      <c r="C1317" s="18" t="s">
        <v>41</v>
      </c>
      <c r="D1317" s="19">
        <v>44955</v>
      </c>
      <c r="E1317" s="20">
        <v>45574</v>
      </c>
      <c r="F1317" s="21">
        <v>27320</v>
      </c>
      <c r="G1317" s="21">
        <v>13544</v>
      </c>
      <c r="H1317" s="21">
        <v>467.2</v>
      </c>
      <c r="I1317" s="18">
        <v>7718.64</v>
      </c>
      <c r="J1317" s="18">
        <v>30133.344000000001</v>
      </c>
      <c r="K1317" s="18" t="s">
        <v>38</v>
      </c>
      <c r="L1317" s="18" t="s">
        <v>31</v>
      </c>
      <c r="M1317" s="18" t="s">
        <v>24</v>
      </c>
      <c r="N1317" s="22">
        <f t="shared" si="120"/>
        <v>0.49575402635431898</v>
      </c>
      <c r="O1317" s="22">
        <f t="shared" si="121"/>
        <v>3.44949793266391E-2</v>
      </c>
      <c r="P1317" s="23">
        <f t="shared" si="122"/>
        <v>0.56989367985824002</v>
      </c>
      <c r="Q1317" s="23">
        <f t="shared" si="123"/>
        <v>16.521061643835601</v>
      </c>
      <c r="R1317" s="22">
        <f t="shared" si="124"/>
        <v>2.9039706476788698</v>
      </c>
      <c r="S1317" s="22">
        <f t="shared" si="125"/>
        <v>3.9039706476788698</v>
      </c>
    </row>
    <row r="1318" spans="1:19">
      <c r="A1318" s="18" t="s">
        <v>1357</v>
      </c>
      <c r="B1318" s="18" t="s">
        <v>26</v>
      </c>
      <c r="C1318" s="18" t="s">
        <v>21</v>
      </c>
      <c r="D1318" s="19">
        <v>44905</v>
      </c>
      <c r="E1318" s="20">
        <v>45532</v>
      </c>
      <c r="F1318" s="21">
        <v>11152</v>
      </c>
      <c r="G1318" s="21">
        <v>822.4</v>
      </c>
      <c r="H1318" s="21">
        <v>240</v>
      </c>
      <c r="I1318" s="18">
        <v>1848.3040000000001</v>
      </c>
      <c r="J1318" s="18">
        <v>4944.7359999999999</v>
      </c>
      <c r="K1318" s="18" t="s">
        <v>38</v>
      </c>
      <c r="L1318" s="18" t="s">
        <v>35</v>
      </c>
      <c r="M1318" s="18" t="s">
        <v>32</v>
      </c>
      <c r="N1318" s="22">
        <f t="shared" si="120"/>
        <v>7.3744619799139197E-2</v>
      </c>
      <c r="O1318" s="22">
        <f t="shared" si="121"/>
        <v>0.29182879377431897</v>
      </c>
      <c r="P1318" s="23">
        <f t="shared" si="122"/>
        <v>2.2474513618677001</v>
      </c>
      <c r="Q1318" s="23">
        <f t="shared" si="123"/>
        <v>7.7012666666666698</v>
      </c>
      <c r="R1318" s="22">
        <f t="shared" si="124"/>
        <v>1.6752828539028199</v>
      </c>
      <c r="S1318" s="22">
        <f t="shared" si="125"/>
        <v>2.6752828539028202</v>
      </c>
    </row>
    <row r="1319" spans="1:19">
      <c r="A1319" s="18" t="s">
        <v>1358</v>
      </c>
      <c r="B1319" s="18" t="s">
        <v>28</v>
      </c>
      <c r="C1319" s="18" t="s">
        <v>29</v>
      </c>
      <c r="D1319" s="19">
        <v>44940</v>
      </c>
      <c r="E1319" s="20">
        <v>45564</v>
      </c>
      <c r="F1319" s="21">
        <v>37753.599999999999</v>
      </c>
      <c r="G1319" s="21">
        <v>26579.200000000001</v>
      </c>
      <c r="H1319" s="21">
        <v>11641.6</v>
      </c>
      <c r="I1319" s="18">
        <v>4808.5280000000002</v>
      </c>
      <c r="J1319" s="18">
        <v>18027.407999999999</v>
      </c>
      <c r="K1319" s="18" t="s">
        <v>65</v>
      </c>
      <c r="L1319" s="18" t="s">
        <v>23</v>
      </c>
      <c r="M1319" s="18" t="s">
        <v>32</v>
      </c>
      <c r="N1319" s="22">
        <f t="shared" si="120"/>
        <v>0.70401763010679796</v>
      </c>
      <c r="O1319" s="22">
        <f t="shared" si="121"/>
        <v>0.43799662894293301</v>
      </c>
      <c r="P1319" s="23">
        <f t="shared" si="122"/>
        <v>0.18091319528051999</v>
      </c>
      <c r="Q1319" s="23">
        <f t="shared" si="123"/>
        <v>0.41304700384826798</v>
      </c>
      <c r="R1319" s="22">
        <f t="shared" si="124"/>
        <v>2.7490491892737201</v>
      </c>
      <c r="S1319" s="22">
        <f t="shared" si="125"/>
        <v>3.7490491892737201</v>
      </c>
    </row>
    <row r="1320" spans="1:19">
      <c r="A1320" s="18" t="s">
        <v>1359</v>
      </c>
      <c r="B1320" s="18" t="s">
        <v>47</v>
      </c>
      <c r="C1320" s="18" t="s">
        <v>21</v>
      </c>
      <c r="D1320" s="19">
        <v>44729</v>
      </c>
      <c r="E1320" s="20">
        <v>45352</v>
      </c>
      <c r="F1320" s="21">
        <v>33092.800000000003</v>
      </c>
      <c r="G1320" s="21">
        <v>7585.6</v>
      </c>
      <c r="H1320" s="21">
        <v>230.4</v>
      </c>
      <c r="I1320" s="18">
        <v>3743.36</v>
      </c>
      <c r="J1320" s="18">
        <v>6866.5119999999997</v>
      </c>
      <c r="K1320" s="18" t="s">
        <v>38</v>
      </c>
      <c r="L1320" s="18" t="s">
        <v>44</v>
      </c>
      <c r="M1320" s="18" t="s">
        <v>32</v>
      </c>
      <c r="N1320" s="22">
        <f t="shared" si="120"/>
        <v>0.229222066431369</v>
      </c>
      <c r="O1320" s="22">
        <f t="shared" si="121"/>
        <v>3.03733389580257E-2</v>
      </c>
      <c r="P1320" s="23">
        <f t="shared" si="122"/>
        <v>0.49348238768192398</v>
      </c>
      <c r="Q1320" s="23">
        <f t="shared" si="123"/>
        <v>16.247222222222199</v>
      </c>
      <c r="R1320" s="22">
        <f t="shared" si="124"/>
        <v>0.83431783210805299</v>
      </c>
      <c r="S1320" s="22">
        <f t="shared" si="125"/>
        <v>1.83431783210805</v>
      </c>
    </row>
    <row r="1321" spans="1:19">
      <c r="A1321" s="18" t="s">
        <v>1360</v>
      </c>
      <c r="B1321" s="18" t="s">
        <v>47</v>
      </c>
      <c r="C1321" s="18" t="s">
        <v>48</v>
      </c>
      <c r="D1321" s="19">
        <v>44795</v>
      </c>
      <c r="E1321" s="20">
        <v>45399</v>
      </c>
      <c r="F1321" s="21">
        <v>15014.4</v>
      </c>
      <c r="G1321" s="21">
        <v>9545.6</v>
      </c>
      <c r="H1321" s="21">
        <v>9102.4</v>
      </c>
      <c r="I1321" s="18">
        <v>4457.5519999999997</v>
      </c>
      <c r="J1321" s="18">
        <v>11626.224</v>
      </c>
      <c r="K1321" s="18" t="s">
        <v>30</v>
      </c>
      <c r="L1321" s="18" t="s">
        <v>31</v>
      </c>
      <c r="M1321" s="18" t="s">
        <v>32</v>
      </c>
      <c r="N1321" s="22">
        <f t="shared" si="120"/>
        <v>0.63576300085251503</v>
      </c>
      <c r="O1321" s="22">
        <f t="shared" si="121"/>
        <v>0.95357023131076102</v>
      </c>
      <c r="P1321" s="23">
        <f t="shared" si="122"/>
        <v>0.46697452229299402</v>
      </c>
      <c r="Q1321" s="23">
        <f t="shared" si="123"/>
        <v>0.48971172438038302</v>
      </c>
      <c r="R1321" s="22">
        <f t="shared" si="124"/>
        <v>1.6082082721637301</v>
      </c>
      <c r="S1321" s="22">
        <f t="shared" si="125"/>
        <v>2.6082082721637301</v>
      </c>
    </row>
    <row r="1322" spans="1:19">
      <c r="A1322" s="18" t="s">
        <v>1361</v>
      </c>
      <c r="B1322" s="18" t="s">
        <v>34</v>
      </c>
      <c r="C1322" s="18" t="s">
        <v>29</v>
      </c>
      <c r="D1322" s="19">
        <v>44982</v>
      </c>
      <c r="E1322" s="20">
        <v>45607</v>
      </c>
      <c r="F1322" s="21">
        <v>41340.800000000003</v>
      </c>
      <c r="G1322" s="21">
        <v>7382.4</v>
      </c>
      <c r="H1322" s="21">
        <v>1792</v>
      </c>
      <c r="I1322" s="18">
        <v>6263.5519999999997</v>
      </c>
      <c r="J1322" s="18">
        <v>13437.744000000001</v>
      </c>
      <c r="K1322" s="18" t="s">
        <v>65</v>
      </c>
      <c r="L1322" s="18" t="s">
        <v>44</v>
      </c>
      <c r="M1322" s="18" t="s">
        <v>32</v>
      </c>
      <c r="N1322" s="22">
        <f t="shared" si="120"/>
        <v>0.17857419304899799</v>
      </c>
      <c r="O1322" s="22">
        <f t="shared" si="121"/>
        <v>0.242739488513221</v>
      </c>
      <c r="P1322" s="23">
        <f t="shared" si="122"/>
        <v>0.84844386649328096</v>
      </c>
      <c r="Q1322" s="23">
        <f t="shared" si="123"/>
        <v>3.4952857142857101</v>
      </c>
      <c r="R1322" s="22">
        <f t="shared" si="124"/>
        <v>1.1453871541259699</v>
      </c>
      <c r="S1322" s="22">
        <f t="shared" si="125"/>
        <v>2.1453871541259701</v>
      </c>
    </row>
    <row r="1323" spans="1:19">
      <c r="A1323" s="18" t="s">
        <v>1362</v>
      </c>
      <c r="B1323" s="18" t="s">
        <v>40</v>
      </c>
      <c r="C1323" s="18" t="s">
        <v>29</v>
      </c>
      <c r="D1323" s="19">
        <v>44840</v>
      </c>
      <c r="E1323" s="20">
        <v>45464</v>
      </c>
      <c r="F1323" s="21">
        <v>57888</v>
      </c>
      <c r="G1323" s="21">
        <v>52896</v>
      </c>
      <c r="H1323" s="21">
        <v>27195.200000000001</v>
      </c>
      <c r="I1323" s="18">
        <v>6774.1279999999997</v>
      </c>
      <c r="J1323" s="18">
        <v>11425.487999999999</v>
      </c>
      <c r="K1323" s="18" t="s">
        <v>65</v>
      </c>
      <c r="L1323" s="18" t="s">
        <v>50</v>
      </c>
      <c r="M1323" s="18" t="s">
        <v>32</v>
      </c>
      <c r="N1323" s="22">
        <f t="shared" si="120"/>
        <v>0.91376451077943599</v>
      </c>
      <c r="O1323" s="22">
        <f t="shared" si="121"/>
        <v>0.51412583182093197</v>
      </c>
      <c r="P1323" s="23">
        <f t="shared" si="122"/>
        <v>0.128065033272837</v>
      </c>
      <c r="Q1323" s="23">
        <f t="shared" si="123"/>
        <v>0.249092781079014</v>
      </c>
      <c r="R1323" s="22">
        <f t="shared" si="124"/>
        <v>0.68663597735383797</v>
      </c>
      <c r="S1323" s="22">
        <f t="shared" si="125"/>
        <v>1.68663597735384</v>
      </c>
    </row>
    <row r="1324" spans="1:19">
      <c r="A1324" s="18" t="s">
        <v>1363</v>
      </c>
      <c r="B1324" s="18" t="s">
        <v>28</v>
      </c>
      <c r="C1324" s="18" t="s">
        <v>41</v>
      </c>
      <c r="D1324" s="19">
        <v>44902</v>
      </c>
      <c r="E1324" s="20">
        <v>45510</v>
      </c>
      <c r="F1324" s="21">
        <v>77998.399999999994</v>
      </c>
      <c r="G1324" s="21">
        <v>19094.400000000001</v>
      </c>
      <c r="H1324" s="21">
        <v>3062.4</v>
      </c>
      <c r="I1324" s="18">
        <v>4892.4639999999999</v>
      </c>
      <c r="J1324" s="18">
        <v>12374.384</v>
      </c>
      <c r="K1324" s="18" t="s">
        <v>30</v>
      </c>
      <c r="L1324" s="18" t="s">
        <v>23</v>
      </c>
      <c r="M1324" s="18" t="s">
        <v>24</v>
      </c>
      <c r="N1324" s="22">
        <f t="shared" si="120"/>
        <v>0.24480502164147</v>
      </c>
      <c r="O1324" s="22">
        <f t="shared" si="121"/>
        <v>0.16038210155857199</v>
      </c>
      <c r="P1324" s="23">
        <f t="shared" si="122"/>
        <v>0.25622507122507099</v>
      </c>
      <c r="Q1324" s="23">
        <f t="shared" si="123"/>
        <v>1.5975914315569499</v>
      </c>
      <c r="R1324" s="22">
        <f t="shared" si="124"/>
        <v>1.5292744106037399</v>
      </c>
      <c r="S1324" s="22">
        <f t="shared" si="125"/>
        <v>2.5292744106037399</v>
      </c>
    </row>
    <row r="1325" spans="1:19">
      <c r="A1325" s="18" t="s">
        <v>1364</v>
      </c>
      <c r="B1325" s="18" t="s">
        <v>47</v>
      </c>
      <c r="C1325" s="18" t="s">
        <v>29</v>
      </c>
      <c r="D1325" s="19">
        <v>44846</v>
      </c>
      <c r="E1325" s="20">
        <v>45453</v>
      </c>
      <c r="F1325" s="21">
        <v>54811.199999999997</v>
      </c>
      <c r="G1325" s="21">
        <v>18209.599999999999</v>
      </c>
      <c r="H1325" s="21">
        <v>9620.7999999999993</v>
      </c>
      <c r="I1325" s="18">
        <v>7801.3919999999998</v>
      </c>
      <c r="J1325" s="18">
        <v>23711.232</v>
      </c>
      <c r="K1325" s="18" t="s">
        <v>43</v>
      </c>
      <c r="L1325" s="18" t="s">
        <v>44</v>
      </c>
      <c r="M1325" s="18" t="s">
        <v>24</v>
      </c>
      <c r="N1325" s="22">
        <f t="shared" si="120"/>
        <v>0.33222407099279</v>
      </c>
      <c r="O1325" s="22">
        <f t="shared" si="121"/>
        <v>0.52833670152007695</v>
      </c>
      <c r="P1325" s="23">
        <f t="shared" si="122"/>
        <v>0.42842193128898998</v>
      </c>
      <c r="Q1325" s="23">
        <f t="shared" si="123"/>
        <v>0.810888075835689</v>
      </c>
      <c r="R1325" s="22">
        <f t="shared" si="124"/>
        <v>2.0393591297553102</v>
      </c>
      <c r="S1325" s="22">
        <f t="shared" si="125"/>
        <v>3.0393591297553102</v>
      </c>
    </row>
    <row r="1326" spans="1:19">
      <c r="A1326" s="18" t="s">
        <v>1365</v>
      </c>
      <c r="B1326" s="18" t="s">
        <v>26</v>
      </c>
      <c r="C1326" s="18" t="s">
        <v>48</v>
      </c>
      <c r="D1326" s="19">
        <v>44814</v>
      </c>
      <c r="E1326" s="20">
        <v>45433</v>
      </c>
      <c r="F1326" s="21">
        <v>61161.599999999999</v>
      </c>
      <c r="G1326" s="21">
        <v>4209.6000000000004</v>
      </c>
      <c r="H1326" s="21">
        <v>2470.4</v>
      </c>
      <c r="I1326" s="18">
        <v>5684.4319999999998</v>
      </c>
      <c r="J1326" s="18">
        <v>12914.896000000001</v>
      </c>
      <c r="K1326" s="18" t="s">
        <v>30</v>
      </c>
      <c r="L1326" s="18" t="s">
        <v>35</v>
      </c>
      <c r="M1326" s="18" t="s">
        <v>24</v>
      </c>
      <c r="N1326" s="22">
        <f t="shared" si="120"/>
        <v>6.8827499607596904E-2</v>
      </c>
      <c r="O1326" s="22">
        <f t="shared" si="121"/>
        <v>0.586849106803497</v>
      </c>
      <c r="P1326" s="23">
        <f t="shared" si="122"/>
        <v>1.3503496769289201</v>
      </c>
      <c r="Q1326" s="23">
        <f t="shared" si="123"/>
        <v>2.30101683937824</v>
      </c>
      <c r="R1326" s="22">
        <f t="shared" si="124"/>
        <v>1.2719765141002699</v>
      </c>
      <c r="S1326" s="22">
        <f t="shared" si="125"/>
        <v>2.2719765141002699</v>
      </c>
    </row>
    <row r="1327" spans="1:19">
      <c r="A1327" s="18" t="s">
        <v>1366</v>
      </c>
      <c r="B1327" s="18" t="s">
        <v>26</v>
      </c>
      <c r="C1327" s="18" t="s">
        <v>48</v>
      </c>
      <c r="D1327" s="19">
        <v>44785</v>
      </c>
      <c r="E1327" s="20">
        <v>45406</v>
      </c>
      <c r="F1327" s="21">
        <v>17502.400000000001</v>
      </c>
      <c r="G1327" s="21">
        <v>1918.4</v>
      </c>
      <c r="H1327" s="21">
        <v>584</v>
      </c>
      <c r="I1327" s="18">
        <v>3961.4879999999998</v>
      </c>
      <c r="J1327" s="18">
        <v>6702.2240000000002</v>
      </c>
      <c r="K1327" s="18" t="s">
        <v>43</v>
      </c>
      <c r="L1327" s="18" t="s">
        <v>50</v>
      </c>
      <c r="M1327" s="18" t="s">
        <v>32</v>
      </c>
      <c r="N1327" s="22">
        <f t="shared" si="120"/>
        <v>0.109607825212542</v>
      </c>
      <c r="O1327" s="22">
        <f t="shared" si="121"/>
        <v>0.30442035029191</v>
      </c>
      <c r="P1327" s="23">
        <f t="shared" si="122"/>
        <v>2.0649958298582201</v>
      </c>
      <c r="Q1327" s="23">
        <f t="shared" si="123"/>
        <v>6.7833698630137</v>
      </c>
      <c r="R1327" s="22">
        <f t="shared" si="124"/>
        <v>0.69184508447330895</v>
      </c>
      <c r="S1327" s="22">
        <f t="shared" si="125"/>
        <v>1.6918450844733099</v>
      </c>
    </row>
    <row r="1328" spans="1:19">
      <c r="A1328" s="18" t="s">
        <v>1367</v>
      </c>
      <c r="B1328" s="18" t="s">
        <v>26</v>
      </c>
      <c r="C1328" s="18" t="s">
        <v>29</v>
      </c>
      <c r="D1328" s="19">
        <v>44839</v>
      </c>
      <c r="E1328" s="20">
        <v>45461</v>
      </c>
      <c r="F1328" s="21">
        <v>19030.400000000001</v>
      </c>
      <c r="G1328" s="21">
        <v>11659.2</v>
      </c>
      <c r="H1328" s="21">
        <v>4412.8</v>
      </c>
      <c r="I1328" s="18">
        <v>7431.84</v>
      </c>
      <c r="J1328" s="18">
        <v>14491.791999999999</v>
      </c>
      <c r="K1328" s="18" t="s">
        <v>43</v>
      </c>
      <c r="L1328" s="18" t="s">
        <v>44</v>
      </c>
      <c r="M1328" s="18" t="s">
        <v>32</v>
      </c>
      <c r="N1328" s="22">
        <f t="shared" si="120"/>
        <v>0.61266184630906295</v>
      </c>
      <c r="O1328" s="22">
        <f t="shared" si="121"/>
        <v>0.37848222862632103</v>
      </c>
      <c r="P1328" s="23">
        <f t="shared" si="122"/>
        <v>0.63742280773981097</v>
      </c>
      <c r="Q1328" s="23">
        <f t="shared" si="123"/>
        <v>1.6841551849166101</v>
      </c>
      <c r="R1328" s="22">
        <f t="shared" si="124"/>
        <v>0.94996017137075095</v>
      </c>
      <c r="S1328" s="22">
        <f t="shared" si="125"/>
        <v>1.94996017137075</v>
      </c>
    </row>
    <row r="1329" spans="1:19">
      <c r="A1329" s="18" t="s">
        <v>1368</v>
      </c>
      <c r="B1329" s="18" t="s">
        <v>47</v>
      </c>
      <c r="C1329" s="18" t="s">
        <v>41</v>
      </c>
      <c r="D1329" s="19">
        <v>44842</v>
      </c>
      <c r="E1329" s="20">
        <v>45461</v>
      </c>
      <c r="F1329" s="21">
        <v>10158.4</v>
      </c>
      <c r="G1329" s="21">
        <v>1072</v>
      </c>
      <c r="H1329" s="21">
        <v>660.8</v>
      </c>
      <c r="I1329" s="18">
        <v>327.36</v>
      </c>
      <c r="J1329" s="18">
        <v>1147.3599999999999</v>
      </c>
      <c r="K1329" s="18" t="s">
        <v>22</v>
      </c>
      <c r="L1329" s="18" t="s">
        <v>31</v>
      </c>
      <c r="M1329" s="18" t="s">
        <v>32</v>
      </c>
      <c r="N1329" s="22">
        <f t="shared" si="120"/>
        <v>0.105528429673964</v>
      </c>
      <c r="O1329" s="22">
        <f t="shared" si="121"/>
        <v>0.61641791044776095</v>
      </c>
      <c r="P1329" s="23">
        <f t="shared" si="122"/>
        <v>0.305373134328358</v>
      </c>
      <c r="Q1329" s="23">
        <f t="shared" si="123"/>
        <v>0.495399515738499</v>
      </c>
      <c r="R1329" s="22">
        <f t="shared" si="124"/>
        <v>2.5048875855327499</v>
      </c>
      <c r="S1329" s="22">
        <f t="shared" si="125"/>
        <v>3.5048875855327499</v>
      </c>
    </row>
    <row r="1330" spans="1:19">
      <c r="A1330" s="18" t="s">
        <v>1369</v>
      </c>
      <c r="B1330" s="18" t="s">
        <v>28</v>
      </c>
      <c r="C1330" s="18" t="s">
        <v>21</v>
      </c>
      <c r="D1330" s="19">
        <v>44971</v>
      </c>
      <c r="E1330" s="20">
        <v>45588</v>
      </c>
      <c r="F1330" s="21">
        <v>30712</v>
      </c>
      <c r="G1330" s="21">
        <v>25017.599999999999</v>
      </c>
      <c r="H1330" s="21">
        <v>23004.799999999999</v>
      </c>
      <c r="I1330" s="18">
        <v>6592.7520000000004</v>
      </c>
      <c r="J1330" s="18">
        <v>12214.352000000001</v>
      </c>
      <c r="K1330" s="18" t="s">
        <v>22</v>
      </c>
      <c r="L1330" s="18" t="s">
        <v>35</v>
      </c>
      <c r="M1330" s="18" t="s">
        <v>32</v>
      </c>
      <c r="N1330" s="22">
        <f t="shared" si="120"/>
        <v>0.81458713206564204</v>
      </c>
      <c r="O1330" s="22">
        <f t="shared" si="121"/>
        <v>0.91954464057303698</v>
      </c>
      <c r="P1330" s="23">
        <f t="shared" si="122"/>
        <v>0.26352455871066799</v>
      </c>
      <c r="Q1330" s="23">
        <f t="shared" si="123"/>
        <v>0.286581582973988</v>
      </c>
      <c r="R1330" s="22">
        <f t="shared" si="124"/>
        <v>0.85269398879254099</v>
      </c>
      <c r="S1330" s="22">
        <f t="shared" si="125"/>
        <v>1.85269398879254</v>
      </c>
    </row>
    <row r="1331" spans="1:19">
      <c r="A1331" s="18" t="s">
        <v>1370</v>
      </c>
      <c r="B1331" s="18" t="s">
        <v>20</v>
      </c>
      <c r="C1331" s="18" t="s">
        <v>21</v>
      </c>
      <c r="D1331" s="19">
        <v>44838</v>
      </c>
      <c r="E1331" s="20">
        <v>45461</v>
      </c>
      <c r="F1331" s="21">
        <v>14896</v>
      </c>
      <c r="G1331" s="21">
        <v>11609.6</v>
      </c>
      <c r="H1331" s="21">
        <v>2276.8000000000002</v>
      </c>
      <c r="I1331" s="18">
        <v>5751.6319999999996</v>
      </c>
      <c r="J1331" s="18">
        <v>10596.848</v>
      </c>
      <c r="K1331" s="18" t="s">
        <v>22</v>
      </c>
      <c r="L1331" s="18" t="s">
        <v>50</v>
      </c>
      <c r="M1331" s="18" t="s">
        <v>24</v>
      </c>
      <c r="N1331" s="22">
        <f t="shared" si="120"/>
        <v>0.77937701396348003</v>
      </c>
      <c r="O1331" s="22">
        <f t="shared" si="121"/>
        <v>0.196113561190739</v>
      </c>
      <c r="P1331" s="23">
        <f t="shared" si="122"/>
        <v>0.495420341786108</v>
      </c>
      <c r="Q1331" s="23">
        <f t="shared" si="123"/>
        <v>2.5261911454673198</v>
      </c>
      <c r="R1331" s="22">
        <f t="shared" si="124"/>
        <v>0.84240716374065705</v>
      </c>
      <c r="S1331" s="22">
        <f t="shared" si="125"/>
        <v>1.84240716374066</v>
      </c>
    </row>
    <row r="1332" spans="1:19">
      <c r="A1332" s="18" t="s">
        <v>1371</v>
      </c>
      <c r="B1332" s="18" t="s">
        <v>47</v>
      </c>
      <c r="C1332" s="18" t="s">
        <v>21</v>
      </c>
      <c r="D1332" s="19">
        <v>44826</v>
      </c>
      <c r="E1332" s="20">
        <v>45451</v>
      </c>
      <c r="F1332" s="21">
        <v>42680</v>
      </c>
      <c r="G1332" s="21">
        <v>17604.8</v>
      </c>
      <c r="H1332" s="21">
        <v>616</v>
      </c>
      <c r="I1332" s="18">
        <v>3145.7280000000001</v>
      </c>
      <c r="J1332" s="18">
        <v>10320.031999999999</v>
      </c>
      <c r="K1332" s="18" t="s">
        <v>38</v>
      </c>
      <c r="L1332" s="18" t="s">
        <v>23</v>
      </c>
      <c r="M1332" s="18" t="s">
        <v>32</v>
      </c>
      <c r="N1332" s="22">
        <f t="shared" si="120"/>
        <v>0.41248359887535102</v>
      </c>
      <c r="O1332" s="22">
        <f t="shared" si="121"/>
        <v>3.4990457148050498E-2</v>
      </c>
      <c r="P1332" s="23">
        <f t="shared" si="122"/>
        <v>0.178685812960102</v>
      </c>
      <c r="Q1332" s="23">
        <f t="shared" si="123"/>
        <v>5.1067012987013003</v>
      </c>
      <c r="R1332" s="22">
        <f t="shared" si="124"/>
        <v>2.2806498209635402</v>
      </c>
      <c r="S1332" s="22">
        <f t="shared" si="125"/>
        <v>3.2806498209635402</v>
      </c>
    </row>
    <row r="1333" spans="1:19">
      <c r="A1333" s="18" t="s">
        <v>1372</v>
      </c>
      <c r="B1333" s="18" t="s">
        <v>40</v>
      </c>
      <c r="C1333" s="18" t="s">
        <v>29</v>
      </c>
      <c r="D1333" s="19">
        <v>44704</v>
      </c>
      <c r="E1333" s="20">
        <v>45314</v>
      </c>
      <c r="F1333" s="21">
        <v>16376</v>
      </c>
      <c r="G1333" s="21">
        <v>15484.8</v>
      </c>
      <c r="H1333" s="21">
        <v>11913.6</v>
      </c>
      <c r="I1333" s="18">
        <v>6290.4480000000003</v>
      </c>
      <c r="J1333" s="18">
        <v>8322.2559999999994</v>
      </c>
      <c r="K1333" s="18" t="s">
        <v>43</v>
      </c>
      <c r="L1333" s="18" t="s">
        <v>35</v>
      </c>
      <c r="M1333" s="18" t="s">
        <v>32</v>
      </c>
      <c r="N1333" s="22">
        <f t="shared" si="120"/>
        <v>0.94557889594528599</v>
      </c>
      <c r="O1333" s="22">
        <f t="shared" si="121"/>
        <v>0.76937383756974598</v>
      </c>
      <c r="P1333" s="23">
        <f t="shared" si="122"/>
        <v>0.40623372597644097</v>
      </c>
      <c r="Q1333" s="23">
        <f t="shared" si="123"/>
        <v>0.52800564061240896</v>
      </c>
      <c r="R1333" s="22">
        <f t="shared" si="124"/>
        <v>0.32299893425714699</v>
      </c>
      <c r="S1333" s="22">
        <f t="shared" si="125"/>
        <v>1.32299893425715</v>
      </c>
    </row>
    <row r="1334" spans="1:19">
      <c r="A1334" s="18" t="s">
        <v>1373</v>
      </c>
      <c r="B1334" s="18" t="s">
        <v>34</v>
      </c>
      <c r="C1334" s="18" t="s">
        <v>29</v>
      </c>
      <c r="D1334" s="19">
        <v>44821</v>
      </c>
      <c r="E1334" s="20">
        <v>45427</v>
      </c>
      <c r="F1334" s="21">
        <v>63859.199999999997</v>
      </c>
      <c r="G1334" s="21">
        <v>47977.599999999999</v>
      </c>
      <c r="H1334" s="21">
        <v>25812.799999999999</v>
      </c>
      <c r="I1334" s="18">
        <v>2539.6799999999998</v>
      </c>
      <c r="J1334" s="18">
        <v>8354.1280000000006</v>
      </c>
      <c r="K1334" s="18" t="s">
        <v>65</v>
      </c>
      <c r="L1334" s="18" t="s">
        <v>31</v>
      </c>
      <c r="M1334" s="18" t="s">
        <v>32</v>
      </c>
      <c r="N1334" s="22">
        <f t="shared" si="120"/>
        <v>0.75130286630587295</v>
      </c>
      <c r="O1334" s="22">
        <f t="shared" si="121"/>
        <v>0.53801774161275295</v>
      </c>
      <c r="P1334" s="23">
        <f t="shared" si="122"/>
        <v>5.2934702861335302E-2</v>
      </c>
      <c r="Q1334" s="23">
        <f t="shared" si="123"/>
        <v>9.8388396454472199E-2</v>
      </c>
      <c r="R1334" s="22">
        <f t="shared" si="124"/>
        <v>2.2894411894411899</v>
      </c>
      <c r="S1334" s="22">
        <f t="shared" si="125"/>
        <v>3.2894411894411899</v>
      </c>
    </row>
    <row r="1335" spans="1:19">
      <c r="A1335" s="18" t="s">
        <v>1374</v>
      </c>
      <c r="B1335" s="18" t="s">
        <v>34</v>
      </c>
      <c r="C1335" s="18" t="s">
        <v>21</v>
      </c>
      <c r="D1335" s="19">
        <v>44850</v>
      </c>
      <c r="E1335" s="20">
        <v>45467</v>
      </c>
      <c r="F1335" s="21">
        <v>30720</v>
      </c>
      <c r="G1335" s="21">
        <v>14571.2</v>
      </c>
      <c r="H1335" s="21">
        <v>11584</v>
      </c>
      <c r="I1335" s="18">
        <v>4535.0240000000003</v>
      </c>
      <c r="J1335" s="18">
        <v>8777.76</v>
      </c>
      <c r="K1335" s="18" t="s">
        <v>43</v>
      </c>
      <c r="L1335" s="18" t="s">
        <v>23</v>
      </c>
      <c r="M1335" s="18" t="s">
        <v>32</v>
      </c>
      <c r="N1335" s="22">
        <f t="shared" si="120"/>
        <v>0.47432291666666698</v>
      </c>
      <c r="O1335" s="22">
        <f t="shared" si="121"/>
        <v>0.79499286263313895</v>
      </c>
      <c r="P1335" s="23">
        <f t="shared" si="122"/>
        <v>0.31123201932579297</v>
      </c>
      <c r="Q1335" s="23">
        <f t="shared" si="123"/>
        <v>0.39149033149171297</v>
      </c>
      <c r="R1335" s="22">
        <f t="shared" si="124"/>
        <v>0.93554874241018304</v>
      </c>
      <c r="S1335" s="22">
        <f t="shared" si="125"/>
        <v>1.93554874241018</v>
      </c>
    </row>
    <row r="1336" spans="1:19">
      <c r="A1336" s="18" t="s">
        <v>1375</v>
      </c>
      <c r="B1336" s="18" t="s">
        <v>40</v>
      </c>
      <c r="C1336" s="18" t="s">
        <v>21</v>
      </c>
      <c r="D1336" s="19">
        <v>44780</v>
      </c>
      <c r="E1336" s="20">
        <v>45406</v>
      </c>
      <c r="F1336" s="21">
        <v>23800</v>
      </c>
      <c r="G1336" s="21">
        <v>11062.4</v>
      </c>
      <c r="H1336" s="21">
        <v>4347.2</v>
      </c>
      <c r="I1336" s="18">
        <v>3408.864</v>
      </c>
      <c r="J1336" s="18">
        <v>5635.8720000000003</v>
      </c>
      <c r="K1336" s="18" t="s">
        <v>43</v>
      </c>
      <c r="L1336" s="18" t="s">
        <v>44</v>
      </c>
      <c r="M1336" s="18" t="s">
        <v>32</v>
      </c>
      <c r="N1336" s="22">
        <f t="shared" si="120"/>
        <v>0.46480672268907602</v>
      </c>
      <c r="O1336" s="22">
        <f t="shared" si="121"/>
        <v>0.39297078391669099</v>
      </c>
      <c r="P1336" s="23">
        <f t="shared" si="122"/>
        <v>0.30814868382991001</v>
      </c>
      <c r="Q1336" s="23">
        <f t="shared" si="123"/>
        <v>0.78415163783584796</v>
      </c>
      <c r="R1336" s="22">
        <f t="shared" si="124"/>
        <v>0.65329916359232898</v>
      </c>
      <c r="S1336" s="22">
        <f t="shared" si="125"/>
        <v>1.65329916359233</v>
      </c>
    </row>
    <row r="1337" spans="1:19">
      <c r="A1337" s="18" t="s">
        <v>1376</v>
      </c>
      <c r="B1337" s="18" t="s">
        <v>20</v>
      </c>
      <c r="C1337" s="18" t="s">
        <v>21</v>
      </c>
      <c r="D1337" s="19">
        <v>44814</v>
      </c>
      <c r="E1337" s="20">
        <v>45418</v>
      </c>
      <c r="F1337" s="21">
        <v>56948.800000000003</v>
      </c>
      <c r="G1337" s="21">
        <v>24816</v>
      </c>
      <c r="H1337" s="21">
        <v>16196.8</v>
      </c>
      <c r="I1337" s="18">
        <v>7356.96</v>
      </c>
      <c r="J1337" s="18">
        <v>24748.815999999999</v>
      </c>
      <c r="K1337" s="18" t="s">
        <v>30</v>
      </c>
      <c r="L1337" s="18" t="s">
        <v>23</v>
      </c>
      <c r="M1337" s="18" t="s">
        <v>32</v>
      </c>
      <c r="N1337" s="22">
        <f t="shared" si="120"/>
        <v>0.43575984041805998</v>
      </c>
      <c r="O1337" s="22">
        <f t="shared" si="121"/>
        <v>0.65267569310122497</v>
      </c>
      <c r="P1337" s="23">
        <f t="shared" si="122"/>
        <v>0.29646034816247602</v>
      </c>
      <c r="Q1337" s="23">
        <f t="shared" si="123"/>
        <v>0.45422305640620397</v>
      </c>
      <c r="R1337" s="22">
        <f t="shared" si="124"/>
        <v>2.3640003479698102</v>
      </c>
      <c r="S1337" s="22">
        <f t="shared" si="125"/>
        <v>3.3640003479698102</v>
      </c>
    </row>
    <row r="1338" spans="1:19">
      <c r="A1338" s="18" t="s">
        <v>1377</v>
      </c>
      <c r="B1338" s="18" t="s">
        <v>47</v>
      </c>
      <c r="C1338" s="18" t="s">
        <v>41</v>
      </c>
      <c r="D1338" s="19">
        <v>44896</v>
      </c>
      <c r="E1338" s="20">
        <v>45501</v>
      </c>
      <c r="F1338" s="21">
        <v>7939.2</v>
      </c>
      <c r="G1338" s="21">
        <v>315.2</v>
      </c>
      <c r="H1338" s="21">
        <v>17.600000000000001</v>
      </c>
      <c r="I1338" s="18">
        <v>2213.5039999999999</v>
      </c>
      <c r="J1338" s="18">
        <v>3729.904</v>
      </c>
      <c r="K1338" s="18" t="s">
        <v>65</v>
      </c>
      <c r="L1338" s="18" t="s">
        <v>31</v>
      </c>
      <c r="M1338" s="18" t="s">
        <v>24</v>
      </c>
      <c r="N1338" s="22">
        <f t="shared" si="120"/>
        <v>3.9701733172107997E-2</v>
      </c>
      <c r="O1338" s="22">
        <f t="shared" si="121"/>
        <v>5.5837563451776699E-2</v>
      </c>
      <c r="P1338" s="23">
        <f t="shared" si="122"/>
        <v>7.0225380710659904</v>
      </c>
      <c r="Q1338" s="23">
        <f t="shared" si="123"/>
        <v>125.767272727273</v>
      </c>
      <c r="R1338" s="22">
        <f t="shared" si="124"/>
        <v>0.68506765743364395</v>
      </c>
      <c r="S1338" s="22">
        <f t="shared" si="125"/>
        <v>1.6850676574336401</v>
      </c>
    </row>
    <row r="1339" spans="1:19">
      <c r="A1339" s="18" t="s">
        <v>1378</v>
      </c>
      <c r="B1339" s="18" t="s">
        <v>47</v>
      </c>
      <c r="C1339" s="18" t="s">
        <v>21</v>
      </c>
      <c r="D1339" s="19">
        <v>44788</v>
      </c>
      <c r="E1339" s="20">
        <v>45389</v>
      </c>
      <c r="F1339" s="21">
        <v>9710.4</v>
      </c>
      <c r="G1339" s="21">
        <v>2296</v>
      </c>
      <c r="H1339" s="21">
        <v>1148.8</v>
      </c>
      <c r="I1339" s="18">
        <v>351.47199999999998</v>
      </c>
      <c r="J1339" s="18">
        <v>953.85599999999999</v>
      </c>
      <c r="K1339" s="18" t="s">
        <v>30</v>
      </c>
      <c r="L1339" s="18" t="s">
        <v>50</v>
      </c>
      <c r="M1339" s="18" t="s">
        <v>24</v>
      </c>
      <c r="N1339" s="22">
        <f t="shared" si="120"/>
        <v>0.23644752018454401</v>
      </c>
      <c r="O1339" s="22">
        <f t="shared" si="121"/>
        <v>0.50034843205574897</v>
      </c>
      <c r="P1339" s="23">
        <f t="shared" si="122"/>
        <v>0.153080139372822</v>
      </c>
      <c r="Q1339" s="23">
        <f t="shared" si="123"/>
        <v>0.30594707520891401</v>
      </c>
      <c r="R1339" s="22">
        <f t="shared" si="124"/>
        <v>1.7138890153411901</v>
      </c>
      <c r="S1339" s="22">
        <f t="shared" si="125"/>
        <v>2.7138890153411901</v>
      </c>
    </row>
    <row r="1340" spans="1:19">
      <c r="A1340" s="18" t="s">
        <v>1379</v>
      </c>
      <c r="B1340" s="18" t="s">
        <v>28</v>
      </c>
      <c r="C1340" s="18" t="s">
        <v>48</v>
      </c>
      <c r="D1340" s="19">
        <v>44836</v>
      </c>
      <c r="E1340" s="20">
        <v>45466</v>
      </c>
      <c r="F1340" s="21">
        <v>59880</v>
      </c>
      <c r="G1340" s="21">
        <v>40828.800000000003</v>
      </c>
      <c r="H1340" s="21">
        <v>33681.599999999999</v>
      </c>
      <c r="I1340" s="18">
        <v>7522.2079999999996</v>
      </c>
      <c r="J1340" s="18">
        <v>22323.632000000001</v>
      </c>
      <c r="K1340" s="18" t="s">
        <v>30</v>
      </c>
      <c r="L1340" s="18" t="s">
        <v>35</v>
      </c>
      <c r="M1340" s="18" t="s">
        <v>32</v>
      </c>
      <c r="N1340" s="22">
        <f t="shared" si="120"/>
        <v>0.68184368737474998</v>
      </c>
      <c r="O1340" s="22">
        <f t="shared" si="121"/>
        <v>0.82494709616741102</v>
      </c>
      <c r="P1340" s="23">
        <f t="shared" si="122"/>
        <v>0.18423779293048001</v>
      </c>
      <c r="Q1340" s="23">
        <f t="shared" si="123"/>
        <v>0.223332858296518</v>
      </c>
      <c r="R1340" s="22">
        <f t="shared" si="124"/>
        <v>1.9676967188357499</v>
      </c>
      <c r="S1340" s="22">
        <f t="shared" si="125"/>
        <v>2.9676967188357501</v>
      </c>
    </row>
    <row r="1341" spans="1:19">
      <c r="A1341" s="18" t="s">
        <v>1380</v>
      </c>
      <c r="B1341" s="18" t="s">
        <v>34</v>
      </c>
      <c r="C1341" s="18" t="s">
        <v>41</v>
      </c>
      <c r="D1341" s="19">
        <v>44727</v>
      </c>
      <c r="E1341" s="20">
        <v>45350</v>
      </c>
      <c r="F1341" s="21">
        <v>52675.199999999997</v>
      </c>
      <c r="G1341" s="21">
        <v>28529.599999999999</v>
      </c>
      <c r="H1341" s="21">
        <v>18694.400000000001</v>
      </c>
      <c r="I1341" s="18">
        <v>3681.0079999999998</v>
      </c>
      <c r="J1341" s="18">
        <v>5019.6959999999999</v>
      </c>
      <c r="K1341" s="18" t="s">
        <v>43</v>
      </c>
      <c r="L1341" s="18" t="s">
        <v>35</v>
      </c>
      <c r="M1341" s="18" t="s">
        <v>24</v>
      </c>
      <c r="N1341" s="22">
        <f t="shared" si="120"/>
        <v>0.54161351072231301</v>
      </c>
      <c r="O1341" s="22">
        <f t="shared" si="121"/>
        <v>0.65526330547922196</v>
      </c>
      <c r="P1341" s="23">
        <f t="shared" si="122"/>
        <v>0.12902417138691</v>
      </c>
      <c r="Q1341" s="23">
        <f t="shared" si="123"/>
        <v>0.196904313591236</v>
      </c>
      <c r="R1341" s="22">
        <f t="shared" si="124"/>
        <v>0.36367429790970301</v>
      </c>
      <c r="S1341" s="22">
        <f t="shared" si="125"/>
        <v>1.3636742979097001</v>
      </c>
    </row>
    <row r="1342" spans="1:19">
      <c r="A1342" s="18" t="s">
        <v>1381</v>
      </c>
      <c r="B1342" s="18" t="s">
        <v>20</v>
      </c>
      <c r="C1342" s="18" t="s">
        <v>21</v>
      </c>
      <c r="D1342" s="19">
        <v>44717</v>
      </c>
      <c r="E1342" s="20">
        <v>45327</v>
      </c>
      <c r="F1342" s="21">
        <v>18195.2</v>
      </c>
      <c r="G1342" s="21">
        <v>9115.2000000000007</v>
      </c>
      <c r="H1342" s="21">
        <v>4499.2</v>
      </c>
      <c r="I1342" s="18">
        <v>5412.9279999999999</v>
      </c>
      <c r="J1342" s="18">
        <v>11548.368</v>
      </c>
      <c r="K1342" s="18" t="s">
        <v>38</v>
      </c>
      <c r="L1342" s="18" t="s">
        <v>35</v>
      </c>
      <c r="M1342" s="18" t="s">
        <v>24</v>
      </c>
      <c r="N1342" s="22">
        <f t="shared" si="120"/>
        <v>0.50096728807597601</v>
      </c>
      <c r="O1342" s="22">
        <f t="shared" si="121"/>
        <v>0.493593119185536</v>
      </c>
      <c r="P1342" s="23">
        <f t="shared" si="122"/>
        <v>0.59383535193961701</v>
      </c>
      <c r="Q1342" s="23">
        <f t="shared" si="123"/>
        <v>1.2030867709815101</v>
      </c>
      <c r="R1342" s="22">
        <f t="shared" si="124"/>
        <v>1.1334789600009501</v>
      </c>
      <c r="S1342" s="22">
        <f t="shared" si="125"/>
        <v>2.1334789600009501</v>
      </c>
    </row>
    <row r="1343" spans="1:19">
      <c r="A1343" s="18" t="s">
        <v>1382</v>
      </c>
      <c r="B1343" s="18" t="s">
        <v>34</v>
      </c>
      <c r="C1343" s="18" t="s">
        <v>41</v>
      </c>
      <c r="D1343" s="19">
        <v>44782</v>
      </c>
      <c r="E1343" s="20">
        <v>45410</v>
      </c>
      <c r="F1343" s="21">
        <v>59129.599999999999</v>
      </c>
      <c r="G1343" s="21">
        <v>36744</v>
      </c>
      <c r="H1343" s="21">
        <v>33401.599999999999</v>
      </c>
      <c r="I1343" s="18">
        <v>5186.384</v>
      </c>
      <c r="J1343" s="18">
        <v>8215.76</v>
      </c>
      <c r="K1343" s="18" t="s">
        <v>43</v>
      </c>
      <c r="L1343" s="18" t="s">
        <v>23</v>
      </c>
      <c r="M1343" s="18" t="s">
        <v>32</v>
      </c>
      <c r="N1343" s="22">
        <f t="shared" si="120"/>
        <v>0.62141465526572104</v>
      </c>
      <c r="O1343" s="22">
        <f t="shared" si="121"/>
        <v>0.90903548878728502</v>
      </c>
      <c r="P1343" s="23">
        <f t="shared" si="122"/>
        <v>0.14114913999564599</v>
      </c>
      <c r="Q1343" s="23">
        <f t="shared" si="123"/>
        <v>0.15527351983138499</v>
      </c>
      <c r="R1343" s="22">
        <f t="shared" si="124"/>
        <v>0.58410175567408795</v>
      </c>
      <c r="S1343" s="22">
        <f t="shared" si="125"/>
        <v>1.58410175567409</v>
      </c>
    </row>
    <row r="1344" spans="1:19">
      <c r="A1344" s="18" t="s">
        <v>1383</v>
      </c>
      <c r="B1344" s="18" t="s">
        <v>47</v>
      </c>
      <c r="C1344" s="18" t="s">
        <v>41</v>
      </c>
      <c r="D1344" s="19">
        <v>44806</v>
      </c>
      <c r="E1344" s="20">
        <v>45436</v>
      </c>
      <c r="F1344" s="21">
        <v>5097.6000000000004</v>
      </c>
      <c r="G1344" s="21">
        <v>1249.5999999999999</v>
      </c>
      <c r="H1344" s="21">
        <v>182.4</v>
      </c>
      <c r="I1344" s="18">
        <v>1258.1120000000001</v>
      </c>
      <c r="J1344" s="18">
        <v>3429.4079999999999</v>
      </c>
      <c r="K1344" s="18" t="s">
        <v>22</v>
      </c>
      <c r="L1344" s="18" t="s">
        <v>23</v>
      </c>
      <c r="M1344" s="18" t="s">
        <v>32</v>
      </c>
      <c r="N1344" s="22">
        <f t="shared" si="120"/>
        <v>0.245134965473949</v>
      </c>
      <c r="O1344" s="22">
        <f t="shared" si="121"/>
        <v>0.14596670934699099</v>
      </c>
      <c r="P1344" s="23">
        <f t="shared" si="122"/>
        <v>1.00681177976953</v>
      </c>
      <c r="Q1344" s="23">
        <f t="shared" si="123"/>
        <v>6.8975438596491196</v>
      </c>
      <c r="R1344" s="22">
        <f t="shared" si="124"/>
        <v>1.72583680944145</v>
      </c>
      <c r="S1344" s="22">
        <f t="shared" si="125"/>
        <v>2.72583680944145</v>
      </c>
    </row>
    <row r="1345" spans="1:19">
      <c r="A1345" s="18" t="s">
        <v>1384</v>
      </c>
      <c r="B1345" s="18" t="s">
        <v>47</v>
      </c>
      <c r="C1345" s="18" t="s">
        <v>21</v>
      </c>
      <c r="D1345" s="19">
        <v>44723</v>
      </c>
      <c r="E1345" s="20">
        <v>45333</v>
      </c>
      <c r="F1345" s="21">
        <v>57452.800000000003</v>
      </c>
      <c r="G1345" s="21">
        <v>23689.599999999999</v>
      </c>
      <c r="H1345" s="21">
        <v>19748.8</v>
      </c>
      <c r="I1345" s="18">
        <v>1137.4079999999999</v>
      </c>
      <c r="J1345" s="18">
        <v>3610.9920000000002</v>
      </c>
      <c r="K1345" s="18" t="s">
        <v>43</v>
      </c>
      <c r="L1345" s="18" t="s">
        <v>31</v>
      </c>
      <c r="M1345" s="18" t="s">
        <v>32</v>
      </c>
      <c r="N1345" s="22">
        <f t="shared" si="120"/>
        <v>0.41233151386877598</v>
      </c>
      <c r="O1345" s="22">
        <f t="shared" si="121"/>
        <v>0.83364852086991803</v>
      </c>
      <c r="P1345" s="23">
        <f t="shared" si="122"/>
        <v>4.8012967715790902E-2</v>
      </c>
      <c r="Q1345" s="23">
        <f t="shared" si="123"/>
        <v>5.7593777849793401E-2</v>
      </c>
      <c r="R1345" s="22">
        <f t="shared" si="124"/>
        <v>2.17475523295071</v>
      </c>
      <c r="S1345" s="22">
        <f t="shared" si="125"/>
        <v>3.17475523295071</v>
      </c>
    </row>
    <row r="1346" spans="1:19">
      <c r="A1346" s="18" t="s">
        <v>1385</v>
      </c>
      <c r="B1346" s="18" t="s">
        <v>26</v>
      </c>
      <c r="C1346" s="18" t="s">
        <v>21</v>
      </c>
      <c r="D1346" s="19">
        <v>44752</v>
      </c>
      <c r="E1346" s="20">
        <v>45370</v>
      </c>
      <c r="F1346" s="21">
        <v>9856</v>
      </c>
      <c r="G1346" s="21">
        <v>1689.6</v>
      </c>
      <c r="H1346" s="21">
        <v>1371.2</v>
      </c>
      <c r="I1346" s="18">
        <v>6783.9040000000005</v>
      </c>
      <c r="J1346" s="18">
        <v>13410.896000000001</v>
      </c>
      <c r="K1346" s="18" t="s">
        <v>38</v>
      </c>
      <c r="L1346" s="18" t="s">
        <v>44</v>
      </c>
      <c r="M1346" s="18" t="s">
        <v>32</v>
      </c>
      <c r="N1346" s="22">
        <f t="shared" ref="N1346:N1409" si="126">G1346/F1346</f>
        <v>0.17142857142857101</v>
      </c>
      <c r="O1346" s="22">
        <f t="shared" ref="O1346:O1409" si="127">H1346/G1346</f>
        <v>0.81155303030303005</v>
      </c>
      <c r="P1346" s="23">
        <f t="shared" ref="P1346:P1409" si="128">I1346/G1346</f>
        <v>4.0150946969697001</v>
      </c>
      <c r="Q1346" s="23">
        <f t="shared" ref="Q1346:Q1409" si="129">I1346/H1346</f>
        <v>4.9474212368728097</v>
      </c>
      <c r="R1346" s="22">
        <f t="shared" ref="R1346:R1409" si="130">(J1346-I1346)/I1346</f>
        <v>0.97686995570692003</v>
      </c>
      <c r="S1346" s="22">
        <f t="shared" ref="S1346:S1409" si="131">J1346/I1346</f>
        <v>1.97686995570692</v>
      </c>
    </row>
    <row r="1347" spans="1:19">
      <c r="A1347" s="18" t="s">
        <v>1386</v>
      </c>
      <c r="B1347" s="18" t="s">
        <v>40</v>
      </c>
      <c r="C1347" s="18" t="s">
        <v>48</v>
      </c>
      <c r="D1347" s="19">
        <v>44927</v>
      </c>
      <c r="E1347" s="20">
        <v>45530</v>
      </c>
      <c r="F1347" s="21">
        <v>43664</v>
      </c>
      <c r="G1347" s="21">
        <v>41075.199999999997</v>
      </c>
      <c r="H1347" s="21">
        <v>7100.8</v>
      </c>
      <c r="I1347" s="18">
        <v>5889.8559999999998</v>
      </c>
      <c r="J1347" s="18">
        <v>9719.52</v>
      </c>
      <c r="K1347" s="18" t="s">
        <v>38</v>
      </c>
      <c r="L1347" s="18" t="s">
        <v>23</v>
      </c>
      <c r="M1347" s="18" t="s">
        <v>24</v>
      </c>
      <c r="N1347" s="22">
        <f t="shared" si="126"/>
        <v>0.94071088310736495</v>
      </c>
      <c r="O1347" s="22">
        <f t="shared" si="127"/>
        <v>0.17287316921159199</v>
      </c>
      <c r="P1347" s="23">
        <f t="shared" si="128"/>
        <v>0.143392022436896</v>
      </c>
      <c r="Q1347" s="23">
        <f t="shared" si="129"/>
        <v>0.82946372239747601</v>
      </c>
      <c r="R1347" s="22">
        <f t="shared" si="130"/>
        <v>0.65021351965141405</v>
      </c>
      <c r="S1347" s="22">
        <f t="shared" si="131"/>
        <v>1.6502135196514101</v>
      </c>
    </row>
    <row r="1348" spans="1:19">
      <c r="A1348" s="18" t="s">
        <v>1387</v>
      </c>
      <c r="B1348" s="18" t="s">
        <v>20</v>
      </c>
      <c r="C1348" s="18" t="s">
        <v>41</v>
      </c>
      <c r="D1348" s="19">
        <v>44913</v>
      </c>
      <c r="E1348" s="20">
        <v>45523</v>
      </c>
      <c r="F1348" s="21">
        <v>66582.399999999994</v>
      </c>
      <c r="G1348" s="21">
        <v>14318.4</v>
      </c>
      <c r="H1348" s="21">
        <v>7220.8</v>
      </c>
      <c r="I1348" s="18">
        <v>6809.9359999999997</v>
      </c>
      <c r="J1348" s="18">
        <v>21588.400000000001</v>
      </c>
      <c r="K1348" s="18" t="s">
        <v>30</v>
      </c>
      <c r="L1348" s="18" t="s">
        <v>50</v>
      </c>
      <c r="M1348" s="18" t="s">
        <v>32</v>
      </c>
      <c r="N1348" s="22">
        <f t="shared" si="126"/>
        <v>0.215047820445043</v>
      </c>
      <c r="O1348" s="22">
        <f t="shared" si="127"/>
        <v>0.50430215666554901</v>
      </c>
      <c r="P1348" s="23">
        <f t="shared" si="128"/>
        <v>0.47560733042798098</v>
      </c>
      <c r="Q1348" s="23">
        <f t="shared" si="129"/>
        <v>0.94309993352537103</v>
      </c>
      <c r="R1348" s="22">
        <f t="shared" si="130"/>
        <v>2.1701325827438001</v>
      </c>
      <c r="S1348" s="22">
        <f t="shared" si="131"/>
        <v>3.1701325827438001</v>
      </c>
    </row>
    <row r="1349" spans="1:19">
      <c r="A1349" s="18" t="s">
        <v>1388</v>
      </c>
      <c r="B1349" s="18" t="s">
        <v>47</v>
      </c>
      <c r="C1349" s="18" t="s">
        <v>29</v>
      </c>
      <c r="D1349" s="19">
        <v>44868</v>
      </c>
      <c r="E1349" s="20">
        <v>45493</v>
      </c>
      <c r="F1349" s="21">
        <v>74520</v>
      </c>
      <c r="G1349" s="21">
        <v>71966.399999999994</v>
      </c>
      <c r="H1349" s="21">
        <v>47318.400000000001</v>
      </c>
      <c r="I1349" s="18">
        <v>7900.384</v>
      </c>
      <c r="J1349" s="18">
        <v>30179.248</v>
      </c>
      <c r="K1349" s="18" t="s">
        <v>43</v>
      </c>
      <c r="L1349" s="18" t="s">
        <v>44</v>
      </c>
      <c r="M1349" s="18" t="s">
        <v>24</v>
      </c>
      <c r="N1349" s="22">
        <f t="shared" si="126"/>
        <v>0.96573268921095001</v>
      </c>
      <c r="O1349" s="22">
        <f t="shared" si="127"/>
        <v>0.657506836523711</v>
      </c>
      <c r="P1349" s="23">
        <f t="shared" si="128"/>
        <v>0.109778785655528</v>
      </c>
      <c r="Q1349" s="23">
        <f t="shared" si="129"/>
        <v>0.16696219652397401</v>
      </c>
      <c r="R1349" s="22">
        <f t="shared" si="130"/>
        <v>2.8199722950175601</v>
      </c>
      <c r="S1349" s="22">
        <f t="shared" si="131"/>
        <v>3.8199722950175601</v>
      </c>
    </row>
    <row r="1350" spans="1:19">
      <c r="A1350" s="18" t="s">
        <v>1389</v>
      </c>
      <c r="B1350" s="18" t="s">
        <v>28</v>
      </c>
      <c r="C1350" s="18" t="s">
        <v>21</v>
      </c>
      <c r="D1350" s="19">
        <v>44855</v>
      </c>
      <c r="E1350" s="20">
        <v>45461</v>
      </c>
      <c r="F1350" s="21">
        <v>10763.2</v>
      </c>
      <c r="G1350" s="21">
        <v>1553.6</v>
      </c>
      <c r="H1350" s="21">
        <v>216</v>
      </c>
      <c r="I1350" s="18">
        <v>1925.3440000000001</v>
      </c>
      <c r="J1350" s="18">
        <v>2820.08</v>
      </c>
      <c r="K1350" s="18" t="s">
        <v>43</v>
      </c>
      <c r="L1350" s="18" t="s">
        <v>31</v>
      </c>
      <c r="M1350" s="18" t="s">
        <v>32</v>
      </c>
      <c r="N1350" s="22">
        <f t="shared" si="126"/>
        <v>0.14434368960903801</v>
      </c>
      <c r="O1350" s="22">
        <f t="shared" si="127"/>
        <v>0.13903192584964</v>
      </c>
      <c r="P1350" s="23">
        <f t="shared" si="128"/>
        <v>1.23927909371782</v>
      </c>
      <c r="Q1350" s="23">
        <f t="shared" si="129"/>
        <v>8.9136296296296305</v>
      </c>
      <c r="R1350" s="22">
        <f t="shared" si="130"/>
        <v>0.46471487692588997</v>
      </c>
      <c r="S1350" s="22">
        <f t="shared" si="131"/>
        <v>1.46471487692589</v>
      </c>
    </row>
    <row r="1351" spans="1:19">
      <c r="A1351" s="18" t="s">
        <v>1390</v>
      </c>
      <c r="B1351" s="18" t="s">
        <v>40</v>
      </c>
      <c r="C1351" s="18" t="s">
        <v>41</v>
      </c>
      <c r="D1351" s="19">
        <v>44765</v>
      </c>
      <c r="E1351" s="20">
        <v>45394</v>
      </c>
      <c r="F1351" s="21">
        <v>65345.599999999999</v>
      </c>
      <c r="G1351" s="21">
        <v>56944</v>
      </c>
      <c r="H1351" s="21">
        <v>20228.8</v>
      </c>
      <c r="I1351" s="18">
        <v>3526.4</v>
      </c>
      <c r="J1351" s="18">
        <v>13926.08</v>
      </c>
      <c r="K1351" s="18" t="s">
        <v>30</v>
      </c>
      <c r="L1351" s="18" t="s">
        <v>50</v>
      </c>
      <c r="M1351" s="18" t="s">
        <v>32</v>
      </c>
      <c r="N1351" s="22">
        <f t="shared" si="126"/>
        <v>0.87142822164001899</v>
      </c>
      <c r="O1351" s="22">
        <f t="shared" si="127"/>
        <v>0.35524023602135402</v>
      </c>
      <c r="P1351" s="23">
        <f t="shared" si="128"/>
        <v>6.1927507726889597E-2</v>
      </c>
      <c r="Q1351" s="23">
        <f t="shared" si="129"/>
        <v>0.17432571383374201</v>
      </c>
      <c r="R1351" s="22">
        <f t="shared" si="130"/>
        <v>2.9490925589836698</v>
      </c>
      <c r="S1351" s="22">
        <f t="shared" si="131"/>
        <v>3.9490925589836698</v>
      </c>
    </row>
    <row r="1352" spans="1:19">
      <c r="A1352" s="18" t="s">
        <v>1391</v>
      </c>
      <c r="B1352" s="18" t="s">
        <v>47</v>
      </c>
      <c r="C1352" s="18" t="s">
        <v>21</v>
      </c>
      <c r="D1352" s="19">
        <v>44719</v>
      </c>
      <c r="E1352" s="20">
        <v>45336</v>
      </c>
      <c r="F1352" s="21">
        <v>67729.600000000006</v>
      </c>
      <c r="G1352" s="21">
        <v>14113.6</v>
      </c>
      <c r="H1352" s="21">
        <v>2992</v>
      </c>
      <c r="I1352" s="18">
        <v>7287.44</v>
      </c>
      <c r="J1352" s="18">
        <v>27028.768</v>
      </c>
      <c r="K1352" s="18" t="s">
        <v>38</v>
      </c>
      <c r="L1352" s="18" t="s">
        <v>44</v>
      </c>
      <c r="M1352" s="18" t="s">
        <v>32</v>
      </c>
      <c r="N1352" s="22">
        <f t="shared" si="126"/>
        <v>0.20838156433819199</v>
      </c>
      <c r="O1352" s="22">
        <f t="shared" si="127"/>
        <v>0.21199410497675999</v>
      </c>
      <c r="P1352" s="23">
        <f t="shared" si="128"/>
        <v>0.51634168461625696</v>
      </c>
      <c r="Q1352" s="23">
        <f t="shared" si="129"/>
        <v>2.43564171122995</v>
      </c>
      <c r="R1352" s="22">
        <f t="shared" si="130"/>
        <v>2.7089523893164098</v>
      </c>
      <c r="S1352" s="22">
        <f t="shared" si="131"/>
        <v>3.7089523893164098</v>
      </c>
    </row>
    <row r="1353" spans="1:19">
      <c r="A1353" s="18" t="s">
        <v>1392</v>
      </c>
      <c r="B1353" s="18" t="s">
        <v>26</v>
      </c>
      <c r="C1353" s="18" t="s">
        <v>29</v>
      </c>
      <c r="D1353" s="19">
        <v>44833</v>
      </c>
      <c r="E1353" s="20">
        <v>45448</v>
      </c>
      <c r="F1353" s="21">
        <v>33372.800000000003</v>
      </c>
      <c r="G1353" s="21">
        <v>28868.799999999999</v>
      </c>
      <c r="H1353" s="21">
        <v>15051.2</v>
      </c>
      <c r="I1353" s="18">
        <v>1151.328</v>
      </c>
      <c r="J1353" s="18">
        <v>3984.4639999999999</v>
      </c>
      <c r="K1353" s="18" t="s">
        <v>22</v>
      </c>
      <c r="L1353" s="18" t="s">
        <v>31</v>
      </c>
      <c r="M1353" s="18" t="s">
        <v>24</v>
      </c>
      <c r="N1353" s="22">
        <f t="shared" si="126"/>
        <v>0.86503979288522403</v>
      </c>
      <c r="O1353" s="22">
        <f t="shared" si="127"/>
        <v>0.52136562655877605</v>
      </c>
      <c r="P1353" s="23">
        <f t="shared" si="128"/>
        <v>3.9881394446599799E-2</v>
      </c>
      <c r="Q1353" s="23">
        <f t="shared" si="129"/>
        <v>7.6494100138195006E-2</v>
      </c>
      <c r="R1353" s="22">
        <f t="shared" si="130"/>
        <v>2.4607548847939098</v>
      </c>
      <c r="S1353" s="22">
        <f t="shared" si="131"/>
        <v>3.4607548847939098</v>
      </c>
    </row>
    <row r="1354" spans="1:19">
      <c r="A1354" s="18" t="s">
        <v>1393</v>
      </c>
      <c r="B1354" s="18" t="s">
        <v>34</v>
      </c>
      <c r="C1354" s="18" t="s">
        <v>21</v>
      </c>
      <c r="D1354" s="19">
        <v>44877</v>
      </c>
      <c r="E1354" s="20">
        <v>45500</v>
      </c>
      <c r="F1354" s="21">
        <v>77150.399999999994</v>
      </c>
      <c r="G1354" s="21">
        <v>69019.199999999997</v>
      </c>
      <c r="H1354" s="21">
        <v>56304</v>
      </c>
      <c r="I1354" s="18">
        <v>4909.0559999999996</v>
      </c>
      <c r="J1354" s="18">
        <v>18890.64</v>
      </c>
      <c r="K1354" s="18" t="s">
        <v>22</v>
      </c>
      <c r="L1354" s="18" t="s">
        <v>50</v>
      </c>
      <c r="M1354" s="18" t="s">
        <v>32</v>
      </c>
      <c r="N1354" s="22">
        <f t="shared" si="126"/>
        <v>0.89460586076028104</v>
      </c>
      <c r="O1354" s="22">
        <f t="shared" si="127"/>
        <v>0.81577300229501404</v>
      </c>
      <c r="P1354" s="23">
        <f t="shared" si="128"/>
        <v>7.1125947562417399E-2</v>
      </c>
      <c r="Q1354" s="23">
        <f t="shared" si="129"/>
        <v>8.7188405797101395E-2</v>
      </c>
      <c r="R1354" s="22">
        <f t="shared" si="130"/>
        <v>2.8481206977471798</v>
      </c>
      <c r="S1354" s="22">
        <f t="shared" si="131"/>
        <v>3.8481206977471798</v>
      </c>
    </row>
    <row r="1355" spans="1:19">
      <c r="A1355" s="18" t="s">
        <v>1394</v>
      </c>
      <c r="B1355" s="18" t="s">
        <v>26</v>
      </c>
      <c r="C1355" s="18" t="s">
        <v>29</v>
      </c>
      <c r="D1355" s="19">
        <v>44897</v>
      </c>
      <c r="E1355" s="20">
        <v>45524</v>
      </c>
      <c r="F1355" s="21">
        <v>76529.600000000006</v>
      </c>
      <c r="G1355" s="21">
        <v>36033.599999999999</v>
      </c>
      <c r="H1355" s="21">
        <v>9201.6</v>
      </c>
      <c r="I1355" s="18">
        <v>1356.48</v>
      </c>
      <c r="J1355" s="18">
        <v>4550.6400000000003</v>
      </c>
      <c r="K1355" s="18" t="s">
        <v>30</v>
      </c>
      <c r="L1355" s="18" t="s">
        <v>23</v>
      </c>
      <c r="M1355" s="18" t="s">
        <v>32</v>
      </c>
      <c r="N1355" s="22">
        <f t="shared" si="126"/>
        <v>0.47084526771340801</v>
      </c>
      <c r="O1355" s="22">
        <f t="shared" si="127"/>
        <v>0.25536166244838199</v>
      </c>
      <c r="P1355" s="23">
        <f t="shared" si="128"/>
        <v>3.764486479286E-2</v>
      </c>
      <c r="Q1355" s="23">
        <f t="shared" si="129"/>
        <v>0.147417840375587</v>
      </c>
      <c r="R1355" s="22">
        <f t="shared" si="130"/>
        <v>2.3547416843595199</v>
      </c>
      <c r="S1355" s="22">
        <f t="shared" si="131"/>
        <v>3.3547416843595199</v>
      </c>
    </row>
    <row r="1356" spans="1:19">
      <c r="A1356" s="18" t="s">
        <v>1395</v>
      </c>
      <c r="B1356" s="18" t="s">
        <v>40</v>
      </c>
      <c r="C1356" s="18" t="s">
        <v>41</v>
      </c>
      <c r="D1356" s="19">
        <v>44929</v>
      </c>
      <c r="E1356" s="20">
        <v>45544</v>
      </c>
      <c r="F1356" s="21">
        <v>14993.6</v>
      </c>
      <c r="G1356" s="21">
        <v>6260.8</v>
      </c>
      <c r="H1356" s="21">
        <v>1433.6</v>
      </c>
      <c r="I1356" s="18">
        <v>7238.7359999999999</v>
      </c>
      <c r="J1356" s="18">
        <v>21683.648000000001</v>
      </c>
      <c r="K1356" s="18" t="s">
        <v>30</v>
      </c>
      <c r="L1356" s="18" t="s">
        <v>44</v>
      </c>
      <c r="M1356" s="18" t="s">
        <v>32</v>
      </c>
      <c r="N1356" s="22">
        <f t="shared" si="126"/>
        <v>0.41756482765980202</v>
      </c>
      <c r="O1356" s="22">
        <f t="shared" si="127"/>
        <v>0.22898032200357801</v>
      </c>
      <c r="P1356" s="23">
        <f t="shared" si="128"/>
        <v>1.1561998466649599</v>
      </c>
      <c r="Q1356" s="23">
        <f t="shared" si="129"/>
        <v>5.0493415178571404</v>
      </c>
      <c r="R1356" s="22">
        <f t="shared" si="130"/>
        <v>1.9955019771407601</v>
      </c>
      <c r="S1356" s="22">
        <f t="shared" si="131"/>
        <v>2.9955019771407598</v>
      </c>
    </row>
    <row r="1357" spans="1:19">
      <c r="A1357" s="18" t="s">
        <v>1396</v>
      </c>
      <c r="B1357" s="18" t="s">
        <v>47</v>
      </c>
      <c r="C1357" s="18" t="s">
        <v>41</v>
      </c>
      <c r="D1357" s="19">
        <v>44730</v>
      </c>
      <c r="E1357" s="20">
        <v>45358</v>
      </c>
      <c r="F1357" s="21">
        <v>52081.599999999999</v>
      </c>
      <c r="G1357" s="21">
        <v>50691.199999999997</v>
      </c>
      <c r="H1357" s="21">
        <v>40448</v>
      </c>
      <c r="I1357" s="18">
        <v>2848.48</v>
      </c>
      <c r="J1357" s="18">
        <v>3511.5680000000002</v>
      </c>
      <c r="K1357" s="18" t="s">
        <v>38</v>
      </c>
      <c r="L1357" s="18" t="s">
        <v>44</v>
      </c>
      <c r="M1357" s="18" t="s">
        <v>32</v>
      </c>
      <c r="N1357" s="22">
        <f t="shared" si="126"/>
        <v>0.97330343153820198</v>
      </c>
      <c r="O1357" s="22">
        <f t="shared" si="127"/>
        <v>0.79792942364749697</v>
      </c>
      <c r="P1357" s="23">
        <f t="shared" si="128"/>
        <v>5.61927908591629E-2</v>
      </c>
      <c r="Q1357" s="23">
        <f t="shared" si="129"/>
        <v>7.0423259493670898E-2</v>
      </c>
      <c r="R1357" s="22">
        <f t="shared" si="130"/>
        <v>0.232786608998483</v>
      </c>
      <c r="S1357" s="22">
        <f t="shared" si="131"/>
        <v>1.23278660899848</v>
      </c>
    </row>
    <row r="1358" spans="1:19">
      <c r="A1358" s="18" t="s">
        <v>1397</v>
      </c>
      <c r="B1358" s="18" t="s">
        <v>26</v>
      </c>
      <c r="C1358" s="18" t="s">
        <v>41</v>
      </c>
      <c r="D1358" s="19">
        <v>44751</v>
      </c>
      <c r="E1358" s="20">
        <v>45364</v>
      </c>
      <c r="F1358" s="21">
        <v>77056</v>
      </c>
      <c r="G1358" s="21">
        <v>16592</v>
      </c>
      <c r="H1358" s="21">
        <v>5430.4</v>
      </c>
      <c r="I1358" s="18">
        <v>1336.1120000000001</v>
      </c>
      <c r="J1358" s="18">
        <v>4344</v>
      </c>
      <c r="K1358" s="18" t="s">
        <v>22</v>
      </c>
      <c r="L1358" s="18" t="s">
        <v>23</v>
      </c>
      <c r="M1358" s="18" t="s">
        <v>32</v>
      </c>
      <c r="N1358" s="22">
        <f t="shared" si="126"/>
        <v>0.21532392026578101</v>
      </c>
      <c r="O1358" s="22">
        <f t="shared" si="127"/>
        <v>0.32729026036644199</v>
      </c>
      <c r="P1358" s="23">
        <f t="shared" si="128"/>
        <v>8.0527483124397295E-2</v>
      </c>
      <c r="Q1358" s="23">
        <f t="shared" si="129"/>
        <v>0.24604301708898099</v>
      </c>
      <c r="R1358" s="22">
        <f t="shared" si="130"/>
        <v>2.2512244482498498</v>
      </c>
      <c r="S1358" s="22">
        <f t="shared" si="131"/>
        <v>3.2512244482498498</v>
      </c>
    </row>
    <row r="1359" spans="1:19">
      <c r="A1359" s="18" t="s">
        <v>1398</v>
      </c>
      <c r="B1359" s="18" t="s">
        <v>40</v>
      </c>
      <c r="C1359" s="18" t="s">
        <v>29</v>
      </c>
      <c r="D1359" s="19">
        <v>44938</v>
      </c>
      <c r="E1359" s="20">
        <v>45559</v>
      </c>
      <c r="F1359" s="21">
        <v>64891.199999999997</v>
      </c>
      <c r="G1359" s="21">
        <v>6529.6</v>
      </c>
      <c r="H1359" s="21">
        <v>945.6</v>
      </c>
      <c r="I1359" s="18">
        <v>4669.3760000000002</v>
      </c>
      <c r="J1359" s="18">
        <v>17108.112000000001</v>
      </c>
      <c r="K1359" s="18" t="s">
        <v>65</v>
      </c>
      <c r="L1359" s="18" t="s">
        <v>35</v>
      </c>
      <c r="M1359" s="18" t="s">
        <v>24</v>
      </c>
      <c r="N1359" s="22">
        <f t="shared" si="126"/>
        <v>0.10062381339842701</v>
      </c>
      <c r="O1359" s="22">
        <f t="shared" si="127"/>
        <v>0.14481744670423899</v>
      </c>
      <c r="P1359" s="23">
        <f t="shared" si="128"/>
        <v>0.71510904190149505</v>
      </c>
      <c r="Q1359" s="23">
        <f t="shared" si="129"/>
        <v>4.9380033840947499</v>
      </c>
      <c r="R1359" s="22">
        <f t="shared" si="130"/>
        <v>2.6638968461738801</v>
      </c>
      <c r="S1359" s="22">
        <f t="shared" si="131"/>
        <v>3.6638968461738801</v>
      </c>
    </row>
    <row r="1360" spans="1:19">
      <c r="A1360" s="18" t="s">
        <v>1399</v>
      </c>
      <c r="B1360" s="18" t="s">
        <v>47</v>
      </c>
      <c r="C1360" s="18" t="s">
        <v>29</v>
      </c>
      <c r="D1360" s="19">
        <v>44744</v>
      </c>
      <c r="E1360" s="20">
        <v>45366</v>
      </c>
      <c r="F1360" s="21">
        <v>2171.1999999999998</v>
      </c>
      <c r="G1360" s="21">
        <v>347.2</v>
      </c>
      <c r="H1360" s="21">
        <v>236.8</v>
      </c>
      <c r="I1360" s="18">
        <v>7755.5360000000001</v>
      </c>
      <c r="J1360" s="18">
        <v>22905.088</v>
      </c>
      <c r="K1360" s="18" t="s">
        <v>43</v>
      </c>
      <c r="L1360" s="18" t="s">
        <v>50</v>
      </c>
      <c r="M1360" s="18" t="s">
        <v>32</v>
      </c>
      <c r="N1360" s="22">
        <f t="shared" si="126"/>
        <v>0.15991156963890901</v>
      </c>
      <c r="O1360" s="22">
        <f t="shared" si="127"/>
        <v>0.68202764976958496</v>
      </c>
      <c r="P1360" s="23">
        <f t="shared" si="128"/>
        <v>22.337373271889401</v>
      </c>
      <c r="Q1360" s="23">
        <f t="shared" si="129"/>
        <v>32.751418918918901</v>
      </c>
      <c r="R1360" s="22">
        <f t="shared" si="130"/>
        <v>1.9533855558145801</v>
      </c>
      <c r="S1360" s="22">
        <f t="shared" si="131"/>
        <v>2.9533855558145801</v>
      </c>
    </row>
    <row r="1361" spans="1:19">
      <c r="A1361" s="18" t="s">
        <v>1400</v>
      </c>
      <c r="B1361" s="18" t="s">
        <v>20</v>
      </c>
      <c r="C1361" s="18" t="s">
        <v>29</v>
      </c>
      <c r="D1361" s="19">
        <v>44948</v>
      </c>
      <c r="E1361" s="20">
        <v>45552</v>
      </c>
      <c r="F1361" s="21">
        <v>43382.400000000001</v>
      </c>
      <c r="G1361" s="21">
        <v>27476.799999999999</v>
      </c>
      <c r="H1361" s="21">
        <v>6678.4</v>
      </c>
      <c r="I1361" s="18">
        <v>1126.144</v>
      </c>
      <c r="J1361" s="18">
        <v>4287.2</v>
      </c>
      <c r="K1361" s="18" t="s">
        <v>22</v>
      </c>
      <c r="L1361" s="18" t="s">
        <v>23</v>
      </c>
      <c r="M1361" s="18" t="s">
        <v>32</v>
      </c>
      <c r="N1361" s="22">
        <f t="shared" si="126"/>
        <v>0.63336283838607399</v>
      </c>
      <c r="O1361" s="22">
        <f t="shared" si="127"/>
        <v>0.24305595993711099</v>
      </c>
      <c r="P1361" s="23">
        <f t="shared" si="128"/>
        <v>4.0985267571187298E-2</v>
      </c>
      <c r="Q1361" s="23">
        <f t="shared" si="129"/>
        <v>0.16862482031624301</v>
      </c>
      <c r="R1361" s="22">
        <f t="shared" si="130"/>
        <v>2.8069731757217502</v>
      </c>
      <c r="S1361" s="22">
        <f t="shared" si="131"/>
        <v>3.8069731757217502</v>
      </c>
    </row>
    <row r="1362" spans="1:19">
      <c r="A1362" s="18" t="s">
        <v>1401</v>
      </c>
      <c r="B1362" s="18" t="s">
        <v>47</v>
      </c>
      <c r="C1362" s="18" t="s">
        <v>41</v>
      </c>
      <c r="D1362" s="19">
        <v>44954</v>
      </c>
      <c r="E1362" s="20">
        <v>45570</v>
      </c>
      <c r="F1362" s="21">
        <v>26968</v>
      </c>
      <c r="G1362" s="21">
        <v>4219.2</v>
      </c>
      <c r="H1362" s="21">
        <v>1960</v>
      </c>
      <c r="I1362" s="18">
        <v>654.88</v>
      </c>
      <c r="J1362" s="18">
        <v>1629.8879999999999</v>
      </c>
      <c r="K1362" s="18" t="s">
        <v>43</v>
      </c>
      <c r="L1362" s="18" t="s">
        <v>50</v>
      </c>
      <c r="M1362" s="18" t="s">
        <v>24</v>
      </c>
      <c r="N1362" s="22">
        <f t="shared" si="126"/>
        <v>0.15645209136754701</v>
      </c>
      <c r="O1362" s="22">
        <f t="shared" si="127"/>
        <v>0.46454304133485003</v>
      </c>
      <c r="P1362" s="23">
        <f t="shared" si="128"/>
        <v>0.15521425862722801</v>
      </c>
      <c r="Q1362" s="23">
        <f t="shared" si="129"/>
        <v>0.33412244897959198</v>
      </c>
      <c r="R1362" s="22">
        <f t="shared" si="130"/>
        <v>1.48883459565111</v>
      </c>
      <c r="S1362" s="22">
        <f t="shared" si="131"/>
        <v>2.48883459565111</v>
      </c>
    </row>
    <row r="1363" spans="1:19">
      <c r="A1363" s="18" t="s">
        <v>1402</v>
      </c>
      <c r="B1363" s="18" t="s">
        <v>20</v>
      </c>
      <c r="C1363" s="18" t="s">
        <v>29</v>
      </c>
      <c r="D1363" s="19">
        <v>44976</v>
      </c>
      <c r="E1363" s="20">
        <v>45582</v>
      </c>
      <c r="F1363" s="21">
        <v>7651.2</v>
      </c>
      <c r="G1363" s="21">
        <v>716.8</v>
      </c>
      <c r="H1363" s="21">
        <v>222.4</v>
      </c>
      <c r="I1363" s="18">
        <v>4948.6400000000003</v>
      </c>
      <c r="J1363" s="18">
        <v>14280.272000000001</v>
      </c>
      <c r="K1363" s="18" t="s">
        <v>30</v>
      </c>
      <c r="L1363" s="18" t="s">
        <v>44</v>
      </c>
      <c r="M1363" s="18" t="s">
        <v>32</v>
      </c>
      <c r="N1363" s="22">
        <f t="shared" si="126"/>
        <v>9.3684650773734807E-2</v>
      </c>
      <c r="O1363" s="22">
        <f t="shared" si="127"/>
        <v>0.31026785714285698</v>
      </c>
      <c r="P1363" s="23">
        <f t="shared" si="128"/>
        <v>6.9037946428571404</v>
      </c>
      <c r="Q1363" s="23">
        <f t="shared" si="129"/>
        <v>22.251079136690599</v>
      </c>
      <c r="R1363" s="22">
        <f t="shared" si="130"/>
        <v>1.88569627210708</v>
      </c>
      <c r="S1363" s="22">
        <f t="shared" si="131"/>
        <v>2.8856962721070798</v>
      </c>
    </row>
    <row r="1364" spans="1:19">
      <c r="A1364" s="18" t="s">
        <v>1403</v>
      </c>
      <c r="B1364" s="18" t="s">
        <v>20</v>
      </c>
      <c r="C1364" s="18" t="s">
        <v>29</v>
      </c>
      <c r="D1364" s="19">
        <v>44766</v>
      </c>
      <c r="E1364" s="20">
        <v>45375</v>
      </c>
      <c r="F1364" s="21">
        <v>19688</v>
      </c>
      <c r="G1364" s="21">
        <v>12793.6</v>
      </c>
      <c r="H1364" s="21">
        <v>9833.6</v>
      </c>
      <c r="I1364" s="18">
        <v>7737.424</v>
      </c>
      <c r="J1364" s="18">
        <v>16833.712</v>
      </c>
      <c r="K1364" s="18" t="s">
        <v>65</v>
      </c>
      <c r="L1364" s="18" t="s">
        <v>35</v>
      </c>
      <c r="M1364" s="18" t="s">
        <v>24</v>
      </c>
      <c r="N1364" s="22">
        <f t="shared" si="126"/>
        <v>0.64981714750101605</v>
      </c>
      <c r="O1364" s="22">
        <f t="shared" si="127"/>
        <v>0.76863431715857899</v>
      </c>
      <c r="P1364" s="23">
        <f t="shared" si="128"/>
        <v>0.60478864432216095</v>
      </c>
      <c r="Q1364" s="23">
        <f t="shared" si="129"/>
        <v>0.78683534005857503</v>
      </c>
      <c r="R1364" s="22">
        <f t="shared" si="130"/>
        <v>1.17562227428664</v>
      </c>
      <c r="S1364" s="22">
        <f t="shared" si="131"/>
        <v>2.1756222742866398</v>
      </c>
    </row>
    <row r="1365" spans="1:19">
      <c r="A1365" s="18" t="s">
        <v>1404</v>
      </c>
      <c r="B1365" s="18" t="s">
        <v>26</v>
      </c>
      <c r="C1365" s="18" t="s">
        <v>21</v>
      </c>
      <c r="D1365" s="19">
        <v>44885</v>
      </c>
      <c r="E1365" s="20">
        <v>45510</v>
      </c>
      <c r="F1365" s="21">
        <v>33713.599999999999</v>
      </c>
      <c r="G1365" s="21">
        <v>11772.8</v>
      </c>
      <c r="H1365" s="21">
        <v>1382.4</v>
      </c>
      <c r="I1365" s="18">
        <v>1813.5360000000001</v>
      </c>
      <c r="J1365" s="18">
        <v>3862.8960000000002</v>
      </c>
      <c r="K1365" s="18" t="s">
        <v>65</v>
      </c>
      <c r="L1365" s="18" t="s">
        <v>35</v>
      </c>
      <c r="M1365" s="18" t="s">
        <v>32</v>
      </c>
      <c r="N1365" s="22">
        <f t="shared" si="126"/>
        <v>0.34920032271842799</v>
      </c>
      <c r="O1365" s="22">
        <f t="shared" si="127"/>
        <v>0.11742321282957301</v>
      </c>
      <c r="P1365" s="23">
        <f t="shared" si="128"/>
        <v>0.15404457733079599</v>
      </c>
      <c r="Q1365" s="23">
        <f t="shared" si="129"/>
        <v>1.3118749999999999</v>
      </c>
      <c r="R1365" s="22">
        <f t="shared" si="130"/>
        <v>1.13003546662432</v>
      </c>
      <c r="S1365" s="22">
        <f t="shared" si="131"/>
        <v>2.13003546662432</v>
      </c>
    </row>
    <row r="1366" spans="1:19">
      <c r="A1366" s="18" t="s">
        <v>1405</v>
      </c>
      <c r="B1366" s="18" t="s">
        <v>34</v>
      </c>
      <c r="C1366" s="18" t="s">
        <v>41</v>
      </c>
      <c r="D1366" s="19">
        <v>44747</v>
      </c>
      <c r="E1366" s="20">
        <v>45362</v>
      </c>
      <c r="F1366" s="21">
        <v>74907.199999999997</v>
      </c>
      <c r="G1366" s="21">
        <v>43456</v>
      </c>
      <c r="H1366" s="21">
        <v>15606.4</v>
      </c>
      <c r="I1366" s="18">
        <v>5487.5680000000002</v>
      </c>
      <c r="J1366" s="18">
        <v>19042.784</v>
      </c>
      <c r="K1366" s="18" t="s">
        <v>22</v>
      </c>
      <c r="L1366" s="18" t="s">
        <v>31</v>
      </c>
      <c r="M1366" s="18" t="s">
        <v>32</v>
      </c>
      <c r="N1366" s="22">
        <f t="shared" si="126"/>
        <v>0.58013114894162399</v>
      </c>
      <c r="O1366" s="22">
        <f t="shared" si="127"/>
        <v>0.359131075110457</v>
      </c>
      <c r="P1366" s="23">
        <f t="shared" si="128"/>
        <v>0.126278718703976</v>
      </c>
      <c r="Q1366" s="23">
        <f t="shared" si="129"/>
        <v>0.35162292392864503</v>
      </c>
      <c r="R1366" s="22">
        <f t="shared" si="130"/>
        <v>2.4701682056604999</v>
      </c>
      <c r="S1366" s="22">
        <f t="shared" si="131"/>
        <v>3.4701682056604999</v>
      </c>
    </row>
    <row r="1367" spans="1:19">
      <c r="A1367" s="18" t="s">
        <v>1406</v>
      </c>
      <c r="B1367" s="18" t="s">
        <v>20</v>
      </c>
      <c r="C1367" s="18" t="s">
        <v>29</v>
      </c>
      <c r="D1367" s="19">
        <v>44839</v>
      </c>
      <c r="E1367" s="20">
        <v>45446</v>
      </c>
      <c r="F1367" s="21">
        <v>24470.400000000001</v>
      </c>
      <c r="G1367" s="21">
        <v>10801.6</v>
      </c>
      <c r="H1367" s="21">
        <v>10248</v>
      </c>
      <c r="I1367" s="18">
        <v>3958.0160000000001</v>
      </c>
      <c r="J1367" s="18">
        <v>7905.5360000000001</v>
      </c>
      <c r="K1367" s="18" t="s">
        <v>22</v>
      </c>
      <c r="L1367" s="18" t="s">
        <v>35</v>
      </c>
      <c r="M1367" s="18" t="s">
        <v>32</v>
      </c>
      <c r="N1367" s="22">
        <f t="shared" si="126"/>
        <v>0.44141493396102999</v>
      </c>
      <c r="O1367" s="22">
        <f t="shared" si="127"/>
        <v>0.94874833358021005</v>
      </c>
      <c r="P1367" s="23">
        <f t="shared" si="128"/>
        <v>0.36642867723300199</v>
      </c>
      <c r="Q1367" s="23">
        <f t="shared" si="129"/>
        <v>0.38622326307572202</v>
      </c>
      <c r="R1367" s="22">
        <f t="shared" si="130"/>
        <v>0.99734816635405199</v>
      </c>
      <c r="S1367" s="22">
        <f t="shared" si="131"/>
        <v>1.99734816635405</v>
      </c>
    </row>
    <row r="1368" spans="1:19">
      <c r="A1368" s="18" t="s">
        <v>1407</v>
      </c>
      <c r="B1368" s="18" t="s">
        <v>20</v>
      </c>
      <c r="C1368" s="18" t="s">
        <v>29</v>
      </c>
      <c r="D1368" s="19">
        <v>44970</v>
      </c>
      <c r="E1368" s="20">
        <v>45574</v>
      </c>
      <c r="F1368" s="21">
        <v>73718.399999999994</v>
      </c>
      <c r="G1368" s="21">
        <v>16784</v>
      </c>
      <c r="H1368" s="21">
        <v>4352</v>
      </c>
      <c r="I1368" s="18">
        <v>6532.2719999999999</v>
      </c>
      <c r="J1368" s="18">
        <v>15040.976000000001</v>
      </c>
      <c r="K1368" s="18" t="s">
        <v>43</v>
      </c>
      <c r="L1368" s="18" t="s">
        <v>35</v>
      </c>
      <c r="M1368" s="18" t="s">
        <v>24</v>
      </c>
      <c r="N1368" s="22">
        <f t="shared" si="126"/>
        <v>0.22767721491513701</v>
      </c>
      <c r="O1368" s="22">
        <f t="shared" si="127"/>
        <v>0.259294566253575</v>
      </c>
      <c r="P1368" s="23">
        <f t="shared" si="128"/>
        <v>0.38919637750238301</v>
      </c>
      <c r="Q1368" s="23">
        <f t="shared" si="129"/>
        <v>1.5009816176470601</v>
      </c>
      <c r="R1368" s="22">
        <f t="shared" si="130"/>
        <v>1.3025642532950299</v>
      </c>
      <c r="S1368" s="22">
        <f t="shared" si="131"/>
        <v>2.3025642532950301</v>
      </c>
    </row>
    <row r="1369" spans="1:19">
      <c r="A1369" s="18" t="s">
        <v>1408</v>
      </c>
      <c r="B1369" s="18" t="s">
        <v>28</v>
      </c>
      <c r="C1369" s="18" t="s">
        <v>29</v>
      </c>
      <c r="D1369" s="19">
        <v>44817</v>
      </c>
      <c r="E1369" s="20">
        <v>45436</v>
      </c>
      <c r="F1369" s="21">
        <v>40833.599999999999</v>
      </c>
      <c r="G1369" s="21">
        <v>28204.799999999999</v>
      </c>
      <c r="H1369" s="21">
        <v>13068.8</v>
      </c>
      <c r="I1369" s="18">
        <v>387.87200000000001</v>
      </c>
      <c r="J1369" s="18">
        <v>1273.088</v>
      </c>
      <c r="K1369" s="18" t="s">
        <v>30</v>
      </c>
      <c r="L1369" s="18" t="s">
        <v>50</v>
      </c>
      <c r="M1369" s="18" t="s">
        <v>32</v>
      </c>
      <c r="N1369" s="22">
        <f t="shared" si="126"/>
        <v>0.69072528505936304</v>
      </c>
      <c r="O1369" s="22">
        <f t="shared" si="127"/>
        <v>0.46335375538915402</v>
      </c>
      <c r="P1369" s="23">
        <f t="shared" si="128"/>
        <v>1.3751985477649199E-2</v>
      </c>
      <c r="Q1369" s="23">
        <f t="shared" si="129"/>
        <v>2.9679236043095001E-2</v>
      </c>
      <c r="R1369" s="22">
        <f t="shared" si="130"/>
        <v>2.2822374391551801</v>
      </c>
      <c r="S1369" s="22">
        <f t="shared" si="131"/>
        <v>3.2822374391551801</v>
      </c>
    </row>
    <row r="1370" spans="1:19">
      <c r="A1370" s="18" t="s">
        <v>1409</v>
      </c>
      <c r="B1370" s="18" t="s">
        <v>34</v>
      </c>
      <c r="C1370" s="18" t="s">
        <v>29</v>
      </c>
      <c r="D1370" s="19">
        <v>44721</v>
      </c>
      <c r="E1370" s="20">
        <v>45336</v>
      </c>
      <c r="F1370" s="21">
        <v>11558.4</v>
      </c>
      <c r="G1370" s="21">
        <v>448</v>
      </c>
      <c r="H1370" s="21">
        <v>176</v>
      </c>
      <c r="I1370" s="18">
        <v>652.89599999999996</v>
      </c>
      <c r="J1370" s="18">
        <v>1692.5119999999999</v>
      </c>
      <c r="K1370" s="18" t="s">
        <v>38</v>
      </c>
      <c r="L1370" s="18" t="s">
        <v>44</v>
      </c>
      <c r="M1370" s="18" t="s">
        <v>32</v>
      </c>
      <c r="N1370" s="22">
        <f t="shared" si="126"/>
        <v>3.8759689922480599E-2</v>
      </c>
      <c r="O1370" s="22">
        <f t="shared" si="127"/>
        <v>0.39285714285714302</v>
      </c>
      <c r="P1370" s="23">
        <f t="shared" si="128"/>
        <v>1.4573571428571399</v>
      </c>
      <c r="Q1370" s="23">
        <f t="shared" si="129"/>
        <v>3.7096363636363598</v>
      </c>
      <c r="R1370" s="22">
        <f t="shared" si="130"/>
        <v>1.5923148556584801</v>
      </c>
      <c r="S1370" s="22">
        <f t="shared" si="131"/>
        <v>2.5923148556584801</v>
      </c>
    </row>
    <row r="1371" spans="1:19">
      <c r="A1371" s="18" t="s">
        <v>1410</v>
      </c>
      <c r="B1371" s="18" t="s">
        <v>40</v>
      </c>
      <c r="C1371" s="18" t="s">
        <v>21</v>
      </c>
      <c r="D1371" s="19">
        <v>44744</v>
      </c>
      <c r="E1371" s="20">
        <v>45362</v>
      </c>
      <c r="F1371" s="21">
        <v>55401.599999999999</v>
      </c>
      <c r="G1371" s="21">
        <v>12969.6</v>
      </c>
      <c r="H1371" s="21">
        <v>12598.4</v>
      </c>
      <c r="I1371" s="18">
        <v>3355.4720000000002</v>
      </c>
      <c r="J1371" s="18">
        <v>11472.111999999999</v>
      </c>
      <c r="K1371" s="18" t="s">
        <v>22</v>
      </c>
      <c r="L1371" s="18" t="s">
        <v>50</v>
      </c>
      <c r="M1371" s="18" t="s">
        <v>24</v>
      </c>
      <c r="N1371" s="22">
        <f t="shared" si="126"/>
        <v>0.234101542193727</v>
      </c>
      <c r="O1371" s="22">
        <f t="shared" si="127"/>
        <v>0.97137922526523601</v>
      </c>
      <c r="P1371" s="23">
        <f t="shared" si="128"/>
        <v>0.258718233407353</v>
      </c>
      <c r="Q1371" s="23">
        <f t="shared" si="129"/>
        <v>0.26634112268224502</v>
      </c>
      <c r="R1371" s="22">
        <f t="shared" si="130"/>
        <v>2.4189264580363101</v>
      </c>
      <c r="S1371" s="22">
        <f t="shared" si="131"/>
        <v>3.4189264580363101</v>
      </c>
    </row>
    <row r="1372" spans="1:19">
      <c r="A1372" s="18" t="s">
        <v>1411</v>
      </c>
      <c r="B1372" s="18" t="s">
        <v>26</v>
      </c>
      <c r="C1372" s="18" t="s">
        <v>29</v>
      </c>
      <c r="D1372" s="19">
        <v>44972</v>
      </c>
      <c r="E1372" s="20">
        <v>45578</v>
      </c>
      <c r="F1372" s="21">
        <v>60132.800000000003</v>
      </c>
      <c r="G1372" s="21">
        <v>30747.200000000001</v>
      </c>
      <c r="H1372" s="21">
        <v>3438.4</v>
      </c>
      <c r="I1372" s="18">
        <v>1873.664</v>
      </c>
      <c r="J1372" s="18">
        <v>6192.9920000000002</v>
      </c>
      <c r="K1372" s="18" t="s">
        <v>65</v>
      </c>
      <c r="L1372" s="18" t="s">
        <v>35</v>
      </c>
      <c r="M1372" s="18" t="s">
        <v>24</v>
      </c>
      <c r="N1372" s="22">
        <f t="shared" si="126"/>
        <v>0.51132160817390804</v>
      </c>
      <c r="O1372" s="22">
        <f t="shared" si="127"/>
        <v>0.11182806889733</v>
      </c>
      <c r="P1372" s="23">
        <f t="shared" si="128"/>
        <v>6.0937711401363399E-2</v>
      </c>
      <c r="Q1372" s="23">
        <f t="shared" si="129"/>
        <v>0.54492322010237304</v>
      </c>
      <c r="R1372" s="22">
        <f t="shared" si="130"/>
        <v>2.3052841918294802</v>
      </c>
      <c r="S1372" s="22">
        <f t="shared" si="131"/>
        <v>3.3052841918294802</v>
      </c>
    </row>
    <row r="1373" spans="1:19">
      <c r="A1373" s="18" t="s">
        <v>1412</v>
      </c>
      <c r="B1373" s="18" t="s">
        <v>40</v>
      </c>
      <c r="C1373" s="18" t="s">
        <v>21</v>
      </c>
      <c r="D1373" s="19">
        <v>44703</v>
      </c>
      <c r="E1373" s="20">
        <v>45332</v>
      </c>
      <c r="F1373" s="21">
        <v>59014.400000000001</v>
      </c>
      <c r="G1373" s="21">
        <v>56057.599999999999</v>
      </c>
      <c r="H1373" s="21">
        <v>15510.4</v>
      </c>
      <c r="I1373" s="18">
        <v>4527.8720000000003</v>
      </c>
      <c r="J1373" s="18">
        <v>13292.832</v>
      </c>
      <c r="K1373" s="18" t="s">
        <v>43</v>
      </c>
      <c r="L1373" s="18" t="s">
        <v>44</v>
      </c>
      <c r="M1373" s="18" t="s">
        <v>32</v>
      </c>
      <c r="N1373" s="22">
        <f t="shared" si="126"/>
        <v>0.94989697429779796</v>
      </c>
      <c r="O1373" s="22">
        <f t="shared" si="127"/>
        <v>0.27668683639684899</v>
      </c>
      <c r="P1373" s="23">
        <f t="shared" si="128"/>
        <v>8.0771777600182698E-2</v>
      </c>
      <c r="Q1373" s="23">
        <f t="shared" si="129"/>
        <v>0.291924902001238</v>
      </c>
      <c r="R1373" s="22">
        <f t="shared" si="130"/>
        <v>1.9357791032962099</v>
      </c>
      <c r="S1373" s="22">
        <f t="shared" si="131"/>
        <v>2.9357791032962099</v>
      </c>
    </row>
    <row r="1374" spans="1:19">
      <c r="A1374" s="18" t="s">
        <v>1413</v>
      </c>
      <c r="B1374" s="18" t="s">
        <v>40</v>
      </c>
      <c r="C1374" s="18" t="s">
        <v>21</v>
      </c>
      <c r="D1374" s="19">
        <v>44697</v>
      </c>
      <c r="E1374" s="20">
        <v>45304</v>
      </c>
      <c r="F1374" s="21">
        <v>14761.6</v>
      </c>
      <c r="G1374" s="21">
        <v>10020.799999999999</v>
      </c>
      <c r="H1374" s="21">
        <v>2486.4</v>
      </c>
      <c r="I1374" s="18">
        <v>1304.768</v>
      </c>
      <c r="J1374" s="18">
        <v>5166.16</v>
      </c>
      <c r="K1374" s="18" t="s">
        <v>65</v>
      </c>
      <c r="L1374" s="18" t="s">
        <v>35</v>
      </c>
      <c r="M1374" s="18" t="s">
        <v>32</v>
      </c>
      <c r="N1374" s="22">
        <f t="shared" si="126"/>
        <v>0.67884240190765199</v>
      </c>
      <c r="O1374" s="22">
        <f t="shared" si="127"/>
        <v>0.24812390228325101</v>
      </c>
      <c r="P1374" s="23">
        <f t="shared" si="128"/>
        <v>0.13020597157911501</v>
      </c>
      <c r="Q1374" s="23">
        <f t="shared" si="129"/>
        <v>0.52476190476190498</v>
      </c>
      <c r="R1374" s="22">
        <f t="shared" si="130"/>
        <v>2.95944719674302</v>
      </c>
      <c r="S1374" s="22">
        <f t="shared" si="131"/>
        <v>3.95944719674302</v>
      </c>
    </row>
    <row r="1375" spans="1:19">
      <c r="A1375" s="18" t="s">
        <v>1414</v>
      </c>
      <c r="B1375" s="18" t="s">
        <v>47</v>
      </c>
      <c r="C1375" s="18" t="s">
        <v>41</v>
      </c>
      <c r="D1375" s="19">
        <v>44892</v>
      </c>
      <c r="E1375" s="20">
        <v>45496</v>
      </c>
      <c r="F1375" s="21">
        <v>45928</v>
      </c>
      <c r="G1375" s="21">
        <v>13681.6</v>
      </c>
      <c r="H1375" s="21">
        <v>675.2</v>
      </c>
      <c r="I1375" s="18">
        <v>665.2</v>
      </c>
      <c r="J1375" s="18">
        <v>1101.5840000000001</v>
      </c>
      <c r="K1375" s="18" t="s">
        <v>43</v>
      </c>
      <c r="L1375" s="18" t="s">
        <v>31</v>
      </c>
      <c r="M1375" s="18" t="s">
        <v>32</v>
      </c>
      <c r="N1375" s="22">
        <f t="shared" si="126"/>
        <v>0.297892353248563</v>
      </c>
      <c r="O1375" s="22">
        <f t="shared" si="127"/>
        <v>4.9350953104900001E-2</v>
      </c>
      <c r="P1375" s="23">
        <f t="shared" si="128"/>
        <v>4.8620044439246897E-2</v>
      </c>
      <c r="Q1375" s="23">
        <f t="shared" si="129"/>
        <v>0.98518957345971603</v>
      </c>
      <c r="R1375" s="22">
        <f t="shared" si="130"/>
        <v>0.65601924233313302</v>
      </c>
      <c r="S1375" s="22">
        <f t="shared" si="131"/>
        <v>1.6560192423331299</v>
      </c>
    </row>
    <row r="1376" spans="1:19">
      <c r="A1376" s="18" t="s">
        <v>1415</v>
      </c>
      <c r="B1376" s="18" t="s">
        <v>40</v>
      </c>
      <c r="C1376" s="18" t="s">
        <v>29</v>
      </c>
      <c r="D1376" s="19">
        <v>44902</v>
      </c>
      <c r="E1376" s="20">
        <v>45503</v>
      </c>
      <c r="F1376" s="21">
        <v>20900.8</v>
      </c>
      <c r="G1376" s="21">
        <v>4796.8</v>
      </c>
      <c r="H1376" s="21">
        <v>2985.6</v>
      </c>
      <c r="I1376" s="18">
        <v>6360.08</v>
      </c>
      <c r="J1376" s="18">
        <v>15467.183999999999</v>
      </c>
      <c r="K1376" s="18" t="s">
        <v>43</v>
      </c>
      <c r="L1376" s="18" t="s">
        <v>50</v>
      </c>
      <c r="M1376" s="18" t="s">
        <v>32</v>
      </c>
      <c r="N1376" s="22">
        <f t="shared" si="126"/>
        <v>0.22950317691188901</v>
      </c>
      <c r="O1376" s="22">
        <f t="shared" si="127"/>
        <v>0.62241494329553004</v>
      </c>
      <c r="P1376" s="23">
        <f t="shared" si="128"/>
        <v>1.32590060040027</v>
      </c>
      <c r="Q1376" s="23">
        <f t="shared" si="129"/>
        <v>2.1302518756698801</v>
      </c>
      <c r="R1376" s="22">
        <f t="shared" si="130"/>
        <v>1.4319165796656601</v>
      </c>
      <c r="S1376" s="22">
        <f t="shared" si="131"/>
        <v>2.4319165796656601</v>
      </c>
    </row>
    <row r="1377" spans="1:19">
      <c r="A1377" s="18" t="s">
        <v>1416</v>
      </c>
      <c r="B1377" s="18" t="s">
        <v>20</v>
      </c>
      <c r="C1377" s="18" t="s">
        <v>29</v>
      </c>
      <c r="D1377" s="19">
        <v>44866</v>
      </c>
      <c r="E1377" s="20">
        <v>45470</v>
      </c>
      <c r="F1377" s="21">
        <v>36185.599999999999</v>
      </c>
      <c r="G1377" s="21">
        <v>20883.2</v>
      </c>
      <c r="H1377" s="21">
        <v>6584</v>
      </c>
      <c r="I1377" s="18">
        <v>827.93600000000004</v>
      </c>
      <c r="J1377" s="18">
        <v>3026.9760000000001</v>
      </c>
      <c r="K1377" s="18" t="s">
        <v>38</v>
      </c>
      <c r="L1377" s="18" t="s">
        <v>50</v>
      </c>
      <c r="M1377" s="18" t="s">
        <v>32</v>
      </c>
      <c r="N1377" s="22">
        <f t="shared" si="126"/>
        <v>0.57711354793066905</v>
      </c>
      <c r="O1377" s="22">
        <f t="shared" si="127"/>
        <v>0.31527735212994201</v>
      </c>
      <c r="P1377" s="23">
        <f t="shared" si="128"/>
        <v>3.9646031259577101E-2</v>
      </c>
      <c r="Q1377" s="23">
        <f t="shared" si="129"/>
        <v>0.12574969623329299</v>
      </c>
      <c r="R1377" s="22">
        <f t="shared" si="130"/>
        <v>2.6560507092335599</v>
      </c>
      <c r="S1377" s="22">
        <f t="shared" si="131"/>
        <v>3.6560507092335599</v>
      </c>
    </row>
    <row r="1378" spans="1:19">
      <c r="A1378" s="18" t="s">
        <v>1417</v>
      </c>
      <c r="B1378" s="18" t="s">
        <v>26</v>
      </c>
      <c r="C1378" s="18" t="s">
        <v>29</v>
      </c>
      <c r="D1378" s="19">
        <v>44902</v>
      </c>
      <c r="E1378" s="20">
        <v>45521</v>
      </c>
      <c r="F1378" s="21">
        <v>16763.2</v>
      </c>
      <c r="G1378" s="21">
        <v>4920</v>
      </c>
      <c r="H1378" s="21">
        <v>4307.2</v>
      </c>
      <c r="I1378" s="18">
        <v>1266.2719999999999</v>
      </c>
      <c r="J1378" s="18">
        <v>3074.6559999999999</v>
      </c>
      <c r="K1378" s="18" t="s">
        <v>43</v>
      </c>
      <c r="L1378" s="18" t="s">
        <v>31</v>
      </c>
      <c r="M1378" s="18" t="s">
        <v>24</v>
      </c>
      <c r="N1378" s="22">
        <f t="shared" si="126"/>
        <v>0.29350004772358501</v>
      </c>
      <c r="O1378" s="22">
        <f t="shared" si="127"/>
        <v>0.87544715447154497</v>
      </c>
      <c r="P1378" s="23">
        <f t="shared" si="128"/>
        <v>0.25737235772357703</v>
      </c>
      <c r="Q1378" s="23">
        <f t="shared" si="129"/>
        <v>0.293989598811293</v>
      </c>
      <c r="R1378" s="22">
        <f t="shared" si="130"/>
        <v>1.42811654999874</v>
      </c>
      <c r="S1378" s="22">
        <f t="shared" si="131"/>
        <v>2.42811654999874</v>
      </c>
    </row>
    <row r="1379" spans="1:19">
      <c r="A1379" s="18" t="s">
        <v>1418</v>
      </c>
      <c r="B1379" s="18" t="s">
        <v>34</v>
      </c>
      <c r="C1379" s="18" t="s">
        <v>21</v>
      </c>
      <c r="D1379" s="19">
        <v>44909</v>
      </c>
      <c r="E1379" s="20">
        <v>45515</v>
      </c>
      <c r="F1379" s="21">
        <v>46841.599999999999</v>
      </c>
      <c r="G1379" s="21">
        <v>18835.2</v>
      </c>
      <c r="H1379" s="21">
        <v>15960</v>
      </c>
      <c r="I1379" s="18">
        <v>3335.12</v>
      </c>
      <c r="J1379" s="18">
        <v>11191.52</v>
      </c>
      <c r="K1379" s="18" t="s">
        <v>38</v>
      </c>
      <c r="L1379" s="18" t="s">
        <v>44</v>
      </c>
      <c r="M1379" s="18" t="s">
        <v>32</v>
      </c>
      <c r="N1379" s="22">
        <f t="shared" si="126"/>
        <v>0.402104112583686</v>
      </c>
      <c r="O1379" s="22">
        <f t="shared" si="127"/>
        <v>0.84734964322120299</v>
      </c>
      <c r="P1379" s="23">
        <f t="shared" si="128"/>
        <v>0.17706846755011901</v>
      </c>
      <c r="Q1379" s="23">
        <f t="shared" si="129"/>
        <v>0.208967418546366</v>
      </c>
      <c r="R1379" s="22">
        <f t="shared" si="130"/>
        <v>2.3556573676509398</v>
      </c>
      <c r="S1379" s="22">
        <f t="shared" si="131"/>
        <v>3.3556573676509398</v>
      </c>
    </row>
    <row r="1380" spans="1:19">
      <c r="A1380" s="18" t="s">
        <v>1419</v>
      </c>
      <c r="B1380" s="18" t="s">
        <v>28</v>
      </c>
      <c r="C1380" s="18" t="s">
        <v>48</v>
      </c>
      <c r="D1380" s="19">
        <v>44807</v>
      </c>
      <c r="E1380" s="20">
        <v>45429</v>
      </c>
      <c r="F1380" s="21">
        <v>72811.199999999997</v>
      </c>
      <c r="G1380" s="21">
        <v>31665.599999999999</v>
      </c>
      <c r="H1380" s="21">
        <v>5057.6000000000004</v>
      </c>
      <c r="I1380" s="18">
        <v>7782.6080000000002</v>
      </c>
      <c r="J1380" s="18">
        <v>27812.256000000001</v>
      </c>
      <c r="K1380" s="18" t="s">
        <v>30</v>
      </c>
      <c r="L1380" s="18" t="s">
        <v>50</v>
      </c>
      <c r="M1380" s="18" t="s">
        <v>24</v>
      </c>
      <c r="N1380" s="22">
        <f t="shared" si="126"/>
        <v>0.43490012525545502</v>
      </c>
      <c r="O1380" s="22">
        <f t="shared" si="127"/>
        <v>0.15971906422111101</v>
      </c>
      <c r="P1380" s="23">
        <f t="shared" si="128"/>
        <v>0.245774847152746</v>
      </c>
      <c r="Q1380" s="23">
        <f t="shared" si="129"/>
        <v>1.53879468522619</v>
      </c>
      <c r="R1380" s="22">
        <f t="shared" si="130"/>
        <v>2.5736421518339401</v>
      </c>
      <c r="S1380" s="22">
        <f t="shared" si="131"/>
        <v>3.5736421518339401</v>
      </c>
    </row>
    <row r="1381" spans="1:19">
      <c r="A1381" s="18" t="s">
        <v>1420</v>
      </c>
      <c r="B1381" s="18" t="s">
        <v>28</v>
      </c>
      <c r="C1381" s="18" t="s">
        <v>48</v>
      </c>
      <c r="D1381" s="19">
        <v>44713</v>
      </c>
      <c r="E1381" s="20">
        <v>45327</v>
      </c>
      <c r="F1381" s="21">
        <v>63577.599999999999</v>
      </c>
      <c r="G1381" s="21">
        <v>45974.400000000001</v>
      </c>
      <c r="H1381" s="21">
        <v>31947.200000000001</v>
      </c>
      <c r="I1381" s="18">
        <v>1129.136</v>
      </c>
      <c r="J1381" s="18">
        <v>2686.2240000000002</v>
      </c>
      <c r="K1381" s="18" t="s">
        <v>30</v>
      </c>
      <c r="L1381" s="18" t="s">
        <v>35</v>
      </c>
      <c r="M1381" s="18" t="s">
        <v>32</v>
      </c>
      <c r="N1381" s="22">
        <f t="shared" si="126"/>
        <v>0.72312260922085803</v>
      </c>
      <c r="O1381" s="22">
        <f t="shared" si="127"/>
        <v>0.69489106981276505</v>
      </c>
      <c r="P1381" s="23">
        <f t="shared" si="128"/>
        <v>2.4560103013851201E-2</v>
      </c>
      <c r="Q1381" s="23">
        <f t="shared" si="129"/>
        <v>3.53438172985426E-2</v>
      </c>
      <c r="R1381" s="22">
        <f t="shared" si="130"/>
        <v>1.3790083745447801</v>
      </c>
      <c r="S1381" s="22">
        <f t="shared" si="131"/>
        <v>2.3790083745447799</v>
      </c>
    </row>
    <row r="1382" spans="1:19">
      <c r="A1382" s="18" t="s">
        <v>1421</v>
      </c>
      <c r="B1382" s="18" t="s">
        <v>40</v>
      </c>
      <c r="C1382" s="18" t="s">
        <v>29</v>
      </c>
      <c r="D1382" s="19">
        <v>44938</v>
      </c>
      <c r="E1382" s="20">
        <v>45546</v>
      </c>
      <c r="F1382" s="21">
        <v>46452.800000000003</v>
      </c>
      <c r="G1382" s="21">
        <v>44832</v>
      </c>
      <c r="H1382" s="21">
        <v>11825.6</v>
      </c>
      <c r="I1382" s="18">
        <v>1331.424</v>
      </c>
      <c r="J1382" s="18">
        <v>2746.0639999999999</v>
      </c>
      <c r="K1382" s="18" t="s">
        <v>22</v>
      </c>
      <c r="L1382" s="18" t="s">
        <v>23</v>
      </c>
      <c r="M1382" s="18" t="s">
        <v>32</v>
      </c>
      <c r="N1382" s="22">
        <f t="shared" si="126"/>
        <v>0.96510866944511398</v>
      </c>
      <c r="O1382" s="22">
        <f t="shared" si="127"/>
        <v>0.26377587437544597</v>
      </c>
      <c r="P1382" s="23">
        <f t="shared" si="128"/>
        <v>2.9698072805139201E-2</v>
      </c>
      <c r="Q1382" s="23">
        <f t="shared" si="129"/>
        <v>0.112588283046949</v>
      </c>
      <c r="R1382" s="22">
        <f t="shared" si="130"/>
        <v>1.06250150215108</v>
      </c>
      <c r="S1382" s="22">
        <f t="shared" si="131"/>
        <v>2.06250150215108</v>
      </c>
    </row>
    <row r="1383" spans="1:19">
      <c r="A1383" s="18" t="s">
        <v>1422</v>
      </c>
      <c r="B1383" s="18" t="s">
        <v>20</v>
      </c>
      <c r="C1383" s="18" t="s">
        <v>29</v>
      </c>
      <c r="D1383" s="19">
        <v>44724</v>
      </c>
      <c r="E1383" s="20">
        <v>45326</v>
      </c>
      <c r="F1383" s="21">
        <v>58017.599999999999</v>
      </c>
      <c r="G1383" s="21">
        <v>9913.6</v>
      </c>
      <c r="H1383" s="21">
        <v>876.8</v>
      </c>
      <c r="I1383" s="18">
        <v>7812.0159999999996</v>
      </c>
      <c r="J1383" s="18">
        <v>16300.96</v>
      </c>
      <c r="K1383" s="18" t="s">
        <v>43</v>
      </c>
      <c r="L1383" s="18" t="s">
        <v>44</v>
      </c>
      <c r="M1383" s="18" t="s">
        <v>32</v>
      </c>
      <c r="N1383" s="22">
        <f t="shared" si="126"/>
        <v>0.17087228703014301</v>
      </c>
      <c r="O1383" s="22">
        <f t="shared" si="127"/>
        <v>8.8444157520981295E-2</v>
      </c>
      <c r="P1383" s="23">
        <f t="shared" si="128"/>
        <v>0.78801000645577801</v>
      </c>
      <c r="Q1383" s="23">
        <f t="shared" si="129"/>
        <v>8.9096897810218998</v>
      </c>
      <c r="R1383" s="22">
        <f t="shared" si="130"/>
        <v>1.0866521522741399</v>
      </c>
      <c r="S1383" s="22">
        <f t="shared" si="131"/>
        <v>2.0866521522741399</v>
      </c>
    </row>
    <row r="1384" spans="1:19">
      <c r="A1384" s="18" t="s">
        <v>1423</v>
      </c>
      <c r="B1384" s="18" t="s">
        <v>28</v>
      </c>
      <c r="C1384" s="18" t="s">
        <v>21</v>
      </c>
      <c r="D1384" s="19">
        <v>44910</v>
      </c>
      <c r="E1384" s="20">
        <v>45535</v>
      </c>
      <c r="F1384" s="21">
        <v>47728</v>
      </c>
      <c r="G1384" s="21">
        <v>2892.8</v>
      </c>
      <c r="H1384" s="21">
        <v>812.8</v>
      </c>
      <c r="I1384" s="18">
        <v>877.53599999999994</v>
      </c>
      <c r="J1384" s="18">
        <v>1562.848</v>
      </c>
      <c r="K1384" s="18" t="s">
        <v>22</v>
      </c>
      <c r="L1384" s="18" t="s">
        <v>44</v>
      </c>
      <c r="M1384" s="18" t="s">
        <v>32</v>
      </c>
      <c r="N1384" s="22">
        <f t="shared" si="126"/>
        <v>6.06101240362052E-2</v>
      </c>
      <c r="O1384" s="22">
        <f t="shared" si="127"/>
        <v>0.28097345132743401</v>
      </c>
      <c r="P1384" s="23">
        <f t="shared" si="128"/>
        <v>0.30335176991150398</v>
      </c>
      <c r="Q1384" s="23">
        <f t="shared" si="129"/>
        <v>1.0796456692913401</v>
      </c>
      <c r="R1384" s="22">
        <f t="shared" si="130"/>
        <v>0.78095029719578501</v>
      </c>
      <c r="S1384" s="22">
        <f t="shared" si="131"/>
        <v>1.78095029719578</v>
      </c>
    </row>
    <row r="1385" spans="1:19">
      <c r="A1385" s="18" t="s">
        <v>1424</v>
      </c>
      <c r="B1385" s="18" t="s">
        <v>28</v>
      </c>
      <c r="C1385" s="18" t="s">
        <v>29</v>
      </c>
      <c r="D1385" s="19">
        <v>44714</v>
      </c>
      <c r="E1385" s="20">
        <v>45321</v>
      </c>
      <c r="F1385" s="21">
        <v>54793.599999999999</v>
      </c>
      <c r="G1385" s="21">
        <v>17696</v>
      </c>
      <c r="H1385" s="21">
        <v>521.6</v>
      </c>
      <c r="I1385" s="18">
        <v>6088.48</v>
      </c>
      <c r="J1385" s="18">
        <v>19578.72</v>
      </c>
      <c r="K1385" s="18" t="s">
        <v>22</v>
      </c>
      <c r="L1385" s="18" t="s">
        <v>31</v>
      </c>
      <c r="M1385" s="18" t="s">
        <v>32</v>
      </c>
      <c r="N1385" s="22">
        <f t="shared" si="126"/>
        <v>0.322957425684751</v>
      </c>
      <c r="O1385" s="22">
        <f t="shared" si="127"/>
        <v>2.94755877034358E-2</v>
      </c>
      <c r="P1385" s="23">
        <f t="shared" si="128"/>
        <v>0.34405967450271202</v>
      </c>
      <c r="Q1385" s="23">
        <f t="shared" si="129"/>
        <v>11.672699386503099</v>
      </c>
      <c r="R1385" s="22">
        <f t="shared" si="130"/>
        <v>2.2156991564397002</v>
      </c>
      <c r="S1385" s="22">
        <f t="shared" si="131"/>
        <v>3.2156991564397002</v>
      </c>
    </row>
    <row r="1386" spans="1:19">
      <c r="A1386" s="18" t="s">
        <v>1425</v>
      </c>
      <c r="B1386" s="18" t="s">
        <v>47</v>
      </c>
      <c r="C1386" s="18" t="s">
        <v>41</v>
      </c>
      <c r="D1386" s="19">
        <v>44697</v>
      </c>
      <c r="E1386" s="20">
        <v>45299</v>
      </c>
      <c r="F1386" s="21">
        <v>68334.399999999994</v>
      </c>
      <c r="G1386" s="21">
        <v>12899.2</v>
      </c>
      <c r="H1386" s="21">
        <v>9849.6</v>
      </c>
      <c r="I1386" s="18">
        <v>2579.6640000000002</v>
      </c>
      <c r="J1386" s="18">
        <v>6179.36</v>
      </c>
      <c r="K1386" s="18" t="s">
        <v>22</v>
      </c>
      <c r="L1386" s="18" t="s">
        <v>35</v>
      </c>
      <c r="M1386" s="18" t="s">
        <v>32</v>
      </c>
      <c r="N1386" s="22">
        <f t="shared" si="126"/>
        <v>0.188765833899178</v>
      </c>
      <c r="O1386" s="22">
        <f t="shared" si="127"/>
        <v>0.76358223765814903</v>
      </c>
      <c r="P1386" s="23">
        <f t="shared" si="128"/>
        <v>0.19998635574299201</v>
      </c>
      <c r="Q1386" s="23">
        <f t="shared" si="129"/>
        <v>0.26190545808966897</v>
      </c>
      <c r="R1386" s="22">
        <f t="shared" si="130"/>
        <v>1.3954127359221999</v>
      </c>
      <c r="S1386" s="22">
        <f t="shared" si="131"/>
        <v>2.3954127359221999</v>
      </c>
    </row>
    <row r="1387" spans="1:19">
      <c r="A1387" s="18" t="s">
        <v>1426</v>
      </c>
      <c r="B1387" s="18" t="s">
        <v>20</v>
      </c>
      <c r="C1387" s="18" t="s">
        <v>21</v>
      </c>
      <c r="D1387" s="19">
        <v>44782</v>
      </c>
      <c r="E1387" s="20">
        <v>45384</v>
      </c>
      <c r="F1387" s="21">
        <v>28892.799999999999</v>
      </c>
      <c r="G1387" s="21">
        <v>25203.200000000001</v>
      </c>
      <c r="H1387" s="21">
        <v>13521.6</v>
      </c>
      <c r="I1387" s="18">
        <v>3058.768</v>
      </c>
      <c r="J1387" s="18">
        <v>9789.6319999999996</v>
      </c>
      <c r="K1387" s="18" t="s">
        <v>43</v>
      </c>
      <c r="L1387" s="18" t="s">
        <v>31</v>
      </c>
      <c r="M1387" s="18" t="s">
        <v>32</v>
      </c>
      <c r="N1387" s="22">
        <f t="shared" si="126"/>
        <v>0.87230036548898005</v>
      </c>
      <c r="O1387" s="22">
        <f t="shared" si="127"/>
        <v>0.53650330116810596</v>
      </c>
      <c r="P1387" s="23">
        <f t="shared" si="128"/>
        <v>0.121364271203657</v>
      </c>
      <c r="Q1387" s="23">
        <f t="shared" si="129"/>
        <v>0.22621346586202801</v>
      </c>
      <c r="R1387" s="22">
        <f t="shared" si="130"/>
        <v>2.2005147170364001</v>
      </c>
      <c r="S1387" s="22">
        <f t="shared" si="131"/>
        <v>3.2005147170364001</v>
      </c>
    </row>
    <row r="1388" spans="1:19">
      <c r="A1388" s="18" t="s">
        <v>1427</v>
      </c>
      <c r="B1388" s="18" t="s">
        <v>28</v>
      </c>
      <c r="C1388" s="18" t="s">
        <v>29</v>
      </c>
      <c r="D1388" s="19">
        <v>44885</v>
      </c>
      <c r="E1388" s="20">
        <v>45506</v>
      </c>
      <c r="F1388" s="21">
        <v>47393.599999999999</v>
      </c>
      <c r="G1388" s="21">
        <v>24086.400000000001</v>
      </c>
      <c r="H1388" s="21">
        <v>17899.2</v>
      </c>
      <c r="I1388" s="18">
        <v>2054.864</v>
      </c>
      <c r="J1388" s="18">
        <v>3219.6</v>
      </c>
      <c r="K1388" s="18" t="s">
        <v>65</v>
      </c>
      <c r="L1388" s="18" t="s">
        <v>31</v>
      </c>
      <c r="M1388" s="18" t="s">
        <v>24</v>
      </c>
      <c r="N1388" s="22">
        <f t="shared" si="126"/>
        <v>0.50822051922622502</v>
      </c>
      <c r="O1388" s="22">
        <f t="shared" si="127"/>
        <v>0.74312475089677199</v>
      </c>
      <c r="P1388" s="23">
        <f t="shared" si="128"/>
        <v>8.5312209379566906E-2</v>
      </c>
      <c r="Q1388" s="23">
        <f t="shared" si="129"/>
        <v>0.114802002324126</v>
      </c>
      <c r="R1388" s="22">
        <f t="shared" si="130"/>
        <v>0.56681902062618295</v>
      </c>
      <c r="S1388" s="22">
        <f t="shared" si="131"/>
        <v>1.5668190206261801</v>
      </c>
    </row>
    <row r="1389" spans="1:19">
      <c r="A1389" s="18" t="s">
        <v>1428</v>
      </c>
      <c r="B1389" s="18" t="s">
        <v>40</v>
      </c>
      <c r="C1389" s="18" t="s">
        <v>48</v>
      </c>
      <c r="D1389" s="19">
        <v>44835</v>
      </c>
      <c r="E1389" s="20">
        <v>45446</v>
      </c>
      <c r="F1389" s="21">
        <v>38424</v>
      </c>
      <c r="G1389" s="21">
        <v>27043.200000000001</v>
      </c>
      <c r="H1389" s="21">
        <v>1030.4000000000001</v>
      </c>
      <c r="I1389" s="18">
        <v>2574.5920000000001</v>
      </c>
      <c r="J1389" s="18">
        <v>3255.5039999999999</v>
      </c>
      <c r="K1389" s="18" t="s">
        <v>22</v>
      </c>
      <c r="L1389" s="18" t="s">
        <v>31</v>
      </c>
      <c r="M1389" s="18" t="s">
        <v>24</v>
      </c>
      <c r="N1389" s="22">
        <f t="shared" si="126"/>
        <v>0.70381011867582799</v>
      </c>
      <c r="O1389" s="22">
        <f t="shared" si="127"/>
        <v>3.8101999763341603E-2</v>
      </c>
      <c r="P1389" s="23">
        <f t="shared" si="128"/>
        <v>9.5202934563956898E-2</v>
      </c>
      <c r="Q1389" s="23">
        <f t="shared" si="129"/>
        <v>2.49863354037267</v>
      </c>
      <c r="R1389" s="22">
        <f t="shared" si="130"/>
        <v>0.264473749627125</v>
      </c>
      <c r="S1389" s="22">
        <f t="shared" si="131"/>
        <v>1.2644737496271301</v>
      </c>
    </row>
    <row r="1390" spans="1:19">
      <c r="A1390" s="18" t="s">
        <v>1429</v>
      </c>
      <c r="B1390" s="18" t="s">
        <v>28</v>
      </c>
      <c r="C1390" s="18" t="s">
        <v>21</v>
      </c>
      <c r="D1390" s="19">
        <v>44858</v>
      </c>
      <c r="E1390" s="20">
        <v>45473</v>
      </c>
      <c r="F1390" s="21">
        <v>67764.800000000003</v>
      </c>
      <c r="G1390" s="21">
        <v>3912</v>
      </c>
      <c r="H1390" s="21">
        <v>3107.2</v>
      </c>
      <c r="I1390" s="18">
        <v>5561.76</v>
      </c>
      <c r="J1390" s="18">
        <v>8589.2960000000003</v>
      </c>
      <c r="K1390" s="18" t="s">
        <v>38</v>
      </c>
      <c r="L1390" s="18" t="s">
        <v>23</v>
      </c>
      <c r="M1390" s="18" t="s">
        <v>24</v>
      </c>
      <c r="N1390" s="22">
        <f t="shared" si="126"/>
        <v>5.7729086487379899E-2</v>
      </c>
      <c r="O1390" s="22">
        <f t="shared" si="127"/>
        <v>0.79427402862985697</v>
      </c>
      <c r="P1390" s="23">
        <f t="shared" si="128"/>
        <v>1.4217177914110399</v>
      </c>
      <c r="Q1390" s="23">
        <f t="shared" si="129"/>
        <v>1.7899588053552999</v>
      </c>
      <c r="R1390" s="22">
        <f t="shared" si="130"/>
        <v>0.54434855153764306</v>
      </c>
      <c r="S1390" s="22">
        <f t="shared" si="131"/>
        <v>1.5443485515376401</v>
      </c>
    </row>
    <row r="1391" spans="1:19">
      <c r="A1391" s="18" t="s">
        <v>1430</v>
      </c>
      <c r="B1391" s="18" t="s">
        <v>40</v>
      </c>
      <c r="C1391" s="18" t="s">
        <v>21</v>
      </c>
      <c r="D1391" s="19">
        <v>44695</v>
      </c>
      <c r="E1391" s="20">
        <v>45311</v>
      </c>
      <c r="F1391" s="21">
        <v>77028.800000000003</v>
      </c>
      <c r="G1391" s="21">
        <v>43857.599999999999</v>
      </c>
      <c r="H1391" s="21">
        <v>12155.2</v>
      </c>
      <c r="I1391" s="18">
        <v>5007.0720000000001</v>
      </c>
      <c r="J1391" s="18">
        <v>13988.864</v>
      </c>
      <c r="K1391" s="18" t="s">
        <v>30</v>
      </c>
      <c r="L1391" s="18" t="s">
        <v>35</v>
      </c>
      <c r="M1391" s="18" t="s">
        <v>32</v>
      </c>
      <c r="N1391" s="22">
        <f t="shared" si="126"/>
        <v>0.56936626300812199</v>
      </c>
      <c r="O1391" s="22">
        <f t="shared" si="127"/>
        <v>0.27715150851847797</v>
      </c>
      <c r="P1391" s="23">
        <f t="shared" si="128"/>
        <v>0.11416657546240599</v>
      </c>
      <c r="Q1391" s="23">
        <f t="shared" si="129"/>
        <v>0.41192839278662602</v>
      </c>
      <c r="R1391" s="22">
        <f t="shared" si="130"/>
        <v>1.7938212192674701</v>
      </c>
      <c r="S1391" s="22">
        <f t="shared" si="131"/>
        <v>2.7938212192674698</v>
      </c>
    </row>
    <row r="1392" spans="1:19">
      <c r="A1392" s="18" t="s">
        <v>1431</v>
      </c>
      <c r="B1392" s="18" t="s">
        <v>26</v>
      </c>
      <c r="C1392" s="18" t="s">
        <v>41</v>
      </c>
      <c r="D1392" s="19">
        <v>44796</v>
      </c>
      <c r="E1392" s="20">
        <v>45423</v>
      </c>
      <c r="F1392" s="21">
        <v>76734.399999999994</v>
      </c>
      <c r="G1392" s="21">
        <v>22595.200000000001</v>
      </c>
      <c r="H1392" s="21">
        <v>5694.4</v>
      </c>
      <c r="I1392" s="18">
        <v>3038.944</v>
      </c>
      <c r="J1392" s="18">
        <v>6571.2479999999996</v>
      </c>
      <c r="K1392" s="18" t="s">
        <v>43</v>
      </c>
      <c r="L1392" s="18" t="s">
        <v>44</v>
      </c>
      <c r="M1392" s="18" t="s">
        <v>24</v>
      </c>
      <c r="N1392" s="22">
        <f t="shared" si="126"/>
        <v>0.29445985112283402</v>
      </c>
      <c r="O1392" s="22">
        <f t="shared" si="127"/>
        <v>0.252018127743946</v>
      </c>
      <c r="P1392" s="23">
        <f t="shared" si="128"/>
        <v>0.13449511400651501</v>
      </c>
      <c r="Q1392" s="23">
        <f t="shared" si="129"/>
        <v>0.53367237988198901</v>
      </c>
      <c r="R1392" s="22">
        <f t="shared" si="130"/>
        <v>1.1623458675118701</v>
      </c>
      <c r="S1392" s="22">
        <f t="shared" si="131"/>
        <v>2.1623458675118701</v>
      </c>
    </row>
    <row r="1393" spans="1:19">
      <c r="A1393" s="18" t="s">
        <v>1432</v>
      </c>
      <c r="B1393" s="18" t="s">
        <v>40</v>
      </c>
      <c r="C1393" s="18" t="s">
        <v>48</v>
      </c>
      <c r="D1393" s="19">
        <v>44936</v>
      </c>
      <c r="E1393" s="20">
        <v>45554</v>
      </c>
      <c r="F1393" s="21">
        <v>45400</v>
      </c>
      <c r="G1393" s="21">
        <v>40339.199999999997</v>
      </c>
      <c r="H1393" s="21">
        <v>23963.200000000001</v>
      </c>
      <c r="I1393" s="18">
        <v>4141.3919999999998</v>
      </c>
      <c r="J1393" s="18">
        <v>6255.36</v>
      </c>
      <c r="K1393" s="18" t="s">
        <v>65</v>
      </c>
      <c r="L1393" s="18" t="s">
        <v>50</v>
      </c>
      <c r="M1393" s="18" t="s">
        <v>32</v>
      </c>
      <c r="N1393" s="22">
        <f t="shared" si="126"/>
        <v>0.88852863436123297</v>
      </c>
      <c r="O1393" s="22">
        <f t="shared" si="127"/>
        <v>0.59404251943519004</v>
      </c>
      <c r="P1393" s="23">
        <f t="shared" si="128"/>
        <v>0.10266420752022801</v>
      </c>
      <c r="Q1393" s="23">
        <f t="shared" si="129"/>
        <v>0.17282299525939801</v>
      </c>
      <c r="R1393" s="22">
        <f t="shared" si="130"/>
        <v>0.51044866074015705</v>
      </c>
      <c r="S1393" s="22">
        <f t="shared" si="131"/>
        <v>1.5104486607401599</v>
      </c>
    </row>
    <row r="1394" spans="1:19">
      <c r="A1394" s="18" t="s">
        <v>1433</v>
      </c>
      <c r="B1394" s="18" t="s">
        <v>28</v>
      </c>
      <c r="C1394" s="18" t="s">
        <v>41</v>
      </c>
      <c r="D1394" s="19">
        <v>44743</v>
      </c>
      <c r="E1394" s="20">
        <v>45371</v>
      </c>
      <c r="F1394" s="21">
        <v>76708.800000000003</v>
      </c>
      <c r="G1394" s="21">
        <v>56822.400000000001</v>
      </c>
      <c r="H1394" s="21">
        <v>20892.8</v>
      </c>
      <c r="I1394" s="18">
        <v>446.49599999999998</v>
      </c>
      <c r="J1394" s="18">
        <v>1480.704</v>
      </c>
      <c r="K1394" s="18" t="s">
        <v>43</v>
      </c>
      <c r="L1394" s="18" t="s">
        <v>31</v>
      </c>
      <c r="M1394" s="18" t="s">
        <v>24</v>
      </c>
      <c r="N1394" s="22">
        <f t="shared" si="126"/>
        <v>0.74075464614229403</v>
      </c>
      <c r="O1394" s="22">
        <f t="shared" si="127"/>
        <v>0.36768598299262301</v>
      </c>
      <c r="P1394" s="23">
        <f t="shared" si="128"/>
        <v>7.8577462409190699E-3</v>
      </c>
      <c r="Q1394" s="23">
        <f t="shared" si="129"/>
        <v>2.13708071680196E-2</v>
      </c>
      <c r="R1394" s="22">
        <f t="shared" si="130"/>
        <v>2.31627606966244</v>
      </c>
      <c r="S1394" s="22">
        <f t="shared" si="131"/>
        <v>3.31627606966244</v>
      </c>
    </row>
    <row r="1395" spans="1:19">
      <c r="A1395" s="18" t="s">
        <v>1434</v>
      </c>
      <c r="B1395" s="18" t="s">
        <v>34</v>
      </c>
      <c r="C1395" s="18" t="s">
        <v>29</v>
      </c>
      <c r="D1395" s="19">
        <v>44792</v>
      </c>
      <c r="E1395" s="20">
        <v>45415</v>
      </c>
      <c r="F1395" s="21">
        <v>27548.799999999999</v>
      </c>
      <c r="G1395" s="21">
        <v>5611.2</v>
      </c>
      <c r="H1395" s="21">
        <v>5516.8</v>
      </c>
      <c r="I1395" s="18">
        <v>306.22399999999999</v>
      </c>
      <c r="J1395" s="18">
        <v>565.024</v>
      </c>
      <c r="K1395" s="18" t="s">
        <v>65</v>
      </c>
      <c r="L1395" s="18" t="s">
        <v>35</v>
      </c>
      <c r="M1395" s="18" t="s">
        <v>32</v>
      </c>
      <c r="N1395" s="22">
        <f t="shared" si="126"/>
        <v>0.20368219305378099</v>
      </c>
      <c r="O1395" s="22">
        <f t="shared" si="127"/>
        <v>0.98317650413458801</v>
      </c>
      <c r="P1395" s="23">
        <f t="shared" si="128"/>
        <v>5.4573709723410302E-2</v>
      </c>
      <c r="Q1395" s="23">
        <f t="shared" si="129"/>
        <v>5.55075406032483E-2</v>
      </c>
      <c r="R1395" s="22">
        <f t="shared" si="130"/>
        <v>0.84513297455457403</v>
      </c>
      <c r="S1395" s="22">
        <f t="shared" si="131"/>
        <v>1.8451329745545699</v>
      </c>
    </row>
    <row r="1396" spans="1:19">
      <c r="A1396" s="18" t="s">
        <v>1435</v>
      </c>
      <c r="B1396" s="18" t="s">
        <v>28</v>
      </c>
      <c r="C1396" s="18" t="s">
        <v>41</v>
      </c>
      <c r="D1396" s="19">
        <v>44826</v>
      </c>
      <c r="E1396" s="20">
        <v>45456</v>
      </c>
      <c r="F1396" s="21">
        <v>55094.400000000001</v>
      </c>
      <c r="G1396" s="21">
        <v>33321.599999999999</v>
      </c>
      <c r="H1396" s="21">
        <v>31729.599999999999</v>
      </c>
      <c r="I1396" s="18">
        <v>6815.6319999999996</v>
      </c>
      <c r="J1396" s="18">
        <v>12344.8</v>
      </c>
      <c r="K1396" s="18" t="s">
        <v>38</v>
      </c>
      <c r="L1396" s="18" t="s">
        <v>44</v>
      </c>
      <c r="M1396" s="18" t="s">
        <v>32</v>
      </c>
      <c r="N1396" s="22">
        <f t="shared" si="126"/>
        <v>0.60480920020909601</v>
      </c>
      <c r="O1396" s="22">
        <f t="shared" si="127"/>
        <v>0.95222318256026095</v>
      </c>
      <c r="P1396" s="23">
        <f t="shared" si="128"/>
        <v>0.204540958417363</v>
      </c>
      <c r="Q1396" s="23">
        <f t="shared" si="129"/>
        <v>0.214803590338359</v>
      </c>
      <c r="R1396" s="22">
        <f t="shared" si="130"/>
        <v>0.811248025128117</v>
      </c>
      <c r="S1396" s="22">
        <f t="shared" si="131"/>
        <v>1.81124802512812</v>
      </c>
    </row>
    <row r="1397" spans="1:19">
      <c r="A1397" s="18" t="s">
        <v>1436</v>
      </c>
      <c r="B1397" s="18" t="s">
        <v>40</v>
      </c>
      <c r="C1397" s="18" t="s">
        <v>21</v>
      </c>
      <c r="D1397" s="19">
        <v>44802</v>
      </c>
      <c r="E1397" s="20">
        <v>45430</v>
      </c>
      <c r="F1397" s="21">
        <v>79515.199999999997</v>
      </c>
      <c r="G1397" s="21">
        <v>23324.799999999999</v>
      </c>
      <c r="H1397" s="21">
        <v>5603.2</v>
      </c>
      <c r="I1397" s="18">
        <v>7847.8559999999998</v>
      </c>
      <c r="J1397" s="18">
        <v>9651.4240000000009</v>
      </c>
      <c r="K1397" s="18" t="s">
        <v>38</v>
      </c>
      <c r="L1397" s="18" t="s">
        <v>31</v>
      </c>
      <c r="M1397" s="18" t="s">
        <v>24</v>
      </c>
      <c r="N1397" s="22">
        <f t="shared" si="126"/>
        <v>0.29333762601364299</v>
      </c>
      <c r="O1397" s="22">
        <f t="shared" si="127"/>
        <v>0.24022499657017399</v>
      </c>
      <c r="P1397" s="23">
        <f t="shared" si="128"/>
        <v>0.33645973384552103</v>
      </c>
      <c r="Q1397" s="23">
        <f t="shared" si="129"/>
        <v>1.4006025128498001</v>
      </c>
      <c r="R1397" s="22">
        <f t="shared" si="130"/>
        <v>0.22981665310882399</v>
      </c>
      <c r="S1397" s="22">
        <f t="shared" si="131"/>
        <v>1.2298166531088199</v>
      </c>
    </row>
    <row r="1398" spans="1:19">
      <c r="A1398" s="18" t="s">
        <v>1437</v>
      </c>
      <c r="B1398" s="18" t="s">
        <v>40</v>
      </c>
      <c r="C1398" s="18" t="s">
        <v>41</v>
      </c>
      <c r="D1398" s="19">
        <v>44791</v>
      </c>
      <c r="E1398" s="20">
        <v>45405</v>
      </c>
      <c r="F1398" s="21">
        <v>68536</v>
      </c>
      <c r="G1398" s="21">
        <v>62372.800000000003</v>
      </c>
      <c r="H1398" s="21">
        <v>1566.4</v>
      </c>
      <c r="I1398" s="18">
        <v>768.56</v>
      </c>
      <c r="J1398" s="18">
        <v>2287.1999999999998</v>
      </c>
      <c r="K1398" s="18" t="s">
        <v>43</v>
      </c>
      <c r="L1398" s="18" t="s">
        <v>44</v>
      </c>
      <c r="M1398" s="18" t="s">
        <v>24</v>
      </c>
      <c r="N1398" s="22">
        <f t="shared" si="126"/>
        <v>0.91007353799463098</v>
      </c>
      <c r="O1398" s="22">
        <f t="shared" si="127"/>
        <v>2.5113511017623099E-2</v>
      </c>
      <c r="P1398" s="23">
        <f t="shared" si="128"/>
        <v>1.23220378113537E-2</v>
      </c>
      <c r="Q1398" s="23">
        <f t="shared" si="129"/>
        <v>0.49065372829417803</v>
      </c>
      <c r="R1398" s="22">
        <f t="shared" si="130"/>
        <v>1.97595503278859</v>
      </c>
      <c r="S1398" s="22">
        <f t="shared" si="131"/>
        <v>2.97595503278859</v>
      </c>
    </row>
    <row r="1399" spans="1:19">
      <c r="A1399" s="18" t="s">
        <v>1438</v>
      </c>
      <c r="B1399" s="18" t="s">
        <v>47</v>
      </c>
      <c r="C1399" s="18" t="s">
        <v>41</v>
      </c>
      <c r="D1399" s="19">
        <v>44854</v>
      </c>
      <c r="E1399" s="20">
        <v>45473</v>
      </c>
      <c r="F1399" s="21">
        <v>24668.799999999999</v>
      </c>
      <c r="G1399" s="21">
        <v>8598.4</v>
      </c>
      <c r="H1399" s="21">
        <v>1716.8</v>
      </c>
      <c r="I1399" s="18">
        <v>5072.8159999999998</v>
      </c>
      <c r="J1399" s="18">
        <v>13476.175999999999</v>
      </c>
      <c r="K1399" s="18" t="s">
        <v>30</v>
      </c>
      <c r="L1399" s="18" t="s">
        <v>50</v>
      </c>
      <c r="M1399" s="18" t="s">
        <v>32</v>
      </c>
      <c r="N1399" s="22">
        <f t="shared" si="126"/>
        <v>0.348553638604229</v>
      </c>
      <c r="O1399" s="22">
        <f t="shared" si="127"/>
        <v>0.19966505396352799</v>
      </c>
      <c r="P1399" s="23">
        <f t="shared" si="128"/>
        <v>0.58997208783029398</v>
      </c>
      <c r="Q1399" s="23">
        <f t="shared" si="129"/>
        <v>2.9548089468779102</v>
      </c>
      <c r="R1399" s="22">
        <f t="shared" si="130"/>
        <v>1.65654736935067</v>
      </c>
      <c r="S1399" s="22">
        <f t="shared" si="131"/>
        <v>2.6565473693506698</v>
      </c>
    </row>
    <row r="1400" spans="1:19">
      <c r="A1400" s="18" t="s">
        <v>1439</v>
      </c>
      <c r="B1400" s="18" t="s">
        <v>47</v>
      </c>
      <c r="C1400" s="18" t="s">
        <v>29</v>
      </c>
      <c r="D1400" s="19">
        <v>44852</v>
      </c>
      <c r="E1400" s="20">
        <v>45458</v>
      </c>
      <c r="F1400" s="21">
        <v>60430.400000000001</v>
      </c>
      <c r="G1400" s="21">
        <v>37401.599999999999</v>
      </c>
      <c r="H1400" s="21">
        <v>3876.8</v>
      </c>
      <c r="I1400" s="18">
        <v>885.12</v>
      </c>
      <c r="J1400" s="18">
        <v>1620.768</v>
      </c>
      <c r="K1400" s="18" t="s">
        <v>65</v>
      </c>
      <c r="L1400" s="18" t="s">
        <v>31</v>
      </c>
      <c r="M1400" s="18" t="s">
        <v>24</v>
      </c>
      <c r="N1400" s="22">
        <f t="shared" si="126"/>
        <v>0.61892027853530696</v>
      </c>
      <c r="O1400" s="22">
        <f t="shared" si="127"/>
        <v>0.10365331964407901</v>
      </c>
      <c r="P1400" s="23">
        <f t="shared" si="128"/>
        <v>2.36652977412731E-2</v>
      </c>
      <c r="Q1400" s="23">
        <f t="shared" si="129"/>
        <v>0.228312009905076</v>
      </c>
      <c r="R1400" s="22">
        <f t="shared" si="130"/>
        <v>0.83112798264642096</v>
      </c>
      <c r="S1400" s="22">
        <f t="shared" si="131"/>
        <v>1.83112798264642</v>
      </c>
    </row>
    <row r="1401" spans="1:19">
      <c r="A1401" s="18" t="s">
        <v>1440</v>
      </c>
      <c r="B1401" s="18" t="s">
        <v>40</v>
      </c>
      <c r="C1401" s="18" t="s">
        <v>29</v>
      </c>
      <c r="D1401" s="19">
        <v>44939</v>
      </c>
      <c r="E1401" s="20">
        <v>45546</v>
      </c>
      <c r="F1401" s="21">
        <v>26187.200000000001</v>
      </c>
      <c r="G1401" s="21">
        <v>15964.8</v>
      </c>
      <c r="H1401" s="21">
        <v>9115.2000000000007</v>
      </c>
      <c r="I1401" s="18">
        <v>5234.32</v>
      </c>
      <c r="J1401" s="18">
        <v>18648.32</v>
      </c>
      <c r="K1401" s="18" t="s">
        <v>65</v>
      </c>
      <c r="L1401" s="18" t="s">
        <v>35</v>
      </c>
      <c r="M1401" s="18" t="s">
        <v>24</v>
      </c>
      <c r="N1401" s="22">
        <f t="shared" si="126"/>
        <v>0.60964135149996901</v>
      </c>
      <c r="O1401" s="22">
        <f t="shared" si="127"/>
        <v>0.570956103427541</v>
      </c>
      <c r="P1401" s="23">
        <f t="shared" si="128"/>
        <v>0.32786630587291998</v>
      </c>
      <c r="Q1401" s="23">
        <f t="shared" si="129"/>
        <v>0.57424082850623104</v>
      </c>
      <c r="R1401" s="22">
        <f t="shared" si="130"/>
        <v>2.5627015543566301</v>
      </c>
      <c r="S1401" s="22">
        <f t="shared" si="131"/>
        <v>3.5627015543566301</v>
      </c>
    </row>
    <row r="1402" spans="1:19">
      <c r="A1402" s="18" t="s">
        <v>1441</v>
      </c>
      <c r="B1402" s="18" t="s">
        <v>26</v>
      </c>
      <c r="C1402" s="18" t="s">
        <v>21</v>
      </c>
      <c r="D1402" s="19">
        <v>44986</v>
      </c>
      <c r="E1402" s="20">
        <v>45597</v>
      </c>
      <c r="F1402" s="21">
        <v>3137.6</v>
      </c>
      <c r="G1402" s="21">
        <v>1038.4000000000001</v>
      </c>
      <c r="H1402" s="21">
        <v>158.4</v>
      </c>
      <c r="I1402" s="18">
        <v>6531.76</v>
      </c>
      <c r="J1402" s="18">
        <v>18793.392</v>
      </c>
      <c r="K1402" s="18" t="s">
        <v>22</v>
      </c>
      <c r="L1402" s="18" t="s">
        <v>31</v>
      </c>
      <c r="M1402" s="18" t="s">
        <v>24</v>
      </c>
      <c r="N1402" s="22">
        <f t="shared" si="126"/>
        <v>0.33095359510453898</v>
      </c>
      <c r="O1402" s="22">
        <f t="shared" si="127"/>
        <v>0.152542372881356</v>
      </c>
      <c r="P1402" s="23">
        <f t="shared" si="128"/>
        <v>6.2902157164868999</v>
      </c>
      <c r="Q1402" s="23">
        <f t="shared" si="129"/>
        <v>41.235858585858601</v>
      </c>
      <c r="R1402" s="22">
        <f t="shared" si="130"/>
        <v>1.8772324763922701</v>
      </c>
      <c r="S1402" s="22">
        <f t="shared" si="131"/>
        <v>2.8772324763922699</v>
      </c>
    </row>
    <row r="1403" spans="1:19">
      <c r="A1403" s="18" t="s">
        <v>1442</v>
      </c>
      <c r="B1403" s="18" t="s">
        <v>34</v>
      </c>
      <c r="C1403" s="18" t="s">
        <v>48</v>
      </c>
      <c r="D1403" s="19">
        <v>44929</v>
      </c>
      <c r="E1403" s="20">
        <v>45555</v>
      </c>
      <c r="F1403" s="21">
        <v>68449.600000000006</v>
      </c>
      <c r="G1403" s="21">
        <v>23216</v>
      </c>
      <c r="H1403" s="21">
        <v>17062.400000000001</v>
      </c>
      <c r="I1403" s="18">
        <v>1616.1759999999999</v>
      </c>
      <c r="J1403" s="18">
        <v>5481.2960000000003</v>
      </c>
      <c r="K1403" s="18" t="s">
        <v>43</v>
      </c>
      <c r="L1403" s="18" t="s">
        <v>23</v>
      </c>
      <c r="M1403" s="18" t="s">
        <v>32</v>
      </c>
      <c r="N1403" s="22">
        <f t="shared" si="126"/>
        <v>0.33916925738061299</v>
      </c>
      <c r="O1403" s="22">
        <f t="shared" si="127"/>
        <v>0.73494141971054405</v>
      </c>
      <c r="P1403" s="23">
        <f t="shared" si="128"/>
        <v>6.9614748449345301E-2</v>
      </c>
      <c r="Q1403" s="23">
        <f t="shared" si="129"/>
        <v>9.4721492873218294E-2</v>
      </c>
      <c r="R1403" s="22">
        <f t="shared" si="130"/>
        <v>2.3915217154567299</v>
      </c>
      <c r="S1403" s="22">
        <f t="shared" si="131"/>
        <v>3.3915217154567299</v>
      </c>
    </row>
    <row r="1404" spans="1:19">
      <c r="A1404" s="18" t="s">
        <v>1443</v>
      </c>
      <c r="B1404" s="18" t="s">
        <v>26</v>
      </c>
      <c r="C1404" s="18" t="s">
        <v>48</v>
      </c>
      <c r="D1404" s="19">
        <v>44757</v>
      </c>
      <c r="E1404" s="20">
        <v>45374</v>
      </c>
      <c r="F1404" s="21">
        <v>23388.799999999999</v>
      </c>
      <c r="G1404" s="21">
        <v>5697.6</v>
      </c>
      <c r="H1404" s="21">
        <v>2360</v>
      </c>
      <c r="I1404" s="18">
        <v>6114.768</v>
      </c>
      <c r="J1404" s="18">
        <v>14295.263999999999</v>
      </c>
      <c r="K1404" s="18" t="s">
        <v>65</v>
      </c>
      <c r="L1404" s="18" t="s">
        <v>23</v>
      </c>
      <c r="M1404" s="18" t="s">
        <v>32</v>
      </c>
      <c r="N1404" s="22">
        <f t="shared" si="126"/>
        <v>0.24360377616637</v>
      </c>
      <c r="O1404" s="22">
        <f t="shared" si="127"/>
        <v>0.41420949171581001</v>
      </c>
      <c r="P1404" s="23">
        <f t="shared" si="128"/>
        <v>1.07321819713564</v>
      </c>
      <c r="Q1404" s="23">
        <f t="shared" si="129"/>
        <v>2.5910033898305098</v>
      </c>
      <c r="R1404" s="22">
        <f t="shared" si="130"/>
        <v>1.33782606306568</v>
      </c>
      <c r="S1404" s="22">
        <f t="shared" si="131"/>
        <v>2.33782606306568</v>
      </c>
    </row>
    <row r="1405" spans="1:19">
      <c r="A1405" s="18" t="s">
        <v>1444</v>
      </c>
      <c r="B1405" s="18" t="s">
        <v>40</v>
      </c>
      <c r="C1405" s="18" t="s">
        <v>29</v>
      </c>
      <c r="D1405" s="19">
        <v>44699</v>
      </c>
      <c r="E1405" s="20">
        <v>45319</v>
      </c>
      <c r="F1405" s="21">
        <v>10105.6</v>
      </c>
      <c r="G1405" s="21">
        <v>544</v>
      </c>
      <c r="H1405" s="21">
        <v>380.8</v>
      </c>
      <c r="I1405" s="18">
        <v>3248.6080000000002</v>
      </c>
      <c r="J1405" s="18">
        <v>11434.031999999999</v>
      </c>
      <c r="K1405" s="18" t="s">
        <v>65</v>
      </c>
      <c r="L1405" s="18" t="s">
        <v>23</v>
      </c>
      <c r="M1405" s="18" t="s">
        <v>32</v>
      </c>
      <c r="N1405" s="22">
        <f t="shared" si="126"/>
        <v>5.3831538948701699E-2</v>
      </c>
      <c r="O1405" s="22">
        <f t="shared" si="127"/>
        <v>0.7</v>
      </c>
      <c r="P1405" s="23">
        <f t="shared" si="128"/>
        <v>5.9717058823529401</v>
      </c>
      <c r="Q1405" s="23">
        <f t="shared" si="129"/>
        <v>8.5310084033613407</v>
      </c>
      <c r="R1405" s="22">
        <f t="shared" si="130"/>
        <v>2.5196711945547099</v>
      </c>
      <c r="S1405" s="22">
        <f t="shared" si="131"/>
        <v>3.5196711945547099</v>
      </c>
    </row>
    <row r="1406" spans="1:19">
      <c r="A1406" s="18" t="s">
        <v>1445</v>
      </c>
      <c r="B1406" s="18" t="s">
        <v>47</v>
      </c>
      <c r="C1406" s="18" t="s">
        <v>48</v>
      </c>
      <c r="D1406" s="19">
        <v>44705</v>
      </c>
      <c r="E1406" s="20">
        <v>45319</v>
      </c>
      <c r="F1406" s="21">
        <v>70475.199999999997</v>
      </c>
      <c r="G1406" s="21">
        <v>51452.800000000003</v>
      </c>
      <c r="H1406" s="21">
        <v>12766.4</v>
      </c>
      <c r="I1406" s="18">
        <v>4171.4399999999996</v>
      </c>
      <c r="J1406" s="18">
        <v>13345.12</v>
      </c>
      <c r="K1406" s="18" t="s">
        <v>22</v>
      </c>
      <c r="L1406" s="18" t="s">
        <v>50</v>
      </c>
      <c r="M1406" s="18" t="s">
        <v>24</v>
      </c>
      <c r="N1406" s="22">
        <f t="shared" si="126"/>
        <v>0.73008377415033898</v>
      </c>
      <c r="O1406" s="22">
        <f t="shared" si="127"/>
        <v>0.24811866409602601</v>
      </c>
      <c r="P1406" s="23">
        <f t="shared" si="128"/>
        <v>8.1073138876795806E-2</v>
      </c>
      <c r="Q1406" s="23">
        <f t="shared" si="129"/>
        <v>0.32675147261561599</v>
      </c>
      <c r="R1406" s="22">
        <f t="shared" si="130"/>
        <v>2.1991638379072902</v>
      </c>
      <c r="S1406" s="22">
        <f t="shared" si="131"/>
        <v>3.1991638379072902</v>
      </c>
    </row>
    <row r="1407" spans="1:19">
      <c r="A1407" s="18" t="s">
        <v>1446</v>
      </c>
      <c r="B1407" s="18" t="s">
        <v>47</v>
      </c>
      <c r="C1407" s="18" t="s">
        <v>21</v>
      </c>
      <c r="D1407" s="19">
        <v>44871</v>
      </c>
      <c r="E1407" s="20">
        <v>45479</v>
      </c>
      <c r="F1407" s="21">
        <v>27430.400000000001</v>
      </c>
      <c r="G1407" s="21">
        <v>3931.2</v>
      </c>
      <c r="H1407" s="21">
        <v>3238.4</v>
      </c>
      <c r="I1407" s="18">
        <v>309.68</v>
      </c>
      <c r="J1407" s="18">
        <v>1114.5119999999999</v>
      </c>
      <c r="K1407" s="18" t="s">
        <v>43</v>
      </c>
      <c r="L1407" s="18" t="s">
        <v>44</v>
      </c>
      <c r="M1407" s="18" t="s">
        <v>32</v>
      </c>
      <c r="N1407" s="22">
        <f t="shared" si="126"/>
        <v>0.143315445636958</v>
      </c>
      <c r="O1407" s="22">
        <f t="shared" si="127"/>
        <v>0.82376882376882399</v>
      </c>
      <c r="P1407" s="23">
        <f t="shared" si="128"/>
        <v>7.8774928774928796E-2</v>
      </c>
      <c r="Q1407" s="23">
        <f t="shared" si="129"/>
        <v>9.5627470355731201E-2</v>
      </c>
      <c r="R1407" s="22">
        <f t="shared" si="130"/>
        <v>2.59891500904159</v>
      </c>
      <c r="S1407" s="22">
        <f t="shared" si="131"/>
        <v>3.59891500904159</v>
      </c>
    </row>
    <row r="1408" spans="1:19">
      <c r="A1408" s="18" t="s">
        <v>1447</v>
      </c>
      <c r="B1408" s="18" t="s">
        <v>34</v>
      </c>
      <c r="C1408" s="18" t="s">
        <v>48</v>
      </c>
      <c r="D1408" s="19">
        <v>44737</v>
      </c>
      <c r="E1408" s="20">
        <v>45347</v>
      </c>
      <c r="F1408" s="21">
        <v>2332.8000000000002</v>
      </c>
      <c r="G1408" s="21">
        <v>444.8</v>
      </c>
      <c r="H1408" s="21">
        <v>252.8</v>
      </c>
      <c r="I1408" s="18">
        <v>4961.12</v>
      </c>
      <c r="J1408" s="18">
        <v>12189.791999999999</v>
      </c>
      <c r="K1408" s="18" t="s">
        <v>43</v>
      </c>
      <c r="L1408" s="18" t="s">
        <v>35</v>
      </c>
      <c r="M1408" s="18" t="s">
        <v>24</v>
      </c>
      <c r="N1408" s="22">
        <f t="shared" si="126"/>
        <v>0.190672153635117</v>
      </c>
      <c r="O1408" s="22">
        <f t="shared" si="127"/>
        <v>0.56834532374100699</v>
      </c>
      <c r="P1408" s="23">
        <f t="shared" si="128"/>
        <v>11.1535971223022</v>
      </c>
      <c r="Q1408" s="23">
        <f t="shared" si="129"/>
        <v>19.624683544303799</v>
      </c>
      <c r="R1408" s="22">
        <f t="shared" si="130"/>
        <v>1.4570645338149499</v>
      </c>
      <c r="S1408" s="22">
        <f t="shared" si="131"/>
        <v>2.4570645338149402</v>
      </c>
    </row>
    <row r="1409" spans="1:19">
      <c r="A1409" s="18" t="s">
        <v>1448</v>
      </c>
      <c r="B1409" s="18" t="s">
        <v>26</v>
      </c>
      <c r="C1409" s="18" t="s">
        <v>29</v>
      </c>
      <c r="D1409" s="19">
        <v>44964</v>
      </c>
      <c r="E1409" s="20">
        <v>45566</v>
      </c>
      <c r="F1409" s="21">
        <v>63017.599999999999</v>
      </c>
      <c r="G1409" s="21">
        <v>5667.2</v>
      </c>
      <c r="H1409" s="21">
        <v>3352</v>
      </c>
      <c r="I1409" s="18">
        <v>2136.2240000000002</v>
      </c>
      <c r="J1409" s="18">
        <v>5994.4480000000003</v>
      </c>
      <c r="K1409" s="18" t="s">
        <v>30</v>
      </c>
      <c r="L1409" s="18" t="s">
        <v>23</v>
      </c>
      <c r="M1409" s="18" t="s">
        <v>32</v>
      </c>
      <c r="N1409" s="22">
        <f t="shared" si="126"/>
        <v>8.9930432133245294E-2</v>
      </c>
      <c r="O1409" s="22">
        <f t="shared" si="127"/>
        <v>0.59147374364765704</v>
      </c>
      <c r="P1409" s="23">
        <f t="shared" si="128"/>
        <v>0.37694522868435898</v>
      </c>
      <c r="Q1409" s="23">
        <f t="shared" si="129"/>
        <v>0.63729832935560904</v>
      </c>
      <c r="R1409" s="22">
        <f t="shared" si="130"/>
        <v>1.80609524094851</v>
      </c>
      <c r="S1409" s="22">
        <f t="shared" si="131"/>
        <v>2.80609524094851</v>
      </c>
    </row>
    <row r="1410" spans="1:19">
      <c r="A1410" s="18" t="s">
        <v>1449</v>
      </c>
      <c r="B1410" s="18" t="s">
        <v>40</v>
      </c>
      <c r="C1410" s="18" t="s">
        <v>21</v>
      </c>
      <c r="D1410" s="19">
        <v>44829</v>
      </c>
      <c r="E1410" s="20">
        <v>45434</v>
      </c>
      <c r="F1410" s="21">
        <v>59452.800000000003</v>
      </c>
      <c r="G1410" s="21">
        <v>1534.4</v>
      </c>
      <c r="H1410" s="21">
        <v>1312</v>
      </c>
      <c r="I1410" s="18">
        <v>6201.7120000000004</v>
      </c>
      <c r="J1410" s="18">
        <v>8395.4560000000001</v>
      </c>
      <c r="K1410" s="18" t="s">
        <v>22</v>
      </c>
      <c r="L1410" s="18" t="s">
        <v>31</v>
      </c>
      <c r="M1410" s="18" t="s">
        <v>32</v>
      </c>
      <c r="N1410" s="22">
        <f t="shared" ref="N1410:N1473" si="132">G1410/F1410</f>
        <v>2.5808708757199001E-2</v>
      </c>
      <c r="O1410" s="22">
        <f t="shared" ref="O1410:O1473" si="133">H1410/G1410</f>
        <v>0.85505735140771599</v>
      </c>
      <c r="P1410" s="23">
        <f t="shared" ref="P1410:P1473" si="134">I1410/G1410</f>
        <v>4.0417831074035497</v>
      </c>
      <c r="Q1410" s="23">
        <f t="shared" ref="Q1410:Q1473" si="135">I1410/H1410</f>
        <v>4.7269146341463397</v>
      </c>
      <c r="R1410" s="22">
        <f t="shared" ref="R1410:R1473" si="136">(J1410-I1410)/I1410</f>
        <v>0.35373200174403402</v>
      </c>
      <c r="S1410" s="22">
        <f t="shared" ref="S1410:S1473" si="137">J1410/I1410</f>
        <v>1.35373200174403</v>
      </c>
    </row>
    <row r="1411" spans="1:19">
      <c r="A1411" s="18" t="s">
        <v>1450</v>
      </c>
      <c r="B1411" s="18" t="s">
        <v>34</v>
      </c>
      <c r="C1411" s="18" t="s">
        <v>48</v>
      </c>
      <c r="D1411" s="19">
        <v>44808</v>
      </c>
      <c r="E1411" s="20">
        <v>45429</v>
      </c>
      <c r="F1411" s="21">
        <v>48843.199999999997</v>
      </c>
      <c r="G1411" s="21">
        <v>36976</v>
      </c>
      <c r="H1411" s="21">
        <v>21481.599999999999</v>
      </c>
      <c r="I1411" s="18">
        <v>1530.144</v>
      </c>
      <c r="J1411" s="18">
        <v>5243.8559999999998</v>
      </c>
      <c r="K1411" s="18" t="s">
        <v>30</v>
      </c>
      <c r="L1411" s="18" t="s">
        <v>44</v>
      </c>
      <c r="M1411" s="18" t="s">
        <v>32</v>
      </c>
      <c r="N1411" s="22">
        <f t="shared" si="132"/>
        <v>0.75703475611753501</v>
      </c>
      <c r="O1411" s="22">
        <f t="shared" si="133"/>
        <v>0.58096062310688001</v>
      </c>
      <c r="P1411" s="23">
        <f t="shared" si="134"/>
        <v>4.1382085677196E-2</v>
      </c>
      <c r="Q1411" s="23">
        <f t="shared" si="135"/>
        <v>7.1230448383733103E-2</v>
      </c>
      <c r="R1411" s="22">
        <f t="shared" si="136"/>
        <v>2.42703431833867</v>
      </c>
      <c r="S1411" s="22">
        <f t="shared" si="137"/>
        <v>3.42703431833867</v>
      </c>
    </row>
    <row r="1412" spans="1:19">
      <c r="A1412" s="18" t="s">
        <v>1451</v>
      </c>
      <c r="B1412" s="18" t="s">
        <v>20</v>
      </c>
      <c r="C1412" s="18" t="s">
        <v>48</v>
      </c>
      <c r="D1412" s="19">
        <v>44888</v>
      </c>
      <c r="E1412" s="20">
        <v>45518</v>
      </c>
      <c r="F1412" s="21">
        <v>11177.6</v>
      </c>
      <c r="G1412" s="21">
        <v>1464</v>
      </c>
      <c r="H1412" s="21">
        <v>1160</v>
      </c>
      <c r="I1412" s="18">
        <v>7999.6639999999998</v>
      </c>
      <c r="J1412" s="18">
        <v>31609.727999999999</v>
      </c>
      <c r="K1412" s="18" t="s">
        <v>65</v>
      </c>
      <c r="L1412" s="18" t="s">
        <v>44</v>
      </c>
      <c r="M1412" s="18" t="s">
        <v>32</v>
      </c>
      <c r="N1412" s="22">
        <f t="shared" si="132"/>
        <v>0.130976238190667</v>
      </c>
      <c r="O1412" s="22">
        <f t="shared" si="133"/>
        <v>0.79234972677595605</v>
      </c>
      <c r="P1412" s="23">
        <f t="shared" si="134"/>
        <v>5.4642513661202203</v>
      </c>
      <c r="Q1412" s="23">
        <f t="shared" si="135"/>
        <v>6.8962620689655196</v>
      </c>
      <c r="R1412" s="22">
        <f t="shared" si="136"/>
        <v>2.9513819580422398</v>
      </c>
      <c r="S1412" s="22">
        <f t="shared" si="137"/>
        <v>3.9513819580422398</v>
      </c>
    </row>
    <row r="1413" spans="1:19">
      <c r="A1413" s="18" t="s">
        <v>1452</v>
      </c>
      <c r="B1413" s="18" t="s">
        <v>20</v>
      </c>
      <c r="C1413" s="18" t="s">
        <v>41</v>
      </c>
      <c r="D1413" s="19">
        <v>44756</v>
      </c>
      <c r="E1413" s="20">
        <v>45376</v>
      </c>
      <c r="F1413" s="21">
        <v>25713.599999999999</v>
      </c>
      <c r="G1413" s="21">
        <v>16419.2</v>
      </c>
      <c r="H1413" s="21">
        <v>7081.6</v>
      </c>
      <c r="I1413" s="18">
        <v>6741.808</v>
      </c>
      <c r="J1413" s="18">
        <v>24631.567999999999</v>
      </c>
      <c r="K1413" s="18" t="s">
        <v>22</v>
      </c>
      <c r="L1413" s="18" t="s">
        <v>50</v>
      </c>
      <c r="M1413" s="18" t="s">
        <v>32</v>
      </c>
      <c r="N1413" s="22">
        <f t="shared" si="132"/>
        <v>0.63854147221703705</v>
      </c>
      <c r="O1413" s="22">
        <f t="shared" si="133"/>
        <v>0.43129994153186502</v>
      </c>
      <c r="P1413" s="23">
        <f t="shared" si="134"/>
        <v>0.41060514519586799</v>
      </c>
      <c r="Q1413" s="23">
        <f t="shared" si="135"/>
        <v>0.95201762313601401</v>
      </c>
      <c r="R1413" s="22">
        <f t="shared" si="136"/>
        <v>2.6535552480877498</v>
      </c>
      <c r="S1413" s="22">
        <f t="shared" si="137"/>
        <v>3.6535552480877498</v>
      </c>
    </row>
    <row r="1414" spans="1:19">
      <c r="A1414" s="18" t="s">
        <v>1453</v>
      </c>
      <c r="B1414" s="18" t="s">
        <v>34</v>
      </c>
      <c r="C1414" s="18" t="s">
        <v>48</v>
      </c>
      <c r="D1414" s="19">
        <v>44949</v>
      </c>
      <c r="E1414" s="20">
        <v>45557</v>
      </c>
      <c r="F1414" s="21">
        <v>72753.600000000006</v>
      </c>
      <c r="G1414" s="21">
        <v>4017.6</v>
      </c>
      <c r="H1414" s="21">
        <v>2796.8</v>
      </c>
      <c r="I1414" s="18">
        <v>1868.8</v>
      </c>
      <c r="J1414" s="18">
        <v>5779.6639999999998</v>
      </c>
      <c r="K1414" s="18" t="s">
        <v>30</v>
      </c>
      <c r="L1414" s="18" t="s">
        <v>31</v>
      </c>
      <c r="M1414" s="18" t="s">
        <v>32</v>
      </c>
      <c r="N1414" s="22">
        <f t="shared" si="132"/>
        <v>5.5222009632513003E-2</v>
      </c>
      <c r="O1414" s="22">
        <f t="shared" si="133"/>
        <v>0.69613699721226596</v>
      </c>
      <c r="P1414" s="23">
        <f t="shared" si="134"/>
        <v>0.465153325368379</v>
      </c>
      <c r="Q1414" s="23">
        <f t="shared" si="135"/>
        <v>0.66819221967963405</v>
      </c>
      <c r="R1414" s="22">
        <f t="shared" si="136"/>
        <v>2.0927140410958902</v>
      </c>
      <c r="S1414" s="22">
        <f t="shared" si="137"/>
        <v>3.0927140410958902</v>
      </c>
    </row>
    <row r="1415" spans="1:19">
      <c r="A1415" s="18" t="s">
        <v>1454</v>
      </c>
      <c r="B1415" s="18" t="s">
        <v>40</v>
      </c>
      <c r="C1415" s="18" t="s">
        <v>29</v>
      </c>
      <c r="D1415" s="19">
        <v>44702</v>
      </c>
      <c r="E1415" s="20">
        <v>45307</v>
      </c>
      <c r="F1415" s="21">
        <v>76643.199999999997</v>
      </c>
      <c r="G1415" s="21">
        <v>9353.6</v>
      </c>
      <c r="H1415" s="21">
        <v>6016</v>
      </c>
      <c r="I1415" s="18">
        <v>6080.8</v>
      </c>
      <c r="J1415" s="18">
        <v>19984.48</v>
      </c>
      <c r="K1415" s="18" t="s">
        <v>65</v>
      </c>
      <c r="L1415" s="18" t="s">
        <v>50</v>
      </c>
      <c r="M1415" s="18" t="s">
        <v>32</v>
      </c>
      <c r="N1415" s="22">
        <f t="shared" si="132"/>
        <v>0.122040833368127</v>
      </c>
      <c r="O1415" s="22">
        <f t="shared" si="133"/>
        <v>0.64317482039000995</v>
      </c>
      <c r="P1415" s="23">
        <f t="shared" si="134"/>
        <v>0.65010263427984905</v>
      </c>
      <c r="Q1415" s="23">
        <f t="shared" si="135"/>
        <v>1.01077127659574</v>
      </c>
      <c r="R1415" s="22">
        <f t="shared" si="136"/>
        <v>2.2864886199184302</v>
      </c>
      <c r="S1415" s="22">
        <f t="shared" si="137"/>
        <v>3.2864886199184302</v>
      </c>
    </row>
    <row r="1416" spans="1:19">
      <c r="A1416" s="18" t="s">
        <v>1455</v>
      </c>
      <c r="B1416" s="18" t="s">
        <v>20</v>
      </c>
      <c r="C1416" s="18" t="s">
        <v>21</v>
      </c>
      <c r="D1416" s="19">
        <v>44879</v>
      </c>
      <c r="E1416" s="20">
        <v>45497</v>
      </c>
      <c r="F1416" s="21">
        <v>68534.399999999994</v>
      </c>
      <c r="G1416" s="21">
        <v>50358.400000000001</v>
      </c>
      <c r="H1416" s="21">
        <v>21720</v>
      </c>
      <c r="I1416" s="18">
        <v>6452.0159999999996</v>
      </c>
      <c r="J1416" s="18">
        <v>12629.472</v>
      </c>
      <c r="K1416" s="18" t="s">
        <v>43</v>
      </c>
      <c r="L1416" s="18" t="s">
        <v>31</v>
      </c>
      <c r="M1416" s="18" t="s">
        <v>24</v>
      </c>
      <c r="N1416" s="22">
        <f t="shared" si="132"/>
        <v>0.73479011999813204</v>
      </c>
      <c r="O1416" s="22">
        <f t="shared" si="133"/>
        <v>0.431308381521256</v>
      </c>
      <c r="P1416" s="23">
        <f t="shared" si="134"/>
        <v>0.12812194192031501</v>
      </c>
      <c r="Q1416" s="23">
        <f t="shared" si="135"/>
        <v>0.29705414364640897</v>
      </c>
      <c r="R1416" s="22">
        <f t="shared" si="136"/>
        <v>0.95744585878274302</v>
      </c>
      <c r="S1416" s="22">
        <f t="shared" si="137"/>
        <v>1.9574458587827399</v>
      </c>
    </row>
    <row r="1417" spans="1:19">
      <c r="A1417" s="18" t="s">
        <v>1456</v>
      </c>
      <c r="B1417" s="18" t="s">
        <v>26</v>
      </c>
      <c r="C1417" s="18" t="s">
        <v>29</v>
      </c>
      <c r="D1417" s="19">
        <v>44952</v>
      </c>
      <c r="E1417" s="20">
        <v>45561</v>
      </c>
      <c r="F1417" s="21">
        <v>40214.400000000001</v>
      </c>
      <c r="G1417" s="21">
        <v>20121.599999999999</v>
      </c>
      <c r="H1417" s="21">
        <v>15280</v>
      </c>
      <c r="I1417" s="18">
        <v>3322.0320000000002</v>
      </c>
      <c r="J1417" s="18">
        <v>8608.5120000000006</v>
      </c>
      <c r="K1417" s="18" t="s">
        <v>43</v>
      </c>
      <c r="L1417" s="18" t="s">
        <v>23</v>
      </c>
      <c r="M1417" s="18" t="s">
        <v>24</v>
      </c>
      <c r="N1417" s="22">
        <f t="shared" si="132"/>
        <v>0.50035808068751497</v>
      </c>
      <c r="O1417" s="22">
        <f t="shared" si="133"/>
        <v>0.75938295165394398</v>
      </c>
      <c r="P1417" s="23">
        <f t="shared" si="134"/>
        <v>0.16509780534351101</v>
      </c>
      <c r="Q1417" s="23">
        <f t="shared" si="135"/>
        <v>0.21741047120418799</v>
      </c>
      <c r="R1417" s="22">
        <f t="shared" si="136"/>
        <v>1.59133927668367</v>
      </c>
      <c r="S1417" s="22">
        <f t="shared" si="137"/>
        <v>2.5913392766836698</v>
      </c>
    </row>
    <row r="1418" spans="1:19">
      <c r="A1418" s="18" t="s">
        <v>1457</v>
      </c>
      <c r="B1418" s="18" t="s">
        <v>40</v>
      </c>
      <c r="C1418" s="18" t="s">
        <v>41</v>
      </c>
      <c r="D1418" s="19">
        <v>44882</v>
      </c>
      <c r="E1418" s="20">
        <v>45501</v>
      </c>
      <c r="F1418" s="21">
        <v>30540.799999999999</v>
      </c>
      <c r="G1418" s="21">
        <v>19996.8</v>
      </c>
      <c r="H1418" s="21">
        <v>12788.8</v>
      </c>
      <c r="I1418" s="18">
        <v>4251.92</v>
      </c>
      <c r="J1418" s="18">
        <v>9879.8559999999998</v>
      </c>
      <c r="K1418" s="18" t="s">
        <v>65</v>
      </c>
      <c r="L1418" s="18" t="s">
        <v>31</v>
      </c>
      <c r="M1418" s="18" t="s">
        <v>24</v>
      </c>
      <c r="N1418" s="22">
        <f t="shared" si="132"/>
        <v>0.65475691533947999</v>
      </c>
      <c r="O1418" s="22">
        <f t="shared" si="133"/>
        <v>0.63954232677228395</v>
      </c>
      <c r="P1418" s="23">
        <f t="shared" si="134"/>
        <v>0.21263002080332899</v>
      </c>
      <c r="Q1418" s="23">
        <f t="shared" si="135"/>
        <v>0.33247216314275002</v>
      </c>
      <c r="R1418" s="22">
        <f t="shared" si="136"/>
        <v>1.32362226946885</v>
      </c>
      <c r="S1418" s="22">
        <f t="shared" si="137"/>
        <v>2.3236222694688502</v>
      </c>
    </row>
    <row r="1419" spans="1:19">
      <c r="A1419" s="18" t="s">
        <v>1458</v>
      </c>
      <c r="B1419" s="18" t="s">
        <v>28</v>
      </c>
      <c r="C1419" s="18" t="s">
        <v>41</v>
      </c>
      <c r="D1419" s="19">
        <v>44977</v>
      </c>
      <c r="E1419" s="20">
        <v>45596</v>
      </c>
      <c r="F1419" s="21">
        <v>45107.199999999997</v>
      </c>
      <c r="G1419" s="21">
        <v>11953.6</v>
      </c>
      <c r="H1419" s="21">
        <v>10790.4</v>
      </c>
      <c r="I1419" s="18">
        <v>897.77599999999995</v>
      </c>
      <c r="J1419" s="18">
        <v>2046.4960000000001</v>
      </c>
      <c r="K1419" s="18" t="s">
        <v>22</v>
      </c>
      <c r="L1419" s="18" t="s">
        <v>50</v>
      </c>
      <c r="M1419" s="18" t="s">
        <v>32</v>
      </c>
      <c r="N1419" s="22">
        <f t="shared" si="132"/>
        <v>0.26500425652667398</v>
      </c>
      <c r="O1419" s="22">
        <f t="shared" si="133"/>
        <v>0.90269040289117897</v>
      </c>
      <c r="P1419" s="23">
        <f t="shared" si="134"/>
        <v>7.5105072948735099E-2</v>
      </c>
      <c r="Q1419" s="23">
        <f t="shared" si="135"/>
        <v>8.3201364175563494E-2</v>
      </c>
      <c r="R1419" s="22">
        <f t="shared" si="136"/>
        <v>1.27951738518294</v>
      </c>
      <c r="S1419" s="22">
        <f t="shared" si="137"/>
        <v>2.27951738518294</v>
      </c>
    </row>
    <row r="1420" spans="1:19">
      <c r="A1420" s="18" t="s">
        <v>1459</v>
      </c>
      <c r="B1420" s="18" t="s">
        <v>40</v>
      </c>
      <c r="C1420" s="18" t="s">
        <v>21</v>
      </c>
      <c r="D1420" s="19">
        <v>44848</v>
      </c>
      <c r="E1420" s="20">
        <v>45466</v>
      </c>
      <c r="F1420" s="21">
        <v>60022.400000000001</v>
      </c>
      <c r="G1420" s="21">
        <v>43868.800000000003</v>
      </c>
      <c r="H1420" s="21">
        <v>36580.800000000003</v>
      </c>
      <c r="I1420" s="18">
        <v>2782.48</v>
      </c>
      <c r="J1420" s="18">
        <v>10291.664000000001</v>
      </c>
      <c r="K1420" s="18" t="s">
        <v>38</v>
      </c>
      <c r="L1420" s="18" t="s">
        <v>31</v>
      </c>
      <c r="M1420" s="18" t="s">
        <v>32</v>
      </c>
      <c r="N1420" s="22">
        <f t="shared" si="132"/>
        <v>0.730873807112012</v>
      </c>
      <c r="O1420" s="22">
        <f t="shared" si="133"/>
        <v>0.83386826172587303</v>
      </c>
      <c r="P1420" s="23">
        <f t="shared" si="134"/>
        <v>6.3427310525931896E-2</v>
      </c>
      <c r="Q1420" s="23">
        <f t="shared" si="135"/>
        <v>7.6063946113808303E-2</v>
      </c>
      <c r="R1420" s="22">
        <f t="shared" si="136"/>
        <v>2.6987378166240199</v>
      </c>
      <c r="S1420" s="22">
        <f t="shared" si="137"/>
        <v>3.6987378166240199</v>
      </c>
    </row>
    <row r="1421" spans="1:19">
      <c r="A1421" s="18" t="s">
        <v>1460</v>
      </c>
      <c r="B1421" s="18" t="s">
        <v>28</v>
      </c>
      <c r="C1421" s="18" t="s">
        <v>21</v>
      </c>
      <c r="D1421" s="19">
        <v>44935</v>
      </c>
      <c r="E1421" s="20">
        <v>45565</v>
      </c>
      <c r="F1421" s="21">
        <v>25246.400000000001</v>
      </c>
      <c r="G1421" s="21">
        <v>24924.799999999999</v>
      </c>
      <c r="H1421" s="21">
        <v>19982.400000000001</v>
      </c>
      <c r="I1421" s="18">
        <v>497.87200000000001</v>
      </c>
      <c r="J1421" s="18">
        <v>1518.432</v>
      </c>
      <c r="K1421" s="18" t="s">
        <v>38</v>
      </c>
      <c r="L1421" s="18" t="s">
        <v>35</v>
      </c>
      <c r="M1421" s="18" t="s">
        <v>32</v>
      </c>
      <c r="N1421" s="22">
        <f t="shared" si="132"/>
        <v>0.98726155016160699</v>
      </c>
      <c r="O1421" s="22">
        <f t="shared" si="133"/>
        <v>0.80170753626909796</v>
      </c>
      <c r="P1421" s="23">
        <f t="shared" si="134"/>
        <v>1.9974964693798902E-2</v>
      </c>
      <c r="Q1421" s="23">
        <f t="shared" si="135"/>
        <v>2.49155256625831E-2</v>
      </c>
      <c r="R1421" s="22">
        <f t="shared" si="136"/>
        <v>2.04984413664556</v>
      </c>
      <c r="S1421" s="22">
        <f t="shared" si="137"/>
        <v>3.04984413664556</v>
      </c>
    </row>
    <row r="1422" spans="1:19">
      <c r="A1422" s="18" t="s">
        <v>1461</v>
      </c>
      <c r="B1422" s="18" t="s">
        <v>28</v>
      </c>
      <c r="C1422" s="18" t="s">
        <v>41</v>
      </c>
      <c r="D1422" s="19">
        <v>44732</v>
      </c>
      <c r="E1422" s="20">
        <v>45344</v>
      </c>
      <c r="F1422" s="21">
        <v>35716.800000000003</v>
      </c>
      <c r="G1422" s="21">
        <v>18203.2</v>
      </c>
      <c r="H1422" s="21">
        <v>17979.2</v>
      </c>
      <c r="I1422" s="18">
        <v>5118.3040000000001</v>
      </c>
      <c r="J1422" s="18">
        <v>17727.664000000001</v>
      </c>
      <c r="K1422" s="18" t="s">
        <v>43</v>
      </c>
      <c r="L1422" s="18" t="s">
        <v>50</v>
      </c>
      <c r="M1422" s="18" t="s">
        <v>32</v>
      </c>
      <c r="N1422" s="22">
        <f t="shared" si="132"/>
        <v>0.50965372037808498</v>
      </c>
      <c r="O1422" s="22">
        <f t="shared" si="133"/>
        <v>0.98769447130174903</v>
      </c>
      <c r="P1422" s="23">
        <f t="shared" si="134"/>
        <v>0.28117605695701903</v>
      </c>
      <c r="Q1422" s="23">
        <f t="shared" si="135"/>
        <v>0.28467918483581001</v>
      </c>
      <c r="R1422" s="22">
        <f t="shared" si="136"/>
        <v>2.46358168643363</v>
      </c>
      <c r="S1422" s="22">
        <f t="shared" si="137"/>
        <v>3.46358168643363</v>
      </c>
    </row>
    <row r="1423" spans="1:19">
      <c r="A1423" s="18" t="s">
        <v>1462</v>
      </c>
      <c r="B1423" s="18" t="s">
        <v>47</v>
      </c>
      <c r="C1423" s="18" t="s">
        <v>41</v>
      </c>
      <c r="D1423" s="19">
        <v>44766</v>
      </c>
      <c r="E1423" s="20">
        <v>45370</v>
      </c>
      <c r="F1423" s="21">
        <v>68550.399999999994</v>
      </c>
      <c r="G1423" s="21">
        <v>59884.800000000003</v>
      </c>
      <c r="H1423" s="21">
        <v>46432</v>
      </c>
      <c r="I1423" s="18">
        <v>3778.192</v>
      </c>
      <c r="J1423" s="18">
        <v>7504.768</v>
      </c>
      <c r="K1423" s="18" t="s">
        <v>38</v>
      </c>
      <c r="L1423" s="18" t="s">
        <v>44</v>
      </c>
      <c r="M1423" s="18" t="s">
        <v>32</v>
      </c>
      <c r="N1423" s="22">
        <f t="shared" si="132"/>
        <v>0.87358790028942201</v>
      </c>
      <c r="O1423" s="22">
        <f t="shared" si="133"/>
        <v>0.77535534893662506</v>
      </c>
      <c r="P1423" s="23">
        <f t="shared" si="134"/>
        <v>6.3091001389334198E-2</v>
      </c>
      <c r="Q1423" s="23">
        <f t="shared" si="135"/>
        <v>8.1370434183321794E-2</v>
      </c>
      <c r="R1423" s="22">
        <f t="shared" si="136"/>
        <v>0.98633843912643904</v>
      </c>
      <c r="S1423" s="22">
        <f t="shared" si="137"/>
        <v>1.98633843912644</v>
      </c>
    </row>
    <row r="1424" spans="1:19">
      <c r="A1424" s="18" t="s">
        <v>1463</v>
      </c>
      <c r="B1424" s="18" t="s">
        <v>26</v>
      </c>
      <c r="C1424" s="18" t="s">
        <v>41</v>
      </c>
      <c r="D1424" s="19">
        <v>44936</v>
      </c>
      <c r="E1424" s="20">
        <v>45552</v>
      </c>
      <c r="F1424" s="21">
        <v>35672</v>
      </c>
      <c r="G1424" s="21">
        <v>10979.2</v>
      </c>
      <c r="H1424" s="21">
        <v>4099.2</v>
      </c>
      <c r="I1424" s="18">
        <v>2940.32</v>
      </c>
      <c r="J1424" s="18">
        <v>9984.4480000000003</v>
      </c>
      <c r="K1424" s="18" t="s">
        <v>38</v>
      </c>
      <c r="L1424" s="18" t="s">
        <v>50</v>
      </c>
      <c r="M1424" s="18" t="s">
        <v>32</v>
      </c>
      <c r="N1424" s="22">
        <f t="shared" si="132"/>
        <v>0.30778201390446303</v>
      </c>
      <c r="O1424" s="22">
        <f t="shared" si="133"/>
        <v>0.373360536286797</v>
      </c>
      <c r="P1424" s="23">
        <f t="shared" si="134"/>
        <v>0.26780821917808201</v>
      </c>
      <c r="Q1424" s="23">
        <f t="shared" si="135"/>
        <v>0.71729117876658899</v>
      </c>
      <c r="R1424" s="22">
        <f t="shared" si="136"/>
        <v>2.39570114817435</v>
      </c>
      <c r="S1424" s="22">
        <f t="shared" si="137"/>
        <v>3.39570114817435</v>
      </c>
    </row>
    <row r="1425" spans="1:19">
      <c r="A1425" s="18" t="s">
        <v>1464</v>
      </c>
      <c r="B1425" s="18" t="s">
        <v>34</v>
      </c>
      <c r="C1425" s="18" t="s">
        <v>21</v>
      </c>
      <c r="D1425" s="19">
        <v>44743</v>
      </c>
      <c r="E1425" s="20">
        <v>45361</v>
      </c>
      <c r="F1425" s="21">
        <v>45950.400000000001</v>
      </c>
      <c r="G1425" s="21">
        <v>29403.200000000001</v>
      </c>
      <c r="H1425" s="21">
        <v>4497.6000000000004</v>
      </c>
      <c r="I1425" s="18">
        <v>4969.9679999999998</v>
      </c>
      <c r="J1425" s="18">
        <v>19816.128000000001</v>
      </c>
      <c r="K1425" s="18" t="s">
        <v>43</v>
      </c>
      <c r="L1425" s="18" t="s">
        <v>44</v>
      </c>
      <c r="M1425" s="18" t="s">
        <v>24</v>
      </c>
      <c r="N1425" s="22">
        <f t="shared" si="132"/>
        <v>0.63988996831365996</v>
      </c>
      <c r="O1425" s="22">
        <f t="shared" si="133"/>
        <v>0.15296294280894601</v>
      </c>
      <c r="P1425" s="23">
        <f t="shared" si="134"/>
        <v>0.169028132992327</v>
      </c>
      <c r="Q1425" s="23">
        <f t="shared" si="135"/>
        <v>1.1050266808964799</v>
      </c>
      <c r="R1425" s="22">
        <f t="shared" si="136"/>
        <v>2.9871741628919901</v>
      </c>
      <c r="S1425" s="22">
        <f t="shared" si="137"/>
        <v>3.9871741628919901</v>
      </c>
    </row>
    <row r="1426" spans="1:19">
      <c r="A1426" s="18" t="s">
        <v>1465</v>
      </c>
      <c r="B1426" s="18" t="s">
        <v>34</v>
      </c>
      <c r="C1426" s="18" t="s">
        <v>41</v>
      </c>
      <c r="D1426" s="19">
        <v>44694</v>
      </c>
      <c r="E1426" s="20">
        <v>45307</v>
      </c>
      <c r="F1426" s="21">
        <v>74648</v>
      </c>
      <c r="G1426" s="21">
        <v>67025.600000000006</v>
      </c>
      <c r="H1426" s="21">
        <v>63571.199999999997</v>
      </c>
      <c r="I1426" s="18">
        <v>6887.0240000000003</v>
      </c>
      <c r="J1426" s="18">
        <v>12615.28</v>
      </c>
      <c r="K1426" s="18" t="s">
        <v>22</v>
      </c>
      <c r="L1426" s="18" t="s">
        <v>35</v>
      </c>
      <c r="M1426" s="18" t="s">
        <v>24</v>
      </c>
      <c r="N1426" s="22">
        <f t="shared" si="132"/>
        <v>0.89788875790376199</v>
      </c>
      <c r="O1426" s="22">
        <f t="shared" si="133"/>
        <v>0.94846148337351699</v>
      </c>
      <c r="P1426" s="23">
        <f t="shared" si="134"/>
        <v>0.102752142464969</v>
      </c>
      <c r="Q1426" s="23">
        <f t="shared" si="135"/>
        <v>0.10833559851001701</v>
      </c>
      <c r="R1426" s="22">
        <f t="shared" si="136"/>
        <v>0.83174619400193806</v>
      </c>
      <c r="S1426" s="22">
        <f t="shared" si="137"/>
        <v>1.8317461940019399</v>
      </c>
    </row>
    <row r="1427" spans="1:19">
      <c r="A1427" s="18" t="s">
        <v>1466</v>
      </c>
      <c r="B1427" s="18" t="s">
        <v>20</v>
      </c>
      <c r="C1427" s="18" t="s">
        <v>29</v>
      </c>
      <c r="D1427" s="19">
        <v>44912</v>
      </c>
      <c r="E1427" s="20">
        <v>45514</v>
      </c>
      <c r="F1427" s="21">
        <v>69980.800000000003</v>
      </c>
      <c r="G1427" s="21">
        <v>58568</v>
      </c>
      <c r="H1427" s="21">
        <v>15224</v>
      </c>
      <c r="I1427" s="18">
        <v>3949.1680000000001</v>
      </c>
      <c r="J1427" s="18">
        <v>5673.5519999999997</v>
      </c>
      <c r="K1427" s="18" t="s">
        <v>22</v>
      </c>
      <c r="L1427" s="18" t="s">
        <v>44</v>
      </c>
      <c r="M1427" s="18" t="s">
        <v>24</v>
      </c>
      <c r="N1427" s="22">
        <f t="shared" si="132"/>
        <v>0.83691526818784601</v>
      </c>
      <c r="O1427" s="22">
        <f t="shared" si="133"/>
        <v>0.25993716705368097</v>
      </c>
      <c r="P1427" s="23">
        <f t="shared" si="134"/>
        <v>6.7428766561945103E-2</v>
      </c>
      <c r="Q1427" s="23">
        <f t="shared" si="135"/>
        <v>0.25940409879138199</v>
      </c>
      <c r="R1427" s="22">
        <f t="shared" si="136"/>
        <v>0.43664488317539302</v>
      </c>
      <c r="S1427" s="22">
        <f t="shared" si="137"/>
        <v>1.43664488317539</v>
      </c>
    </row>
    <row r="1428" spans="1:19">
      <c r="A1428" s="18" t="s">
        <v>1467</v>
      </c>
      <c r="B1428" s="18" t="s">
        <v>28</v>
      </c>
      <c r="C1428" s="18" t="s">
        <v>29</v>
      </c>
      <c r="D1428" s="19">
        <v>44887</v>
      </c>
      <c r="E1428" s="20">
        <v>45517</v>
      </c>
      <c r="F1428" s="21">
        <v>2609.6</v>
      </c>
      <c r="G1428" s="21">
        <v>1747.2</v>
      </c>
      <c r="H1428" s="21">
        <v>1715.2</v>
      </c>
      <c r="I1428" s="18">
        <v>696.81600000000003</v>
      </c>
      <c r="J1428" s="18">
        <v>1074.5119999999999</v>
      </c>
      <c r="K1428" s="18" t="s">
        <v>43</v>
      </c>
      <c r="L1428" s="18" t="s">
        <v>23</v>
      </c>
      <c r="M1428" s="18" t="s">
        <v>32</v>
      </c>
      <c r="N1428" s="22">
        <f t="shared" si="132"/>
        <v>0.66952789699570803</v>
      </c>
      <c r="O1428" s="22">
        <f t="shared" si="133"/>
        <v>0.98168498168498197</v>
      </c>
      <c r="P1428" s="23">
        <f t="shared" si="134"/>
        <v>0.39881868131868098</v>
      </c>
      <c r="Q1428" s="23">
        <f t="shared" si="135"/>
        <v>0.40625932835820899</v>
      </c>
      <c r="R1428" s="22">
        <f t="shared" si="136"/>
        <v>0.54203118183279397</v>
      </c>
      <c r="S1428" s="22">
        <f t="shared" si="137"/>
        <v>1.5420311818327901</v>
      </c>
    </row>
    <row r="1429" spans="1:19">
      <c r="A1429" s="18" t="s">
        <v>1468</v>
      </c>
      <c r="B1429" s="18" t="s">
        <v>34</v>
      </c>
      <c r="C1429" s="18" t="s">
        <v>48</v>
      </c>
      <c r="D1429" s="19">
        <v>44903</v>
      </c>
      <c r="E1429" s="20">
        <v>45506</v>
      </c>
      <c r="F1429" s="21">
        <v>46603.199999999997</v>
      </c>
      <c r="G1429" s="21">
        <v>33563.199999999997</v>
      </c>
      <c r="H1429" s="21">
        <v>12081.6</v>
      </c>
      <c r="I1429" s="18">
        <v>4070</v>
      </c>
      <c r="J1429" s="18">
        <v>6697.8559999999998</v>
      </c>
      <c r="K1429" s="18" t="s">
        <v>43</v>
      </c>
      <c r="L1429" s="18" t="s">
        <v>31</v>
      </c>
      <c r="M1429" s="18" t="s">
        <v>32</v>
      </c>
      <c r="N1429" s="22">
        <f t="shared" si="132"/>
        <v>0.72019088817935295</v>
      </c>
      <c r="O1429" s="22">
        <f t="shared" si="133"/>
        <v>0.35996567669352197</v>
      </c>
      <c r="P1429" s="23">
        <f t="shared" si="134"/>
        <v>0.12126376507603601</v>
      </c>
      <c r="Q1429" s="23">
        <f t="shared" si="135"/>
        <v>0.33687591047543403</v>
      </c>
      <c r="R1429" s="22">
        <f t="shared" si="136"/>
        <v>0.64566486486486496</v>
      </c>
      <c r="S1429" s="22">
        <f t="shared" si="137"/>
        <v>1.64566486486486</v>
      </c>
    </row>
    <row r="1430" spans="1:19">
      <c r="A1430" s="18" t="s">
        <v>1469</v>
      </c>
      <c r="B1430" s="18" t="s">
        <v>40</v>
      </c>
      <c r="C1430" s="18" t="s">
        <v>21</v>
      </c>
      <c r="D1430" s="19">
        <v>44870</v>
      </c>
      <c r="E1430" s="20">
        <v>45500</v>
      </c>
      <c r="F1430" s="21">
        <v>5200</v>
      </c>
      <c r="G1430" s="21">
        <v>2009.6</v>
      </c>
      <c r="H1430" s="21">
        <v>251.2</v>
      </c>
      <c r="I1430" s="18">
        <v>989.2</v>
      </c>
      <c r="J1430" s="18">
        <v>3609.5680000000002</v>
      </c>
      <c r="K1430" s="18" t="s">
        <v>65</v>
      </c>
      <c r="L1430" s="18" t="s">
        <v>44</v>
      </c>
      <c r="M1430" s="18" t="s">
        <v>32</v>
      </c>
      <c r="N1430" s="22">
        <f t="shared" si="132"/>
        <v>0.38646153846153802</v>
      </c>
      <c r="O1430" s="22">
        <f t="shared" si="133"/>
        <v>0.125</v>
      </c>
      <c r="P1430" s="23">
        <f t="shared" si="134"/>
        <v>0.49223726114649702</v>
      </c>
      <c r="Q1430" s="23">
        <f t="shared" si="135"/>
        <v>3.9378980891719699</v>
      </c>
      <c r="R1430" s="22">
        <f t="shared" si="136"/>
        <v>2.6489769510715702</v>
      </c>
      <c r="S1430" s="22">
        <f t="shared" si="137"/>
        <v>3.6489769510715702</v>
      </c>
    </row>
    <row r="1431" spans="1:19">
      <c r="A1431" s="18" t="s">
        <v>1470</v>
      </c>
      <c r="B1431" s="18" t="s">
        <v>20</v>
      </c>
      <c r="C1431" s="18" t="s">
        <v>48</v>
      </c>
      <c r="D1431" s="19">
        <v>44880</v>
      </c>
      <c r="E1431" s="20">
        <v>45505</v>
      </c>
      <c r="F1431" s="21">
        <v>61899.199999999997</v>
      </c>
      <c r="G1431" s="21">
        <v>42504</v>
      </c>
      <c r="H1431" s="21">
        <v>3374.4</v>
      </c>
      <c r="I1431" s="18">
        <v>6208.88</v>
      </c>
      <c r="J1431" s="18">
        <v>19346.912</v>
      </c>
      <c r="K1431" s="18" t="s">
        <v>38</v>
      </c>
      <c r="L1431" s="18" t="s">
        <v>50</v>
      </c>
      <c r="M1431" s="18" t="s">
        <v>24</v>
      </c>
      <c r="N1431" s="22">
        <f t="shared" si="132"/>
        <v>0.68666477111174296</v>
      </c>
      <c r="O1431" s="22">
        <f t="shared" si="133"/>
        <v>7.9390175042349007E-2</v>
      </c>
      <c r="P1431" s="23">
        <f t="shared" si="134"/>
        <v>0.14607754564276301</v>
      </c>
      <c r="Q1431" s="23">
        <f t="shared" si="135"/>
        <v>1.83999525841631</v>
      </c>
      <c r="R1431" s="22">
        <f t="shared" si="136"/>
        <v>2.1160067516202599</v>
      </c>
      <c r="S1431" s="22">
        <f t="shared" si="137"/>
        <v>3.1160067516202599</v>
      </c>
    </row>
    <row r="1432" spans="1:19">
      <c r="A1432" s="18" t="s">
        <v>1471</v>
      </c>
      <c r="B1432" s="18" t="s">
        <v>20</v>
      </c>
      <c r="C1432" s="18" t="s">
        <v>21</v>
      </c>
      <c r="D1432" s="19">
        <v>44871</v>
      </c>
      <c r="E1432" s="20">
        <v>45479</v>
      </c>
      <c r="F1432" s="21">
        <v>61846.400000000001</v>
      </c>
      <c r="G1432" s="21">
        <v>3152</v>
      </c>
      <c r="H1432" s="21">
        <v>3097.6</v>
      </c>
      <c r="I1432" s="18">
        <v>1653.12</v>
      </c>
      <c r="J1432" s="18">
        <v>3794.576</v>
      </c>
      <c r="K1432" s="18" t="s">
        <v>30</v>
      </c>
      <c r="L1432" s="18" t="s">
        <v>44</v>
      </c>
      <c r="M1432" s="18" t="s">
        <v>32</v>
      </c>
      <c r="N1432" s="22">
        <f t="shared" si="132"/>
        <v>5.0964971283696398E-2</v>
      </c>
      <c r="O1432" s="22">
        <f t="shared" si="133"/>
        <v>0.98274111675126896</v>
      </c>
      <c r="P1432" s="23">
        <f t="shared" si="134"/>
        <v>0.52446700507614197</v>
      </c>
      <c r="Q1432" s="23">
        <f t="shared" si="135"/>
        <v>0.53367768595041298</v>
      </c>
      <c r="R1432" s="22">
        <f t="shared" si="136"/>
        <v>1.2954026325977499</v>
      </c>
      <c r="S1432" s="22">
        <f t="shared" si="137"/>
        <v>2.2954026325977499</v>
      </c>
    </row>
    <row r="1433" spans="1:19">
      <c r="A1433" s="18" t="s">
        <v>1472</v>
      </c>
      <c r="B1433" s="18" t="s">
        <v>20</v>
      </c>
      <c r="C1433" s="18" t="s">
        <v>41</v>
      </c>
      <c r="D1433" s="19">
        <v>44831</v>
      </c>
      <c r="E1433" s="20">
        <v>45457</v>
      </c>
      <c r="F1433" s="21">
        <v>51499.199999999997</v>
      </c>
      <c r="G1433" s="21">
        <v>11542.4</v>
      </c>
      <c r="H1433" s="21">
        <v>200</v>
      </c>
      <c r="I1433" s="18">
        <v>7763.8879999999999</v>
      </c>
      <c r="J1433" s="18">
        <v>19212.560000000001</v>
      </c>
      <c r="K1433" s="18" t="s">
        <v>30</v>
      </c>
      <c r="L1433" s="18" t="s">
        <v>50</v>
      </c>
      <c r="M1433" s="18" t="s">
        <v>32</v>
      </c>
      <c r="N1433" s="22">
        <f t="shared" si="132"/>
        <v>0.22412775344083</v>
      </c>
      <c r="O1433" s="22">
        <f t="shared" si="133"/>
        <v>1.7327418907679502E-2</v>
      </c>
      <c r="P1433" s="23">
        <f t="shared" si="134"/>
        <v>0.67264069864152998</v>
      </c>
      <c r="Q1433" s="23">
        <f t="shared" si="135"/>
        <v>38.81944</v>
      </c>
      <c r="R1433" s="22">
        <f t="shared" si="136"/>
        <v>1.47460550693158</v>
      </c>
      <c r="S1433" s="22">
        <f t="shared" si="137"/>
        <v>2.4746055069315802</v>
      </c>
    </row>
    <row r="1434" spans="1:19">
      <c r="A1434" s="18" t="s">
        <v>1473</v>
      </c>
      <c r="B1434" s="18" t="s">
        <v>26</v>
      </c>
      <c r="C1434" s="18" t="s">
        <v>29</v>
      </c>
      <c r="D1434" s="19">
        <v>44812</v>
      </c>
      <c r="E1434" s="20">
        <v>45429</v>
      </c>
      <c r="F1434" s="21">
        <v>49836.800000000003</v>
      </c>
      <c r="G1434" s="21">
        <v>8424</v>
      </c>
      <c r="H1434" s="21">
        <v>6361.6</v>
      </c>
      <c r="I1434" s="18">
        <v>5976.9279999999999</v>
      </c>
      <c r="J1434" s="18">
        <v>10040.544</v>
      </c>
      <c r="K1434" s="18" t="s">
        <v>43</v>
      </c>
      <c r="L1434" s="18" t="s">
        <v>44</v>
      </c>
      <c r="M1434" s="18" t="s">
        <v>32</v>
      </c>
      <c r="N1434" s="22">
        <f t="shared" si="132"/>
        <v>0.169031719532554</v>
      </c>
      <c r="O1434" s="22">
        <f t="shared" si="133"/>
        <v>0.75517568850902195</v>
      </c>
      <c r="P1434" s="23">
        <f t="shared" si="134"/>
        <v>0.70951187084520395</v>
      </c>
      <c r="Q1434" s="23">
        <f t="shared" si="135"/>
        <v>0.93953219315895398</v>
      </c>
      <c r="R1434" s="22">
        <f t="shared" si="136"/>
        <v>0.67988371283709603</v>
      </c>
      <c r="S1434" s="22">
        <f t="shared" si="137"/>
        <v>1.6798837128371</v>
      </c>
    </row>
    <row r="1435" spans="1:19">
      <c r="A1435" s="18" t="s">
        <v>1474</v>
      </c>
      <c r="B1435" s="18" t="s">
        <v>47</v>
      </c>
      <c r="C1435" s="18" t="s">
        <v>48</v>
      </c>
      <c r="D1435" s="19">
        <v>44806</v>
      </c>
      <c r="E1435" s="20">
        <v>45414</v>
      </c>
      <c r="F1435" s="21">
        <v>44115.199999999997</v>
      </c>
      <c r="G1435" s="21">
        <v>41406.400000000001</v>
      </c>
      <c r="H1435" s="21">
        <v>37118.400000000001</v>
      </c>
      <c r="I1435" s="18">
        <v>1721.6959999999999</v>
      </c>
      <c r="J1435" s="18">
        <v>6115.8559999999998</v>
      </c>
      <c r="K1435" s="18" t="s">
        <v>43</v>
      </c>
      <c r="L1435" s="18" t="s">
        <v>23</v>
      </c>
      <c r="M1435" s="18" t="s">
        <v>24</v>
      </c>
      <c r="N1435" s="22">
        <f t="shared" si="132"/>
        <v>0.93859712752067304</v>
      </c>
      <c r="O1435" s="22">
        <f t="shared" si="133"/>
        <v>0.89644112987364299</v>
      </c>
      <c r="P1435" s="23">
        <f t="shared" si="134"/>
        <v>4.1580432010510399E-2</v>
      </c>
      <c r="Q1435" s="23">
        <f t="shared" si="135"/>
        <v>4.6383895857580099E-2</v>
      </c>
      <c r="R1435" s="22">
        <f t="shared" si="136"/>
        <v>2.5522275709532898</v>
      </c>
      <c r="S1435" s="22">
        <f t="shared" si="137"/>
        <v>3.5522275709532898</v>
      </c>
    </row>
    <row r="1436" spans="1:19">
      <c r="A1436" s="18" t="s">
        <v>1475</v>
      </c>
      <c r="B1436" s="18" t="s">
        <v>20</v>
      </c>
      <c r="C1436" s="18" t="s">
        <v>29</v>
      </c>
      <c r="D1436" s="19">
        <v>44771</v>
      </c>
      <c r="E1436" s="20">
        <v>45393</v>
      </c>
      <c r="F1436" s="21">
        <v>44091.199999999997</v>
      </c>
      <c r="G1436" s="21">
        <v>41353.599999999999</v>
      </c>
      <c r="H1436" s="21">
        <v>36214.400000000001</v>
      </c>
      <c r="I1436" s="18">
        <v>4885.4080000000004</v>
      </c>
      <c r="J1436" s="18">
        <v>14340.864</v>
      </c>
      <c r="K1436" s="18" t="s">
        <v>38</v>
      </c>
      <c r="L1436" s="18" t="s">
        <v>35</v>
      </c>
      <c r="M1436" s="18" t="s">
        <v>32</v>
      </c>
      <c r="N1436" s="22">
        <f t="shared" si="132"/>
        <v>0.93791051275537995</v>
      </c>
      <c r="O1436" s="22">
        <f t="shared" si="133"/>
        <v>0.87572545074673103</v>
      </c>
      <c r="P1436" s="23">
        <f t="shared" si="134"/>
        <v>0.11813742938946099</v>
      </c>
      <c r="Q1436" s="23">
        <f t="shared" si="135"/>
        <v>0.134902359282495</v>
      </c>
      <c r="R1436" s="22">
        <f t="shared" si="136"/>
        <v>1.93544858484696</v>
      </c>
      <c r="S1436" s="22">
        <f t="shared" si="137"/>
        <v>2.9354485848469598</v>
      </c>
    </row>
    <row r="1437" spans="1:19">
      <c r="A1437" s="18" t="s">
        <v>1476</v>
      </c>
      <c r="B1437" s="18" t="s">
        <v>34</v>
      </c>
      <c r="C1437" s="18" t="s">
        <v>29</v>
      </c>
      <c r="D1437" s="19">
        <v>44904</v>
      </c>
      <c r="E1437" s="20">
        <v>45531</v>
      </c>
      <c r="F1437" s="21">
        <v>29961.599999999999</v>
      </c>
      <c r="G1437" s="21">
        <v>22027.200000000001</v>
      </c>
      <c r="H1437" s="21">
        <v>14155.2</v>
      </c>
      <c r="I1437" s="18">
        <v>416.048</v>
      </c>
      <c r="J1437" s="18">
        <v>1127.8240000000001</v>
      </c>
      <c r="K1437" s="18" t="s">
        <v>30</v>
      </c>
      <c r="L1437" s="18" t="s">
        <v>35</v>
      </c>
      <c r="M1437" s="18" t="s">
        <v>24</v>
      </c>
      <c r="N1437" s="22">
        <f t="shared" si="132"/>
        <v>0.73518103172060201</v>
      </c>
      <c r="O1437" s="22">
        <f t="shared" si="133"/>
        <v>0.64262366528655501</v>
      </c>
      <c r="P1437" s="23">
        <f t="shared" si="134"/>
        <v>1.8887920389336801E-2</v>
      </c>
      <c r="Q1437" s="23">
        <f t="shared" si="135"/>
        <v>2.93918842545496E-2</v>
      </c>
      <c r="R1437" s="22">
        <f t="shared" si="136"/>
        <v>1.71080259970003</v>
      </c>
      <c r="S1437" s="22">
        <f t="shared" si="137"/>
        <v>2.7108025997000298</v>
      </c>
    </row>
    <row r="1438" spans="1:19">
      <c r="A1438" s="18" t="s">
        <v>1477</v>
      </c>
      <c r="B1438" s="18" t="s">
        <v>34</v>
      </c>
      <c r="C1438" s="18" t="s">
        <v>29</v>
      </c>
      <c r="D1438" s="19">
        <v>44706</v>
      </c>
      <c r="E1438" s="20">
        <v>45335</v>
      </c>
      <c r="F1438" s="21">
        <v>13686.4</v>
      </c>
      <c r="G1438" s="21">
        <v>7993.6</v>
      </c>
      <c r="H1438" s="21">
        <v>7956.8</v>
      </c>
      <c r="I1438" s="18">
        <v>7321.1360000000004</v>
      </c>
      <c r="J1438" s="18">
        <v>9793.5360000000001</v>
      </c>
      <c r="K1438" s="18" t="s">
        <v>30</v>
      </c>
      <c r="L1438" s="18" t="s">
        <v>50</v>
      </c>
      <c r="M1438" s="18" t="s">
        <v>32</v>
      </c>
      <c r="N1438" s="22">
        <f t="shared" si="132"/>
        <v>0.58405424362871206</v>
      </c>
      <c r="O1438" s="22">
        <f t="shared" si="133"/>
        <v>0.99539631705364295</v>
      </c>
      <c r="P1438" s="23">
        <f t="shared" si="134"/>
        <v>0.91587469975980795</v>
      </c>
      <c r="Q1438" s="23">
        <f t="shared" si="135"/>
        <v>0.92011059722501498</v>
      </c>
      <c r="R1438" s="22">
        <f t="shared" si="136"/>
        <v>0.33770715364391501</v>
      </c>
      <c r="S1438" s="22">
        <f t="shared" si="137"/>
        <v>1.33770715364392</v>
      </c>
    </row>
    <row r="1439" spans="1:19">
      <c r="A1439" s="18" t="s">
        <v>1478</v>
      </c>
      <c r="B1439" s="18" t="s">
        <v>47</v>
      </c>
      <c r="C1439" s="18" t="s">
        <v>41</v>
      </c>
      <c r="D1439" s="19">
        <v>44734</v>
      </c>
      <c r="E1439" s="20">
        <v>45364</v>
      </c>
      <c r="F1439" s="21">
        <v>2651.2</v>
      </c>
      <c r="G1439" s="21">
        <v>1555.2</v>
      </c>
      <c r="H1439" s="21">
        <v>409.6</v>
      </c>
      <c r="I1439" s="18">
        <v>6562.7839999999997</v>
      </c>
      <c r="J1439" s="18">
        <v>10826.031999999999</v>
      </c>
      <c r="K1439" s="18" t="s">
        <v>43</v>
      </c>
      <c r="L1439" s="18" t="s">
        <v>35</v>
      </c>
      <c r="M1439" s="18" t="s">
        <v>32</v>
      </c>
      <c r="N1439" s="22">
        <f t="shared" si="132"/>
        <v>0.58660229330114699</v>
      </c>
      <c r="O1439" s="22">
        <f t="shared" si="133"/>
        <v>0.26337448559670801</v>
      </c>
      <c r="P1439" s="23">
        <f t="shared" si="134"/>
        <v>4.2198971193415602</v>
      </c>
      <c r="Q1439" s="23">
        <f t="shared" si="135"/>
        <v>16.022421874999999</v>
      </c>
      <c r="R1439" s="22">
        <f t="shared" si="136"/>
        <v>0.649609677844037</v>
      </c>
      <c r="S1439" s="22">
        <f t="shared" si="137"/>
        <v>1.6496096778440399</v>
      </c>
    </row>
    <row r="1440" spans="1:19">
      <c r="A1440" s="18" t="s">
        <v>1479</v>
      </c>
      <c r="B1440" s="18" t="s">
        <v>34</v>
      </c>
      <c r="C1440" s="18" t="s">
        <v>41</v>
      </c>
      <c r="D1440" s="19">
        <v>44905</v>
      </c>
      <c r="E1440" s="20">
        <v>45513</v>
      </c>
      <c r="F1440" s="21">
        <v>72889.600000000006</v>
      </c>
      <c r="G1440" s="21">
        <v>31016</v>
      </c>
      <c r="H1440" s="21">
        <v>24628.799999999999</v>
      </c>
      <c r="I1440" s="18">
        <v>1397.088</v>
      </c>
      <c r="J1440" s="18">
        <v>5116.9759999999997</v>
      </c>
      <c r="K1440" s="18" t="s">
        <v>22</v>
      </c>
      <c r="L1440" s="18" t="s">
        <v>50</v>
      </c>
      <c r="M1440" s="18" t="s">
        <v>24</v>
      </c>
      <c r="N1440" s="22">
        <f t="shared" si="132"/>
        <v>0.42552023882693801</v>
      </c>
      <c r="O1440" s="22">
        <f t="shared" si="133"/>
        <v>0.79406757802424599</v>
      </c>
      <c r="P1440" s="23">
        <f t="shared" si="134"/>
        <v>4.5044106267732802E-2</v>
      </c>
      <c r="Q1440" s="23">
        <f t="shared" si="135"/>
        <v>5.6725784447476099E-2</v>
      </c>
      <c r="R1440" s="22">
        <f t="shared" si="136"/>
        <v>2.6626010673629699</v>
      </c>
      <c r="S1440" s="22">
        <f t="shared" si="137"/>
        <v>3.6626010673629699</v>
      </c>
    </row>
    <row r="1441" spans="1:19">
      <c r="A1441" s="18" t="s">
        <v>1480</v>
      </c>
      <c r="B1441" s="18" t="s">
        <v>20</v>
      </c>
      <c r="C1441" s="18" t="s">
        <v>21</v>
      </c>
      <c r="D1441" s="19">
        <v>44746</v>
      </c>
      <c r="E1441" s="20">
        <v>45357</v>
      </c>
      <c r="F1441" s="21">
        <v>71910.399999999994</v>
      </c>
      <c r="G1441" s="21">
        <v>40806.400000000001</v>
      </c>
      <c r="H1441" s="21">
        <v>20009.599999999999</v>
      </c>
      <c r="I1441" s="18">
        <v>6279.6</v>
      </c>
      <c r="J1441" s="18">
        <v>24628.864000000001</v>
      </c>
      <c r="K1441" s="18" t="s">
        <v>30</v>
      </c>
      <c r="L1441" s="18" t="s">
        <v>44</v>
      </c>
      <c r="M1441" s="18" t="s">
        <v>24</v>
      </c>
      <c r="N1441" s="22">
        <f t="shared" si="132"/>
        <v>0.56746173015307899</v>
      </c>
      <c r="O1441" s="22">
        <f t="shared" si="133"/>
        <v>0.49035445420326201</v>
      </c>
      <c r="P1441" s="23">
        <f t="shared" si="134"/>
        <v>0.15388762547051399</v>
      </c>
      <c r="Q1441" s="23">
        <f t="shared" si="135"/>
        <v>0.31382936190628502</v>
      </c>
      <c r="R1441" s="22">
        <f t="shared" si="136"/>
        <v>2.9220434422574701</v>
      </c>
      <c r="S1441" s="22">
        <f t="shared" si="137"/>
        <v>3.9220434422574701</v>
      </c>
    </row>
    <row r="1442" spans="1:19">
      <c r="A1442" s="18" t="s">
        <v>1481</v>
      </c>
      <c r="B1442" s="18" t="s">
        <v>34</v>
      </c>
      <c r="C1442" s="18" t="s">
        <v>29</v>
      </c>
      <c r="D1442" s="19">
        <v>44705</v>
      </c>
      <c r="E1442" s="20">
        <v>45331</v>
      </c>
      <c r="F1442" s="21">
        <v>66547.199999999997</v>
      </c>
      <c r="G1442" s="21">
        <v>8792</v>
      </c>
      <c r="H1442" s="21">
        <v>580.79999999999995</v>
      </c>
      <c r="I1442" s="18">
        <v>5801.3119999999999</v>
      </c>
      <c r="J1442" s="18">
        <v>8606</v>
      </c>
      <c r="K1442" s="18" t="s">
        <v>22</v>
      </c>
      <c r="L1442" s="18" t="s">
        <v>23</v>
      </c>
      <c r="M1442" s="18" t="s">
        <v>32</v>
      </c>
      <c r="N1442" s="22">
        <f t="shared" si="132"/>
        <v>0.13211675322177299</v>
      </c>
      <c r="O1442" s="22">
        <f t="shared" si="133"/>
        <v>6.6060054595086404E-2</v>
      </c>
      <c r="P1442" s="23">
        <f t="shared" si="134"/>
        <v>0.659839854413103</v>
      </c>
      <c r="Q1442" s="23">
        <f t="shared" si="135"/>
        <v>9.9884848484848501</v>
      </c>
      <c r="R1442" s="22">
        <f t="shared" si="136"/>
        <v>0.48345753512308898</v>
      </c>
      <c r="S1442" s="22">
        <f t="shared" si="137"/>
        <v>1.4834575351230901</v>
      </c>
    </row>
    <row r="1443" spans="1:19">
      <c r="A1443" s="18" t="s">
        <v>1482</v>
      </c>
      <c r="B1443" s="18" t="s">
        <v>20</v>
      </c>
      <c r="C1443" s="18" t="s">
        <v>48</v>
      </c>
      <c r="D1443" s="19">
        <v>44900</v>
      </c>
      <c r="E1443" s="20">
        <v>45519</v>
      </c>
      <c r="F1443" s="21">
        <v>72684.800000000003</v>
      </c>
      <c r="G1443" s="21">
        <v>23833.599999999999</v>
      </c>
      <c r="H1443" s="21">
        <v>2113.6</v>
      </c>
      <c r="I1443" s="18">
        <v>626.22400000000005</v>
      </c>
      <c r="J1443" s="18">
        <v>2023.8720000000001</v>
      </c>
      <c r="K1443" s="18" t="s">
        <v>43</v>
      </c>
      <c r="L1443" s="18" t="s">
        <v>50</v>
      </c>
      <c r="M1443" s="18" t="s">
        <v>32</v>
      </c>
      <c r="N1443" s="22">
        <f t="shared" si="132"/>
        <v>0.32790349564145499</v>
      </c>
      <c r="O1443" s="22">
        <f t="shared" si="133"/>
        <v>8.8681525241675593E-2</v>
      </c>
      <c r="P1443" s="23">
        <f t="shared" si="134"/>
        <v>2.6274838882921599E-2</v>
      </c>
      <c r="Q1443" s="23">
        <f t="shared" si="135"/>
        <v>0.29628311884935699</v>
      </c>
      <c r="R1443" s="22">
        <f t="shared" si="136"/>
        <v>2.2318659137944201</v>
      </c>
      <c r="S1443" s="22">
        <f t="shared" si="137"/>
        <v>3.2318659137944201</v>
      </c>
    </row>
    <row r="1444" spans="1:19">
      <c r="A1444" s="18" t="s">
        <v>1483</v>
      </c>
      <c r="B1444" s="18" t="s">
        <v>26</v>
      </c>
      <c r="C1444" s="18" t="s">
        <v>29</v>
      </c>
      <c r="D1444" s="19">
        <v>44762</v>
      </c>
      <c r="E1444" s="20">
        <v>45370</v>
      </c>
      <c r="F1444" s="21">
        <v>2688</v>
      </c>
      <c r="G1444" s="21">
        <v>628.79999999999995</v>
      </c>
      <c r="H1444" s="21">
        <v>500.8</v>
      </c>
      <c r="I1444" s="18">
        <v>1499.568</v>
      </c>
      <c r="J1444" s="18">
        <v>3110.8319999999999</v>
      </c>
      <c r="K1444" s="18" t="s">
        <v>65</v>
      </c>
      <c r="L1444" s="18" t="s">
        <v>44</v>
      </c>
      <c r="M1444" s="18" t="s">
        <v>32</v>
      </c>
      <c r="N1444" s="22">
        <f t="shared" si="132"/>
        <v>0.23392857142857101</v>
      </c>
      <c r="O1444" s="22">
        <f t="shared" si="133"/>
        <v>0.79643765903307895</v>
      </c>
      <c r="P1444" s="23">
        <f t="shared" si="134"/>
        <v>2.3848091603053398</v>
      </c>
      <c r="Q1444" s="23">
        <f t="shared" si="135"/>
        <v>2.99434504792332</v>
      </c>
      <c r="R1444" s="22">
        <f t="shared" si="136"/>
        <v>1.0744854518101199</v>
      </c>
      <c r="S1444" s="22">
        <f t="shared" si="137"/>
        <v>2.0744854518101201</v>
      </c>
    </row>
    <row r="1445" spans="1:19">
      <c r="A1445" s="18" t="s">
        <v>1484</v>
      </c>
      <c r="B1445" s="18" t="s">
        <v>26</v>
      </c>
      <c r="C1445" s="18" t="s">
        <v>29</v>
      </c>
      <c r="D1445" s="19">
        <v>44939</v>
      </c>
      <c r="E1445" s="20">
        <v>45542</v>
      </c>
      <c r="F1445" s="21">
        <v>34704</v>
      </c>
      <c r="G1445" s="21">
        <v>31571.200000000001</v>
      </c>
      <c r="H1445" s="21">
        <v>30976</v>
      </c>
      <c r="I1445" s="18">
        <v>2430.8000000000002</v>
      </c>
      <c r="J1445" s="18">
        <v>7722.96</v>
      </c>
      <c r="K1445" s="18" t="s">
        <v>65</v>
      </c>
      <c r="L1445" s="18" t="s">
        <v>23</v>
      </c>
      <c r="M1445" s="18" t="s">
        <v>24</v>
      </c>
      <c r="N1445" s="22">
        <f t="shared" si="132"/>
        <v>0.90972798524665699</v>
      </c>
      <c r="O1445" s="22">
        <f t="shared" si="133"/>
        <v>0.98114737482262304</v>
      </c>
      <c r="P1445" s="23">
        <f t="shared" si="134"/>
        <v>7.6994222582606894E-2</v>
      </c>
      <c r="Q1445" s="23">
        <f t="shared" si="135"/>
        <v>7.8473657024793406E-2</v>
      </c>
      <c r="R1445" s="22">
        <f t="shared" si="136"/>
        <v>2.1771268718117498</v>
      </c>
      <c r="S1445" s="22">
        <f t="shared" si="137"/>
        <v>3.1771268718117498</v>
      </c>
    </row>
    <row r="1446" spans="1:19">
      <c r="A1446" s="18" t="s">
        <v>1485</v>
      </c>
      <c r="B1446" s="18" t="s">
        <v>40</v>
      </c>
      <c r="C1446" s="18" t="s">
        <v>21</v>
      </c>
      <c r="D1446" s="19">
        <v>44806</v>
      </c>
      <c r="E1446" s="20">
        <v>45431</v>
      </c>
      <c r="F1446" s="21">
        <v>29571.200000000001</v>
      </c>
      <c r="G1446" s="21">
        <v>25280</v>
      </c>
      <c r="H1446" s="21">
        <v>14368</v>
      </c>
      <c r="I1446" s="18">
        <v>1660.1120000000001</v>
      </c>
      <c r="J1446" s="18">
        <v>3922.752</v>
      </c>
      <c r="K1446" s="18" t="s">
        <v>38</v>
      </c>
      <c r="L1446" s="18" t="s">
        <v>35</v>
      </c>
      <c r="M1446" s="18" t="s">
        <v>32</v>
      </c>
      <c r="N1446" s="22">
        <f t="shared" si="132"/>
        <v>0.85488583486635605</v>
      </c>
      <c r="O1446" s="22">
        <f t="shared" si="133"/>
        <v>0.56835443037974698</v>
      </c>
      <c r="P1446" s="23">
        <f t="shared" si="134"/>
        <v>6.5668987341772206E-2</v>
      </c>
      <c r="Q1446" s="23">
        <f t="shared" si="135"/>
        <v>0.115542316258352</v>
      </c>
      <c r="R1446" s="22">
        <f t="shared" si="136"/>
        <v>1.3629441868982299</v>
      </c>
      <c r="S1446" s="22">
        <f t="shared" si="137"/>
        <v>2.3629441868982299</v>
      </c>
    </row>
    <row r="1447" spans="1:19">
      <c r="A1447" s="18" t="s">
        <v>1486</v>
      </c>
      <c r="B1447" s="18" t="s">
        <v>34</v>
      </c>
      <c r="C1447" s="18" t="s">
        <v>21</v>
      </c>
      <c r="D1447" s="19">
        <v>44810</v>
      </c>
      <c r="E1447" s="20">
        <v>45427</v>
      </c>
      <c r="F1447" s="21">
        <v>44412.800000000003</v>
      </c>
      <c r="G1447" s="21">
        <v>2030.4</v>
      </c>
      <c r="H1447" s="21">
        <v>1643.2</v>
      </c>
      <c r="I1447" s="18">
        <v>6793.3280000000004</v>
      </c>
      <c r="J1447" s="18">
        <v>20166.240000000002</v>
      </c>
      <c r="K1447" s="18" t="s">
        <v>22</v>
      </c>
      <c r="L1447" s="18" t="s">
        <v>23</v>
      </c>
      <c r="M1447" s="18" t="s">
        <v>24</v>
      </c>
      <c r="N1447" s="22">
        <f t="shared" si="132"/>
        <v>4.5716550183730803E-2</v>
      </c>
      <c r="O1447" s="22">
        <f t="shared" si="133"/>
        <v>0.80929866036248999</v>
      </c>
      <c r="P1447" s="23">
        <f t="shared" si="134"/>
        <v>3.3458077226162302</v>
      </c>
      <c r="Q1447" s="23">
        <f t="shared" si="135"/>
        <v>4.1342064264849103</v>
      </c>
      <c r="R1447" s="22">
        <f t="shared" si="136"/>
        <v>1.9685361872708</v>
      </c>
      <c r="S1447" s="22">
        <f t="shared" si="137"/>
        <v>2.9685361872708</v>
      </c>
    </row>
    <row r="1448" spans="1:19">
      <c r="A1448" s="18" t="s">
        <v>1487</v>
      </c>
      <c r="B1448" s="18" t="s">
        <v>28</v>
      </c>
      <c r="C1448" s="18" t="s">
        <v>48</v>
      </c>
      <c r="D1448" s="19">
        <v>44786</v>
      </c>
      <c r="E1448" s="20">
        <v>45408</v>
      </c>
      <c r="F1448" s="21">
        <v>47608</v>
      </c>
      <c r="G1448" s="21">
        <v>36616</v>
      </c>
      <c r="H1448" s="21">
        <v>34996.800000000003</v>
      </c>
      <c r="I1448" s="18">
        <v>443.392</v>
      </c>
      <c r="J1448" s="18">
        <v>659.12</v>
      </c>
      <c r="K1448" s="18" t="s">
        <v>43</v>
      </c>
      <c r="L1448" s="18" t="s">
        <v>23</v>
      </c>
      <c r="M1448" s="18" t="s">
        <v>32</v>
      </c>
      <c r="N1448" s="22">
        <f t="shared" si="132"/>
        <v>0.76911443454881501</v>
      </c>
      <c r="O1448" s="22">
        <f t="shared" si="133"/>
        <v>0.95577889447236197</v>
      </c>
      <c r="P1448" s="23">
        <f t="shared" si="134"/>
        <v>1.2109241861481299E-2</v>
      </c>
      <c r="Q1448" s="23">
        <f t="shared" si="135"/>
        <v>1.26695012115393E-2</v>
      </c>
      <c r="R1448" s="22">
        <f t="shared" si="136"/>
        <v>0.48654012702078497</v>
      </c>
      <c r="S1448" s="22">
        <f t="shared" si="137"/>
        <v>1.4865401270207901</v>
      </c>
    </row>
    <row r="1449" spans="1:19">
      <c r="A1449" s="18" t="s">
        <v>1488</v>
      </c>
      <c r="B1449" s="18" t="s">
        <v>26</v>
      </c>
      <c r="C1449" s="18" t="s">
        <v>41</v>
      </c>
      <c r="D1449" s="19">
        <v>44865</v>
      </c>
      <c r="E1449" s="20">
        <v>45472</v>
      </c>
      <c r="F1449" s="21">
        <v>72676.800000000003</v>
      </c>
      <c r="G1449" s="21">
        <v>25252.799999999999</v>
      </c>
      <c r="H1449" s="21">
        <v>20856</v>
      </c>
      <c r="I1449" s="18">
        <v>4467.7759999999998</v>
      </c>
      <c r="J1449" s="18">
        <v>14466.992</v>
      </c>
      <c r="K1449" s="18" t="s">
        <v>30</v>
      </c>
      <c r="L1449" s="18" t="s">
        <v>35</v>
      </c>
      <c r="M1449" s="18" t="s">
        <v>24</v>
      </c>
      <c r="N1449" s="22">
        <f t="shared" si="132"/>
        <v>0.34746714219668401</v>
      </c>
      <c r="O1449" s="22">
        <f t="shared" si="133"/>
        <v>0.82588861433187599</v>
      </c>
      <c r="P1449" s="23">
        <f t="shared" si="134"/>
        <v>0.17692200468858901</v>
      </c>
      <c r="Q1449" s="23">
        <f t="shared" si="135"/>
        <v>0.21422017644802499</v>
      </c>
      <c r="R1449" s="22">
        <f t="shared" si="136"/>
        <v>2.2380746035611501</v>
      </c>
      <c r="S1449" s="22">
        <f t="shared" si="137"/>
        <v>3.2380746035611501</v>
      </c>
    </row>
    <row r="1450" spans="1:19">
      <c r="A1450" s="18" t="s">
        <v>1489</v>
      </c>
      <c r="B1450" s="18" t="s">
        <v>26</v>
      </c>
      <c r="C1450" s="18" t="s">
        <v>21</v>
      </c>
      <c r="D1450" s="19">
        <v>44692</v>
      </c>
      <c r="E1450" s="20">
        <v>45317</v>
      </c>
      <c r="F1450" s="21">
        <v>13123.2</v>
      </c>
      <c r="G1450" s="21">
        <v>10008</v>
      </c>
      <c r="H1450" s="21">
        <v>5294.4</v>
      </c>
      <c r="I1450" s="18">
        <v>5906.0320000000002</v>
      </c>
      <c r="J1450" s="18">
        <v>13613.28</v>
      </c>
      <c r="K1450" s="18" t="s">
        <v>30</v>
      </c>
      <c r="L1450" s="18" t="s">
        <v>31</v>
      </c>
      <c r="M1450" s="18" t="s">
        <v>32</v>
      </c>
      <c r="N1450" s="22">
        <f t="shared" si="132"/>
        <v>0.76261887344550106</v>
      </c>
      <c r="O1450" s="22">
        <f t="shared" si="133"/>
        <v>0.52901678657074303</v>
      </c>
      <c r="P1450" s="23">
        <f t="shared" si="134"/>
        <v>0.59013109512390105</v>
      </c>
      <c r="Q1450" s="23">
        <f t="shared" si="135"/>
        <v>1.11552432759142</v>
      </c>
      <c r="R1450" s="22">
        <f t="shared" si="136"/>
        <v>1.3049790451524801</v>
      </c>
      <c r="S1450" s="22">
        <f t="shared" si="137"/>
        <v>2.3049790451524799</v>
      </c>
    </row>
    <row r="1451" spans="1:19">
      <c r="A1451" s="18" t="s">
        <v>1490</v>
      </c>
      <c r="B1451" s="18" t="s">
        <v>40</v>
      </c>
      <c r="C1451" s="18" t="s">
        <v>29</v>
      </c>
      <c r="D1451" s="19">
        <v>44764</v>
      </c>
      <c r="E1451" s="20">
        <v>45386</v>
      </c>
      <c r="F1451" s="21">
        <v>75817.600000000006</v>
      </c>
      <c r="G1451" s="21">
        <v>3291.2</v>
      </c>
      <c r="H1451" s="21">
        <v>2872</v>
      </c>
      <c r="I1451" s="18">
        <v>2408.9119999999998</v>
      </c>
      <c r="J1451" s="18">
        <v>7185.8559999999998</v>
      </c>
      <c r="K1451" s="18" t="s">
        <v>43</v>
      </c>
      <c r="L1451" s="18" t="s">
        <v>31</v>
      </c>
      <c r="M1451" s="18" t="s">
        <v>24</v>
      </c>
      <c r="N1451" s="22">
        <f t="shared" si="132"/>
        <v>4.3409445827881699E-2</v>
      </c>
      <c r="O1451" s="22">
        <f t="shared" si="133"/>
        <v>0.87263004375303799</v>
      </c>
      <c r="P1451" s="23">
        <f t="shared" si="134"/>
        <v>0.73192513368984002</v>
      </c>
      <c r="Q1451" s="23">
        <f t="shared" si="135"/>
        <v>0.83875766016713105</v>
      </c>
      <c r="R1451" s="22">
        <f t="shared" si="136"/>
        <v>1.98302968311005</v>
      </c>
      <c r="S1451" s="22">
        <f t="shared" si="137"/>
        <v>2.98302968311005</v>
      </c>
    </row>
    <row r="1452" spans="1:19">
      <c r="A1452" s="18" t="s">
        <v>1491</v>
      </c>
      <c r="B1452" s="18" t="s">
        <v>40</v>
      </c>
      <c r="C1452" s="18" t="s">
        <v>48</v>
      </c>
      <c r="D1452" s="19">
        <v>44917</v>
      </c>
      <c r="E1452" s="20">
        <v>45523</v>
      </c>
      <c r="F1452" s="21">
        <v>64696</v>
      </c>
      <c r="G1452" s="21">
        <v>5011.2</v>
      </c>
      <c r="H1452" s="21">
        <v>3886.4</v>
      </c>
      <c r="I1452" s="18">
        <v>7225.152</v>
      </c>
      <c r="J1452" s="18">
        <v>9936.3040000000001</v>
      </c>
      <c r="K1452" s="18" t="s">
        <v>43</v>
      </c>
      <c r="L1452" s="18" t="s">
        <v>35</v>
      </c>
      <c r="M1452" s="18" t="s">
        <v>32</v>
      </c>
      <c r="N1452" s="22">
        <f t="shared" si="132"/>
        <v>7.7457648077160907E-2</v>
      </c>
      <c r="O1452" s="22">
        <f t="shared" si="133"/>
        <v>0.775542784163474</v>
      </c>
      <c r="P1452" s="23">
        <f t="shared" si="134"/>
        <v>1.4418007662835299</v>
      </c>
      <c r="Q1452" s="23">
        <f t="shared" si="135"/>
        <v>1.8590860436393599</v>
      </c>
      <c r="R1452" s="22">
        <f t="shared" si="136"/>
        <v>0.37523805727547299</v>
      </c>
      <c r="S1452" s="22">
        <f t="shared" si="137"/>
        <v>1.3752380572754701</v>
      </c>
    </row>
    <row r="1453" spans="1:19">
      <c r="A1453" s="18" t="s">
        <v>1492</v>
      </c>
      <c r="B1453" s="18" t="s">
        <v>40</v>
      </c>
      <c r="C1453" s="18" t="s">
        <v>48</v>
      </c>
      <c r="D1453" s="19">
        <v>44853</v>
      </c>
      <c r="E1453" s="20">
        <v>45479</v>
      </c>
      <c r="F1453" s="21">
        <v>11945.6</v>
      </c>
      <c r="G1453" s="21">
        <v>4660.8</v>
      </c>
      <c r="H1453" s="21">
        <v>3272</v>
      </c>
      <c r="I1453" s="18">
        <v>5325.5360000000001</v>
      </c>
      <c r="J1453" s="18">
        <v>11581.664000000001</v>
      </c>
      <c r="K1453" s="18" t="s">
        <v>43</v>
      </c>
      <c r="L1453" s="18" t="s">
        <v>50</v>
      </c>
      <c r="M1453" s="18" t="s">
        <v>24</v>
      </c>
      <c r="N1453" s="22">
        <f t="shared" si="132"/>
        <v>0.39016876506831</v>
      </c>
      <c r="O1453" s="22">
        <f t="shared" si="133"/>
        <v>0.70202540336422903</v>
      </c>
      <c r="P1453" s="23">
        <f t="shared" si="134"/>
        <v>1.14262272571232</v>
      </c>
      <c r="Q1453" s="23">
        <f t="shared" si="135"/>
        <v>1.62760880195599</v>
      </c>
      <c r="R1453" s="22">
        <f t="shared" si="136"/>
        <v>1.1747414720321101</v>
      </c>
      <c r="S1453" s="22">
        <f t="shared" si="137"/>
        <v>2.1747414720321099</v>
      </c>
    </row>
    <row r="1454" spans="1:19">
      <c r="A1454" s="18" t="s">
        <v>1493</v>
      </c>
      <c r="B1454" s="18" t="s">
        <v>40</v>
      </c>
      <c r="C1454" s="18" t="s">
        <v>21</v>
      </c>
      <c r="D1454" s="19">
        <v>44886</v>
      </c>
      <c r="E1454" s="20">
        <v>45502</v>
      </c>
      <c r="F1454" s="21">
        <v>45068.800000000003</v>
      </c>
      <c r="G1454" s="21">
        <v>30827.200000000001</v>
      </c>
      <c r="H1454" s="21">
        <v>3142.4</v>
      </c>
      <c r="I1454" s="18">
        <v>5386.5919999999996</v>
      </c>
      <c r="J1454" s="18">
        <v>9401.9680000000008</v>
      </c>
      <c r="K1454" s="18" t="s">
        <v>43</v>
      </c>
      <c r="L1454" s="18" t="s">
        <v>31</v>
      </c>
      <c r="M1454" s="18" t="s">
        <v>24</v>
      </c>
      <c r="N1454" s="22">
        <f t="shared" si="132"/>
        <v>0.684003124112468</v>
      </c>
      <c r="O1454" s="22">
        <f t="shared" si="133"/>
        <v>0.10193595266517901</v>
      </c>
      <c r="P1454" s="23">
        <f t="shared" si="134"/>
        <v>0.174735039186173</v>
      </c>
      <c r="Q1454" s="23">
        <f t="shared" si="135"/>
        <v>1.7141649694501</v>
      </c>
      <c r="R1454" s="22">
        <f t="shared" si="136"/>
        <v>0.74543904568974295</v>
      </c>
      <c r="S1454" s="22">
        <f t="shared" si="137"/>
        <v>1.74543904568974</v>
      </c>
    </row>
    <row r="1455" spans="1:19">
      <c r="A1455" s="18" t="s">
        <v>1494</v>
      </c>
      <c r="B1455" s="18" t="s">
        <v>26</v>
      </c>
      <c r="C1455" s="18" t="s">
        <v>29</v>
      </c>
      <c r="D1455" s="19">
        <v>44923</v>
      </c>
      <c r="E1455" s="20">
        <v>45526</v>
      </c>
      <c r="F1455" s="21">
        <v>8136</v>
      </c>
      <c r="G1455" s="21">
        <v>6340.8</v>
      </c>
      <c r="H1455" s="21">
        <v>1528</v>
      </c>
      <c r="I1455" s="18">
        <v>3198.6559999999999</v>
      </c>
      <c r="J1455" s="18">
        <v>10904.72</v>
      </c>
      <c r="K1455" s="18" t="s">
        <v>38</v>
      </c>
      <c r="L1455" s="18" t="s">
        <v>35</v>
      </c>
      <c r="M1455" s="18" t="s">
        <v>32</v>
      </c>
      <c r="N1455" s="22">
        <f t="shared" si="132"/>
        <v>0.779351032448378</v>
      </c>
      <c r="O1455" s="22">
        <f t="shared" si="133"/>
        <v>0.24097905627050201</v>
      </c>
      <c r="P1455" s="23">
        <f t="shared" si="134"/>
        <v>0.50445622003532697</v>
      </c>
      <c r="Q1455" s="23">
        <f t="shared" si="135"/>
        <v>2.0933612565445001</v>
      </c>
      <c r="R1455" s="22">
        <f t="shared" si="136"/>
        <v>2.4091568458752701</v>
      </c>
      <c r="S1455" s="22">
        <f t="shared" si="137"/>
        <v>3.4091568458752701</v>
      </c>
    </row>
    <row r="1456" spans="1:19">
      <c r="A1456" s="18" t="s">
        <v>1495</v>
      </c>
      <c r="B1456" s="18" t="s">
        <v>26</v>
      </c>
      <c r="C1456" s="18" t="s">
        <v>41</v>
      </c>
      <c r="D1456" s="19">
        <v>44922</v>
      </c>
      <c r="E1456" s="20">
        <v>45532</v>
      </c>
      <c r="F1456" s="21">
        <v>67745.600000000006</v>
      </c>
      <c r="G1456" s="21">
        <v>18166.400000000001</v>
      </c>
      <c r="H1456" s="21">
        <v>15416</v>
      </c>
      <c r="I1456" s="18">
        <v>1297.8879999999999</v>
      </c>
      <c r="J1456" s="18">
        <v>3447.6959999999999</v>
      </c>
      <c r="K1456" s="18" t="s">
        <v>38</v>
      </c>
      <c r="L1456" s="18" t="s">
        <v>44</v>
      </c>
      <c r="M1456" s="18" t="s">
        <v>32</v>
      </c>
      <c r="N1456" s="22">
        <f t="shared" si="132"/>
        <v>0.26815616069530701</v>
      </c>
      <c r="O1456" s="22">
        <f t="shared" si="133"/>
        <v>0.84859961247137605</v>
      </c>
      <c r="P1456" s="23">
        <f t="shared" si="134"/>
        <v>7.1444424872291704E-2</v>
      </c>
      <c r="Q1456" s="23">
        <f t="shared" si="135"/>
        <v>8.4190970420342501E-2</v>
      </c>
      <c r="R1456" s="22">
        <f t="shared" si="136"/>
        <v>1.6563894573337601</v>
      </c>
      <c r="S1456" s="22">
        <f t="shared" si="137"/>
        <v>2.6563894573337601</v>
      </c>
    </row>
    <row r="1457" spans="1:19">
      <c r="A1457" s="18" t="s">
        <v>1496</v>
      </c>
      <c r="B1457" s="18" t="s">
        <v>34</v>
      </c>
      <c r="C1457" s="18" t="s">
        <v>29</v>
      </c>
      <c r="D1457" s="19">
        <v>44960</v>
      </c>
      <c r="E1457" s="20">
        <v>45565</v>
      </c>
      <c r="F1457" s="21">
        <v>10593.6</v>
      </c>
      <c r="G1457" s="21">
        <v>5792</v>
      </c>
      <c r="H1457" s="21">
        <v>2708.8</v>
      </c>
      <c r="I1457" s="18">
        <v>6375.2640000000001</v>
      </c>
      <c r="J1457" s="18">
        <v>24729.040000000001</v>
      </c>
      <c r="K1457" s="18" t="s">
        <v>38</v>
      </c>
      <c r="L1457" s="18" t="s">
        <v>31</v>
      </c>
      <c r="M1457" s="18" t="s">
        <v>32</v>
      </c>
      <c r="N1457" s="22">
        <f t="shared" si="132"/>
        <v>0.54674520465186505</v>
      </c>
      <c r="O1457" s="22">
        <f t="shared" si="133"/>
        <v>0.46767955801104999</v>
      </c>
      <c r="P1457" s="23">
        <f t="shared" si="134"/>
        <v>1.10070165745856</v>
      </c>
      <c r="Q1457" s="23">
        <f t="shared" si="135"/>
        <v>2.3535380980507998</v>
      </c>
      <c r="R1457" s="22">
        <f t="shared" si="136"/>
        <v>2.8789044657601601</v>
      </c>
      <c r="S1457" s="22">
        <f t="shared" si="137"/>
        <v>3.8789044657601601</v>
      </c>
    </row>
    <row r="1458" spans="1:19">
      <c r="A1458" s="18" t="s">
        <v>1497</v>
      </c>
      <c r="B1458" s="18" t="s">
        <v>34</v>
      </c>
      <c r="C1458" s="18" t="s">
        <v>48</v>
      </c>
      <c r="D1458" s="19">
        <v>44910</v>
      </c>
      <c r="E1458" s="20">
        <v>45527</v>
      </c>
      <c r="F1458" s="21">
        <v>3118.4</v>
      </c>
      <c r="G1458" s="21">
        <v>1932.8</v>
      </c>
      <c r="H1458" s="21">
        <v>1411.2</v>
      </c>
      <c r="I1458" s="18">
        <v>5514.48</v>
      </c>
      <c r="J1458" s="18">
        <v>8374.32</v>
      </c>
      <c r="K1458" s="18" t="s">
        <v>30</v>
      </c>
      <c r="L1458" s="18" t="s">
        <v>50</v>
      </c>
      <c r="M1458" s="18" t="s">
        <v>32</v>
      </c>
      <c r="N1458" s="22">
        <f t="shared" si="132"/>
        <v>0.61980502821960004</v>
      </c>
      <c r="O1458" s="22">
        <f t="shared" si="133"/>
        <v>0.73013245033112595</v>
      </c>
      <c r="P1458" s="23">
        <f t="shared" si="134"/>
        <v>2.8531043046357598</v>
      </c>
      <c r="Q1458" s="23">
        <f t="shared" si="135"/>
        <v>3.9076530612244902</v>
      </c>
      <c r="R1458" s="22">
        <f t="shared" si="136"/>
        <v>0.51860556208382302</v>
      </c>
      <c r="S1458" s="22">
        <f t="shared" si="137"/>
        <v>1.5186055620838199</v>
      </c>
    </row>
    <row r="1459" spans="1:19">
      <c r="A1459" s="18" t="s">
        <v>1498</v>
      </c>
      <c r="B1459" s="18" t="s">
        <v>28</v>
      </c>
      <c r="C1459" s="18" t="s">
        <v>41</v>
      </c>
      <c r="D1459" s="19">
        <v>44912</v>
      </c>
      <c r="E1459" s="20">
        <v>45523</v>
      </c>
      <c r="F1459" s="21">
        <v>64430.400000000001</v>
      </c>
      <c r="G1459" s="21">
        <v>13488</v>
      </c>
      <c r="H1459" s="21">
        <v>5440</v>
      </c>
      <c r="I1459" s="18">
        <v>1949.4079999999999</v>
      </c>
      <c r="J1459" s="18">
        <v>4367.92</v>
      </c>
      <c r="K1459" s="18" t="s">
        <v>30</v>
      </c>
      <c r="L1459" s="18" t="s">
        <v>50</v>
      </c>
      <c r="M1459" s="18" t="s">
        <v>24</v>
      </c>
      <c r="N1459" s="22">
        <f t="shared" si="132"/>
        <v>0.20934217388065299</v>
      </c>
      <c r="O1459" s="22">
        <f t="shared" si="133"/>
        <v>0.403321470937129</v>
      </c>
      <c r="P1459" s="23">
        <f t="shared" si="134"/>
        <v>0.1445290628707</v>
      </c>
      <c r="Q1459" s="23">
        <f t="shared" si="135"/>
        <v>0.35834705882352902</v>
      </c>
      <c r="R1459" s="22">
        <f t="shared" si="136"/>
        <v>1.24063920944205</v>
      </c>
      <c r="S1459" s="22">
        <f t="shared" si="137"/>
        <v>2.2406392094420502</v>
      </c>
    </row>
    <row r="1460" spans="1:19">
      <c r="A1460" s="18" t="s">
        <v>1499</v>
      </c>
      <c r="B1460" s="18" t="s">
        <v>47</v>
      </c>
      <c r="C1460" s="18" t="s">
        <v>21</v>
      </c>
      <c r="D1460" s="19">
        <v>44785</v>
      </c>
      <c r="E1460" s="20">
        <v>45403</v>
      </c>
      <c r="F1460" s="21">
        <v>33540.800000000003</v>
      </c>
      <c r="G1460" s="21">
        <v>24609.599999999999</v>
      </c>
      <c r="H1460" s="21">
        <v>19868.8</v>
      </c>
      <c r="I1460" s="18">
        <v>3941.248</v>
      </c>
      <c r="J1460" s="18">
        <v>5066.0479999999998</v>
      </c>
      <c r="K1460" s="18" t="s">
        <v>30</v>
      </c>
      <c r="L1460" s="18" t="s">
        <v>44</v>
      </c>
      <c r="M1460" s="18" t="s">
        <v>32</v>
      </c>
      <c r="N1460" s="22">
        <f t="shared" si="132"/>
        <v>0.73372131851357103</v>
      </c>
      <c r="O1460" s="22">
        <f t="shared" si="133"/>
        <v>0.80735972953644097</v>
      </c>
      <c r="P1460" s="23">
        <f t="shared" si="134"/>
        <v>0.16015083544632999</v>
      </c>
      <c r="Q1460" s="23">
        <f t="shared" si="135"/>
        <v>0.19836366564664201</v>
      </c>
      <c r="R1460" s="22">
        <f t="shared" si="136"/>
        <v>0.28539183527654199</v>
      </c>
      <c r="S1460" s="22">
        <f t="shared" si="137"/>
        <v>1.2853918352765401</v>
      </c>
    </row>
    <row r="1461" spans="1:19">
      <c r="A1461" s="18" t="s">
        <v>1500</v>
      </c>
      <c r="B1461" s="18" t="s">
        <v>40</v>
      </c>
      <c r="C1461" s="18" t="s">
        <v>41</v>
      </c>
      <c r="D1461" s="19">
        <v>44880</v>
      </c>
      <c r="E1461" s="20">
        <v>45488</v>
      </c>
      <c r="F1461" s="21">
        <v>27734.400000000001</v>
      </c>
      <c r="G1461" s="21">
        <v>2208</v>
      </c>
      <c r="H1461" s="21">
        <v>1708.8</v>
      </c>
      <c r="I1461" s="18">
        <v>7604.9279999999999</v>
      </c>
      <c r="J1461" s="18">
        <v>15386.575999999999</v>
      </c>
      <c r="K1461" s="18" t="s">
        <v>43</v>
      </c>
      <c r="L1461" s="18" t="s">
        <v>31</v>
      </c>
      <c r="M1461" s="18" t="s">
        <v>24</v>
      </c>
      <c r="N1461" s="22">
        <f t="shared" si="132"/>
        <v>7.9612322602976807E-2</v>
      </c>
      <c r="O1461" s="22">
        <f t="shared" si="133"/>
        <v>0.77391304347826095</v>
      </c>
      <c r="P1461" s="23">
        <f t="shared" si="134"/>
        <v>3.4442608695652202</v>
      </c>
      <c r="Q1461" s="23">
        <f t="shared" si="135"/>
        <v>4.4504494382022504</v>
      </c>
      <c r="R1461" s="22">
        <f t="shared" si="136"/>
        <v>1.02323756385333</v>
      </c>
      <c r="S1461" s="22">
        <f t="shared" si="137"/>
        <v>2.0232375638533302</v>
      </c>
    </row>
    <row r="1462" spans="1:19">
      <c r="A1462" s="18" t="s">
        <v>1501</v>
      </c>
      <c r="B1462" s="18" t="s">
        <v>28</v>
      </c>
      <c r="C1462" s="18" t="s">
        <v>41</v>
      </c>
      <c r="D1462" s="19">
        <v>44737</v>
      </c>
      <c r="E1462" s="20">
        <v>45352</v>
      </c>
      <c r="F1462" s="21">
        <v>68619.199999999997</v>
      </c>
      <c r="G1462" s="21">
        <v>52198.400000000001</v>
      </c>
      <c r="H1462" s="21">
        <v>18694.400000000001</v>
      </c>
      <c r="I1462" s="18">
        <v>4522.4799999999996</v>
      </c>
      <c r="J1462" s="18">
        <v>15102.08</v>
      </c>
      <c r="K1462" s="18" t="s">
        <v>30</v>
      </c>
      <c r="L1462" s="18" t="s">
        <v>44</v>
      </c>
      <c r="M1462" s="18" t="s">
        <v>24</v>
      </c>
      <c r="N1462" s="22">
        <f t="shared" si="132"/>
        <v>0.76069671462214705</v>
      </c>
      <c r="O1462" s="22">
        <f t="shared" si="133"/>
        <v>0.358141245708681</v>
      </c>
      <c r="P1462" s="23">
        <f t="shared" si="134"/>
        <v>8.6640203531142698E-2</v>
      </c>
      <c r="Q1462" s="23">
        <f t="shared" si="135"/>
        <v>0.241916295789113</v>
      </c>
      <c r="R1462" s="22">
        <f t="shared" si="136"/>
        <v>2.33933593957298</v>
      </c>
      <c r="S1462" s="22">
        <f t="shared" si="137"/>
        <v>3.33933593957298</v>
      </c>
    </row>
    <row r="1463" spans="1:19">
      <c r="A1463" s="18" t="s">
        <v>1502</v>
      </c>
      <c r="B1463" s="18" t="s">
        <v>47</v>
      </c>
      <c r="C1463" s="18" t="s">
        <v>21</v>
      </c>
      <c r="D1463" s="19">
        <v>44798</v>
      </c>
      <c r="E1463" s="20">
        <v>45425</v>
      </c>
      <c r="F1463" s="21">
        <v>26480</v>
      </c>
      <c r="G1463" s="21">
        <v>23928</v>
      </c>
      <c r="H1463" s="21">
        <v>2332.8000000000002</v>
      </c>
      <c r="I1463" s="18">
        <v>5419.5519999999997</v>
      </c>
      <c r="J1463" s="18">
        <v>21016.128000000001</v>
      </c>
      <c r="K1463" s="18" t="s">
        <v>38</v>
      </c>
      <c r="L1463" s="18" t="s">
        <v>44</v>
      </c>
      <c r="M1463" s="18" t="s">
        <v>24</v>
      </c>
      <c r="N1463" s="22">
        <f t="shared" si="132"/>
        <v>0.90362537764350404</v>
      </c>
      <c r="O1463" s="22">
        <f t="shared" si="133"/>
        <v>9.7492477432296901E-2</v>
      </c>
      <c r="P1463" s="23">
        <f t="shared" si="134"/>
        <v>0.226494149114009</v>
      </c>
      <c r="Q1463" s="23">
        <f t="shared" si="135"/>
        <v>2.3231961591220802</v>
      </c>
      <c r="R1463" s="22">
        <f t="shared" si="136"/>
        <v>2.8778349206724099</v>
      </c>
      <c r="S1463" s="22">
        <f t="shared" si="137"/>
        <v>3.8778349206724099</v>
      </c>
    </row>
    <row r="1464" spans="1:19">
      <c r="A1464" s="18" t="s">
        <v>1503</v>
      </c>
      <c r="B1464" s="18" t="s">
        <v>28</v>
      </c>
      <c r="C1464" s="18" t="s">
        <v>48</v>
      </c>
      <c r="D1464" s="19">
        <v>44821</v>
      </c>
      <c r="E1464" s="20">
        <v>45445</v>
      </c>
      <c r="F1464" s="21">
        <v>32252.799999999999</v>
      </c>
      <c r="G1464" s="21">
        <v>28080</v>
      </c>
      <c r="H1464" s="21">
        <v>27808</v>
      </c>
      <c r="I1464" s="18">
        <v>1897.008</v>
      </c>
      <c r="J1464" s="18">
        <v>7372.2879999999996</v>
      </c>
      <c r="K1464" s="18" t="s">
        <v>30</v>
      </c>
      <c r="L1464" s="18" t="s">
        <v>23</v>
      </c>
      <c r="M1464" s="18" t="s">
        <v>24</v>
      </c>
      <c r="N1464" s="22">
        <f t="shared" si="132"/>
        <v>0.87062208552435805</v>
      </c>
      <c r="O1464" s="22">
        <f t="shared" si="133"/>
        <v>0.99031339031339005</v>
      </c>
      <c r="P1464" s="23">
        <f t="shared" si="134"/>
        <v>6.7557264957264995E-2</v>
      </c>
      <c r="Q1464" s="23">
        <f t="shared" si="135"/>
        <v>6.8218066743383196E-2</v>
      </c>
      <c r="R1464" s="22">
        <f t="shared" si="136"/>
        <v>2.8862714337525199</v>
      </c>
      <c r="S1464" s="22">
        <f t="shared" si="137"/>
        <v>3.8862714337525199</v>
      </c>
    </row>
    <row r="1465" spans="1:19">
      <c r="A1465" s="18" t="s">
        <v>1504</v>
      </c>
      <c r="B1465" s="18" t="s">
        <v>40</v>
      </c>
      <c r="C1465" s="18" t="s">
        <v>41</v>
      </c>
      <c r="D1465" s="19">
        <v>44875</v>
      </c>
      <c r="E1465" s="20">
        <v>45488</v>
      </c>
      <c r="F1465" s="21">
        <v>50060.800000000003</v>
      </c>
      <c r="G1465" s="21">
        <v>29204.799999999999</v>
      </c>
      <c r="H1465" s="21">
        <v>13764.8</v>
      </c>
      <c r="I1465" s="18">
        <v>3901.136</v>
      </c>
      <c r="J1465" s="18">
        <v>14990.335999999999</v>
      </c>
      <c r="K1465" s="18" t="s">
        <v>30</v>
      </c>
      <c r="L1465" s="18" t="s">
        <v>44</v>
      </c>
      <c r="M1465" s="18" t="s">
        <v>32</v>
      </c>
      <c r="N1465" s="22">
        <f t="shared" si="132"/>
        <v>0.58338660189209901</v>
      </c>
      <c r="O1465" s="22">
        <f t="shared" si="133"/>
        <v>0.47131978304936201</v>
      </c>
      <c r="P1465" s="23">
        <f t="shared" si="134"/>
        <v>0.133578589820851</v>
      </c>
      <c r="Q1465" s="23">
        <f t="shared" si="135"/>
        <v>0.28341392537486898</v>
      </c>
      <c r="R1465" s="22">
        <f t="shared" si="136"/>
        <v>2.84255662965864</v>
      </c>
      <c r="S1465" s="22">
        <f t="shared" si="137"/>
        <v>3.84255662965864</v>
      </c>
    </row>
    <row r="1466" spans="1:19">
      <c r="A1466" s="18" t="s">
        <v>1505</v>
      </c>
      <c r="B1466" s="18" t="s">
        <v>47</v>
      </c>
      <c r="C1466" s="18" t="s">
        <v>29</v>
      </c>
      <c r="D1466" s="19">
        <v>44742</v>
      </c>
      <c r="E1466" s="20">
        <v>45360</v>
      </c>
      <c r="F1466" s="21">
        <v>54227.199999999997</v>
      </c>
      <c r="G1466" s="21">
        <v>5603.2</v>
      </c>
      <c r="H1466" s="21">
        <v>2915.2</v>
      </c>
      <c r="I1466" s="18">
        <v>5450.9920000000002</v>
      </c>
      <c r="J1466" s="18">
        <v>11467.951999999999</v>
      </c>
      <c r="K1466" s="18" t="s">
        <v>65</v>
      </c>
      <c r="L1466" s="18" t="s">
        <v>31</v>
      </c>
      <c r="M1466" s="18" t="s">
        <v>32</v>
      </c>
      <c r="N1466" s="22">
        <f t="shared" si="132"/>
        <v>0.10332821904874299</v>
      </c>
      <c r="O1466" s="22">
        <f t="shared" si="133"/>
        <v>0.52027412906910298</v>
      </c>
      <c r="P1466" s="23">
        <f t="shared" si="134"/>
        <v>0.972835522558538</v>
      </c>
      <c r="Q1466" s="23">
        <f t="shared" si="135"/>
        <v>1.8698518111964899</v>
      </c>
      <c r="R1466" s="22">
        <f t="shared" si="136"/>
        <v>1.10382844076821</v>
      </c>
      <c r="S1466" s="22">
        <f t="shared" si="137"/>
        <v>2.10382844076821</v>
      </c>
    </row>
    <row r="1467" spans="1:19">
      <c r="A1467" s="18" t="s">
        <v>1506</v>
      </c>
      <c r="B1467" s="18" t="s">
        <v>34</v>
      </c>
      <c r="C1467" s="18" t="s">
        <v>29</v>
      </c>
      <c r="D1467" s="19">
        <v>44840</v>
      </c>
      <c r="E1467" s="20">
        <v>45448</v>
      </c>
      <c r="F1467" s="21">
        <v>69848</v>
      </c>
      <c r="G1467" s="21">
        <v>2876.8</v>
      </c>
      <c r="H1467" s="21">
        <v>329.6</v>
      </c>
      <c r="I1467" s="18">
        <v>5536.64</v>
      </c>
      <c r="J1467" s="18">
        <v>21875.168000000001</v>
      </c>
      <c r="K1467" s="18" t="s">
        <v>30</v>
      </c>
      <c r="L1467" s="18" t="s">
        <v>50</v>
      </c>
      <c r="M1467" s="18" t="s">
        <v>24</v>
      </c>
      <c r="N1467" s="22">
        <f t="shared" si="132"/>
        <v>4.1186576566258203E-2</v>
      </c>
      <c r="O1467" s="22">
        <f t="shared" si="133"/>
        <v>0.114571746384872</v>
      </c>
      <c r="P1467" s="23">
        <f t="shared" si="134"/>
        <v>1.92458286985539</v>
      </c>
      <c r="Q1467" s="23">
        <f t="shared" si="135"/>
        <v>16.7980582524272</v>
      </c>
      <c r="R1467" s="22">
        <f t="shared" si="136"/>
        <v>2.9509825453704801</v>
      </c>
      <c r="S1467" s="22">
        <f t="shared" si="137"/>
        <v>3.9509825453704801</v>
      </c>
    </row>
    <row r="1468" spans="1:19">
      <c r="A1468" s="18" t="s">
        <v>1507</v>
      </c>
      <c r="B1468" s="18" t="s">
        <v>34</v>
      </c>
      <c r="C1468" s="18" t="s">
        <v>48</v>
      </c>
      <c r="D1468" s="19">
        <v>44876</v>
      </c>
      <c r="E1468" s="20">
        <v>45486</v>
      </c>
      <c r="F1468" s="21">
        <v>17817.599999999999</v>
      </c>
      <c r="G1468" s="21">
        <v>1217.5999999999999</v>
      </c>
      <c r="H1468" s="21">
        <v>684.8</v>
      </c>
      <c r="I1468" s="18">
        <v>2482.3040000000001</v>
      </c>
      <c r="J1468" s="18">
        <v>3644.1759999999999</v>
      </c>
      <c r="K1468" s="18" t="s">
        <v>30</v>
      </c>
      <c r="L1468" s="18" t="s">
        <v>50</v>
      </c>
      <c r="M1468" s="18" t="s">
        <v>24</v>
      </c>
      <c r="N1468" s="22">
        <f t="shared" si="132"/>
        <v>6.8336925287356298E-2</v>
      </c>
      <c r="O1468" s="22">
        <f t="shared" si="133"/>
        <v>0.56241787122207598</v>
      </c>
      <c r="P1468" s="23">
        <f t="shared" si="134"/>
        <v>2.0386859395532202</v>
      </c>
      <c r="Q1468" s="23">
        <f t="shared" si="135"/>
        <v>3.6248598130841101</v>
      </c>
      <c r="R1468" s="22">
        <f t="shared" si="136"/>
        <v>0.46806192956221299</v>
      </c>
      <c r="S1468" s="22">
        <f t="shared" si="137"/>
        <v>1.4680619295622099</v>
      </c>
    </row>
    <row r="1469" spans="1:19">
      <c r="A1469" s="18" t="s">
        <v>1508</v>
      </c>
      <c r="B1469" s="18" t="s">
        <v>28</v>
      </c>
      <c r="C1469" s="18" t="s">
        <v>48</v>
      </c>
      <c r="D1469" s="19">
        <v>44783</v>
      </c>
      <c r="E1469" s="20">
        <v>45397</v>
      </c>
      <c r="F1469" s="21">
        <v>48425.599999999999</v>
      </c>
      <c r="G1469" s="21">
        <v>10702.4</v>
      </c>
      <c r="H1469" s="21">
        <v>2972.8</v>
      </c>
      <c r="I1469" s="18">
        <v>4077.68</v>
      </c>
      <c r="J1469" s="18">
        <v>15118.048000000001</v>
      </c>
      <c r="K1469" s="18" t="s">
        <v>30</v>
      </c>
      <c r="L1469" s="18" t="s">
        <v>31</v>
      </c>
      <c r="M1469" s="18" t="s">
        <v>24</v>
      </c>
      <c r="N1469" s="22">
        <f t="shared" si="132"/>
        <v>0.22100707064032199</v>
      </c>
      <c r="O1469" s="22">
        <f t="shared" si="133"/>
        <v>0.27776947226790299</v>
      </c>
      <c r="P1469" s="23">
        <f t="shared" si="134"/>
        <v>0.38100612946628798</v>
      </c>
      <c r="Q1469" s="23">
        <f t="shared" si="135"/>
        <v>1.37166307857912</v>
      </c>
      <c r="R1469" s="22">
        <f t="shared" si="136"/>
        <v>2.7075121147319101</v>
      </c>
      <c r="S1469" s="22">
        <f t="shared" si="137"/>
        <v>3.7075121147319101</v>
      </c>
    </row>
    <row r="1470" spans="1:19">
      <c r="A1470" s="18" t="s">
        <v>1509</v>
      </c>
      <c r="B1470" s="18" t="s">
        <v>47</v>
      </c>
      <c r="C1470" s="18" t="s">
        <v>29</v>
      </c>
      <c r="D1470" s="19">
        <v>44715</v>
      </c>
      <c r="E1470" s="20">
        <v>45344</v>
      </c>
      <c r="F1470" s="21">
        <v>43779.199999999997</v>
      </c>
      <c r="G1470" s="21">
        <v>33862.400000000001</v>
      </c>
      <c r="H1470" s="21">
        <v>32396.799999999999</v>
      </c>
      <c r="I1470" s="18">
        <v>5168.9759999999997</v>
      </c>
      <c r="J1470" s="18">
        <v>15688.784</v>
      </c>
      <c r="K1470" s="18" t="s">
        <v>22</v>
      </c>
      <c r="L1470" s="18" t="s">
        <v>35</v>
      </c>
      <c r="M1470" s="18" t="s">
        <v>32</v>
      </c>
      <c r="N1470" s="22">
        <f t="shared" si="132"/>
        <v>0.77348147065272999</v>
      </c>
      <c r="O1470" s="22">
        <f t="shared" si="133"/>
        <v>0.95671895671895701</v>
      </c>
      <c r="P1470" s="23">
        <f t="shared" si="134"/>
        <v>0.152646475146475</v>
      </c>
      <c r="Q1470" s="23">
        <f t="shared" si="135"/>
        <v>0.159552054523904</v>
      </c>
      <c r="R1470" s="22">
        <f t="shared" si="136"/>
        <v>2.0351822101708299</v>
      </c>
      <c r="S1470" s="22">
        <f t="shared" si="137"/>
        <v>3.0351822101708299</v>
      </c>
    </row>
    <row r="1471" spans="1:19">
      <c r="A1471" s="18" t="s">
        <v>1510</v>
      </c>
      <c r="B1471" s="18" t="s">
        <v>34</v>
      </c>
      <c r="C1471" s="18" t="s">
        <v>29</v>
      </c>
      <c r="D1471" s="19">
        <v>44708</v>
      </c>
      <c r="E1471" s="20">
        <v>45321</v>
      </c>
      <c r="F1471" s="21">
        <v>2977.6</v>
      </c>
      <c r="G1471" s="21">
        <v>2187.1999999999998</v>
      </c>
      <c r="H1471" s="21">
        <v>843.2</v>
      </c>
      <c r="I1471" s="18">
        <v>3099.52</v>
      </c>
      <c r="J1471" s="18">
        <v>12240.432000000001</v>
      </c>
      <c r="K1471" s="18" t="s">
        <v>38</v>
      </c>
      <c r="L1471" s="18" t="s">
        <v>31</v>
      </c>
      <c r="M1471" s="18" t="s">
        <v>32</v>
      </c>
      <c r="N1471" s="22">
        <f t="shared" si="132"/>
        <v>0.73455131649650696</v>
      </c>
      <c r="O1471" s="22">
        <f t="shared" si="133"/>
        <v>0.38551572787125099</v>
      </c>
      <c r="P1471" s="23">
        <f t="shared" si="134"/>
        <v>1.4171177761521601</v>
      </c>
      <c r="Q1471" s="23">
        <f t="shared" si="135"/>
        <v>3.6759013282732398</v>
      </c>
      <c r="R1471" s="22">
        <f t="shared" si="136"/>
        <v>2.9491379310344801</v>
      </c>
      <c r="S1471" s="22">
        <f t="shared" si="137"/>
        <v>3.9491379310344801</v>
      </c>
    </row>
    <row r="1472" spans="1:19">
      <c r="A1472" s="18" t="s">
        <v>1511</v>
      </c>
      <c r="B1472" s="18" t="s">
        <v>20</v>
      </c>
      <c r="C1472" s="18" t="s">
        <v>48</v>
      </c>
      <c r="D1472" s="19">
        <v>44738</v>
      </c>
      <c r="E1472" s="20">
        <v>45363</v>
      </c>
      <c r="F1472" s="21">
        <v>55876.800000000003</v>
      </c>
      <c r="G1472" s="21">
        <v>40484.800000000003</v>
      </c>
      <c r="H1472" s="21">
        <v>36091.199999999997</v>
      </c>
      <c r="I1472" s="18">
        <v>7171.0720000000001</v>
      </c>
      <c r="J1472" s="18">
        <v>18650.223999999998</v>
      </c>
      <c r="K1472" s="18" t="s">
        <v>65</v>
      </c>
      <c r="L1472" s="18" t="s">
        <v>35</v>
      </c>
      <c r="M1472" s="18" t="s">
        <v>32</v>
      </c>
      <c r="N1472" s="22">
        <f t="shared" si="132"/>
        <v>0.72453683818686798</v>
      </c>
      <c r="O1472" s="22">
        <f t="shared" si="133"/>
        <v>0.89147531913211897</v>
      </c>
      <c r="P1472" s="23">
        <f t="shared" si="134"/>
        <v>0.17712998458680801</v>
      </c>
      <c r="Q1472" s="23">
        <f t="shared" si="135"/>
        <v>0.19869308861994101</v>
      </c>
      <c r="R1472" s="22">
        <f t="shared" si="136"/>
        <v>1.60075815721833</v>
      </c>
      <c r="S1472" s="22">
        <f t="shared" si="137"/>
        <v>2.6007581572183298</v>
      </c>
    </row>
    <row r="1473" spans="1:19">
      <c r="A1473" s="18" t="s">
        <v>1512</v>
      </c>
      <c r="B1473" s="18" t="s">
        <v>26</v>
      </c>
      <c r="C1473" s="18" t="s">
        <v>29</v>
      </c>
      <c r="D1473" s="19">
        <v>44852</v>
      </c>
      <c r="E1473" s="20">
        <v>45469</v>
      </c>
      <c r="F1473" s="21">
        <v>74672</v>
      </c>
      <c r="G1473" s="21">
        <v>13990.4</v>
      </c>
      <c r="H1473" s="21">
        <v>7008</v>
      </c>
      <c r="I1473" s="18">
        <v>6383.9840000000004</v>
      </c>
      <c r="J1473" s="18">
        <v>10062.896000000001</v>
      </c>
      <c r="K1473" s="18" t="s">
        <v>65</v>
      </c>
      <c r="L1473" s="18" t="s">
        <v>31</v>
      </c>
      <c r="M1473" s="18" t="s">
        <v>32</v>
      </c>
      <c r="N1473" s="22">
        <f t="shared" si="132"/>
        <v>0.187358045853868</v>
      </c>
      <c r="O1473" s="22">
        <f t="shared" si="133"/>
        <v>0.50091491308325697</v>
      </c>
      <c r="P1473" s="23">
        <f t="shared" si="134"/>
        <v>0.45631175663312001</v>
      </c>
      <c r="Q1473" s="23">
        <f t="shared" si="135"/>
        <v>0.91095662100456598</v>
      </c>
      <c r="R1473" s="22">
        <f t="shared" si="136"/>
        <v>0.57627212098275904</v>
      </c>
      <c r="S1473" s="22">
        <f t="shared" si="137"/>
        <v>1.5762721209827599</v>
      </c>
    </row>
    <row r="1474" spans="1:19">
      <c r="A1474" s="18" t="s">
        <v>1513</v>
      </c>
      <c r="B1474" s="18" t="s">
        <v>20</v>
      </c>
      <c r="C1474" s="18" t="s">
        <v>21</v>
      </c>
      <c r="D1474" s="19">
        <v>44718</v>
      </c>
      <c r="E1474" s="20">
        <v>45326</v>
      </c>
      <c r="F1474" s="21">
        <v>5774.4</v>
      </c>
      <c r="G1474" s="21">
        <v>582.4</v>
      </c>
      <c r="H1474" s="21">
        <v>508.8</v>
      </c>
      <c r="I1474" s="18">
        <v>2100.0479999999998</v>
      </c>
      <c r="J1474" s="18">
        <v>3477.7759999999998</v>
      </c>
      <c r="K1474" s="18" t="s">
        <v>22</v>
      </c>
      <c r="L1474" s="18" t="s">
        <v>44</v>
      </c>
      <c r="M1474" s="18" t="s">
        <v>32</v>
      </c>
      <c r="N1474" s="22">
        <f t="shared" ref="N1474:N1537" si="138">G1474/F1474</f>
        <v>0.100858963701856</v>
      </c>
      <c r="O1474" s="22">
        <f t="shared" ref="O1474:O1537" si="139">H1474/G1474</f>
        <v>0.87362637362637396</v>
      </c>
      <c r="P1474" s="23">
        <f t="shared" ref="P1474:P1537" si="140">I1474/G1474</f>
        <v>3.6058516483516501</v>
      </c>
      <c r="Q1474" s="23">
        <f t="shared" ref="Q1474:Q1537" si="141">I1474/H1474</f>
        <v>4.1274528301886804</v>
      </c>
      <c r="R1474" s="22">
        <f t="shared" ref="R1474:R1537" si="142">(J1474-I1474)/I1474</f>
        <v>0.65604595704479096</v>
      </c>
      <c r="S1474" s="22">
        <f t="shared" ref="S1474:S1537" si="143">J1474/I1474</f>
        <v>1.6560459570447901</v>
      </c>
    </row>
    <row r="1475" spans="1:19">
      <c r="A1475" s="18" t="s">
        <v>1514</v>
      </c>
      <c r="B1475" s="18" t="s">
        <v>28</v>
      </c>
      <c r="C1475" s="18" t="s">
        <v>29</v>
      </c>
      <c r="D1475" s="19">
        <v>44735</v>
      </c>
      <c r="E1475" s="20">
        <v>45349</v>
      </c>
      <c r="F1475" s="21">
        <v>72566.399999999994</v>
      </c>
      <c r="G1475" s="21">
        <v>66899.199999999997</v>
      </c>
      <c r="H1475" s="21">
        <v>38816</v>
      </c>
      <c r="I1475" s="18">
        <v>5010.96</v>
      </c>
      <c r="J1475" s="18">
        <v>12418.031999999999</v>
      </c>
      <c r="K1475" s="18" t="s">
        <v>43</v>
      </c>
      <c r="L1475" s="18" t="s">
        <v>23</v>
      </c>
      <c r="M1475" s="18" t="s">
        <v>32</v>
      </c>
      <c r="N1475" s="22">
        <f t="shared" si="138"/>
        <v>0.92190324998897599</v>
      </c>
      <c r="O1475" s="22">
        <f t="shared" si="139"/>
        <v>0.58021620587391198</v>
      </c>
      <c r="P1475" s="23">
        <f t="shared" si="140"/>
        <v>7.49031378551612E-2</v>
      </c>
      <c r="Q1475" s="23">
        <f t="shared" si="141"/>
        <v>0.12909521846661201</v>
      </c>
      <c r="R1475" s="22">
        <f t="shared" si="142"/>
        <v>1.4781742420613999</v>
      </c>
      <c r="S1475" s="22">
        <f t="shared" si="143"/>
        <v>2.4781742420613999</v>
      </c>
    </row>
    <row r="1476" spans="1:19">
      <c r="A1476" s="18" t="s">
        <v>1515</v>
      </c>
      <c r="B1476" s="18" t="s">
        <v>47</v>
      </c>
      <c r="C1476" s="18" t="s">
        <v>21</v>
      </c>
      <c r="D1476" s="19">
        <v>44833</v>
      </c>
      <c r="E1476" s="20">
        <v>45463</v>
      </c>
      <c r="F1476" s="21">
        <v>21086.400000000001</v>
      </c>
      <c r="G1476" s="21">
        <v>6531.2</v>
      </c>
      <c r="H1476" s="21">
        <v>1766.4</v>
      </c>
      <c r="I1476" s="18">
        <v>6813.04</v>
      </c>
      <c r="J1476" s="18">
        <v>22248.576000000001</v>
      </c>
      <c r="K1476" s="18" t="s">
        <v>65</v>
      </c>
      <c r="L1476" s="18" t="s">
        <v>35</v>
      </c>
      <c r="M1476" s="18" t="s">
        <v>24</v>
      </c>
      <c r="N1476" s="22">
        <f t="shared" si="138"/>
        <v>0.30973518476363898</v>
      </c>
      <c r="O1476" s="22">
        <f t="shared" si="139"/>
        <v>0.27045565899069102</v>
      </c>
      <c r="P1476" s="23">
        <f t="shared" si="140"/>
        <v>1.04315286624204</v>
      </c>
      <c r="Q1476" s="23">
        <f t="shared" si="141"/>
        <v>3.8570199275362298</v>
      </c>
      <c r="R1476" s="22">
        <f t="shared" si="142"/>
        <v>2.2655871681363999</v>
      </c>
      <c r="S1476" s="22">
        <f t="shared" si="143"/>
        <v>3.2655871681363999</v>
      </c>
    </row>
    <row r="1477" spans="1:19">
      <c r="A1477" s="18" t="s">
        <v>1516</v>
      </c>
      <c r="B1477" s="18" t="s">
        <v>28</v>
      </c>
      <c r="C1477" s="18" t="s">
        <v>21</v>
      </c>
      <c r="D1477" s="19">
        <v>44865</v>
      </c>
      <c r="E1477" s="20">
        <v>45487</v>
      </c>
      <c r="F1477" s="21">
        <v>11292.8</v>
      </c>
      <c r="G1477" s="21">
        <v>10137.6</v>
      </c>
      <c r="H1477" s="21">
        <v>3936</v>
      </c>
      <c r="I1477" s="18">
        <v>4024.848</v>
      </c>
      <c r="J1477" s="18">
        <v>8445.84</v>
      </c>
      <c r="K1477" s="18" t="s">
        <v>30</v>
      </c>
      <c r="L1477" s="18" t="s">
        <v>50</v>
      </c>
      <c r="M1477" s="18" t="s">
        <v>32</v>
      </c>
      <c r="N1477" s="22">
        <f t="shared" si="138"/>
        <v>0.89770473221875902</v>
      </c>
      <c r="O1477" s="22">
        <f t="shared" si="139"/>
        <v>0.38825757575757602</v>
      </c>
      <c r="P1477" s="23">
        <f t="shared" si="140"/>
        <v>0.39702178030302998</v>
      </c>
      <c r="Q1477" s="23">
        <f t="shared" si="141"/>
        <v>1.0225731707317101</v>
      </c>
      <c r="R1477" s="22">
        <f t="shared" si="142"/>
        <v>1.09842458646886</v>
      </c>
      <c r="S1477" s="22">
        <f t="shared" si="143"/>
        <v>2.0984245864688602</v>
      </c>
    </row>
    <row r="1478" spans="1:19">
      <c r="A1478" s="18" t="s">
        <v>1517</v>
      </c>
      <c r="B1478" s="18" t="s">
        <v>34</v>
      </c>
      <c r="C1478" s="18" t="s">
        <v>29</v>
      </c>
      <c r="D1478" s="19">
        <v>44799</v>
      </c>
      <c r="E1478" s="20">
        <v>45408</v>
      </c>
      <c r="F1478" s="21">
        <v>25200</v>
      </c>
      <c r="G1478" s="21">
        <v>4921.6000000000004</v>
      </c>
      <c r="H1478" s="21">
        <v>2931.2</v>
      </c>
      <c r="I1478" s="18">
        <v>3370.4479999999999</v>
      </c>
      <c r="J1478" s="18">
        <v>8488.7360000000008</v>
      </c>
      <c r="K1478" s="18" t="s">
        <v>30</v>
      </c>
      <c r="L1478" s="18" t="s">
        <v>44</v>
      </c>
      <c r="M1478" s="18" t="s">
        <v>32</v>
      </c>
      <c r="N1478" s="22">
        <f t="shared" si="138"/>
        <v>0.195301587301587</v>
      </c>
      <c r="O1478" s="22">
        <f t="shared" si="139"/>
        <v>0.59557867360208006</v>
      </c>
      <c r="P1478" s="23">
        <f t="shared" si="140"/>
        <v>0.68482769830949297</v>
      </c>
      <c r="Q1478" s="23">
        <f t="shared" si="141"/>
        <v>1.14985262008734</v>
      </c>
      <c r="R1478" s="22">
        <f t="shared" si="142"/>
        <v>1.5185779457211599</v>
      </c>
      <c r="S1478" s="22">
        <f t="shared" si="143"/>
        <v>2.5185779457211601</v>
      </c>
    </row>
    <row r="1479" spans="1:19">
      <c r="A1479" s="18" t="s">
        <v>1518</v>
      </c>
      <c r="B1479" s="18" t="s">
        <v>28</v>
      </c>
      <c r="C1479" s="18" t="s">
        <v>29</v>
      </c>
      <c r="D1479" s="19">
        <v>44960</v>
      </c>
      <c r="E1479" s="20">
        <v>45588</v>
      </c>
      <c r="F1479" s="21">
        <v>55419.199999999997</v>
      </c>
      <c r="G1479" s="21">
        <v>43776</v>
      </c>
      <c r="H1479" s="21">
        <v>7174.4</v>
      </c>
      <c r="I1479" s="18">
        <v>7052.72</v>
      </c>
      <c r="J1479" s="18">
        <v>18684.608</v>
      </c>
      <c r="K1479" s="18" t="s">
        <v>38</v>
      </c>
      <c r="L1479" s="18" t="s">
        <v>44</v>
      </c>
      <c r="M1479" s="18" t="s">
        <v>24</v>
      </c>
      <c r="N1479" s="22">
        <f t="shared" si="138"/>
        <v>0.78990674712013198</v>
      </c>
      <c r="O1479" s="22">
        <f t="shared" si="139"/>
        <v>0.163888888888889</v>
      </c>
      <c r="P1479" s="23">
        <f t="shared" si="140"/>
        <v>0.16110928362573099</v>
      </c>
      <c r="Q1479" s="23">
        <f t="shared" si="141"/>
        <v>0.98303969669937596</v>
      </c>
      <c r="R1479" s="22">
        <f t="shared" si="142"/>
        <v>1.64927687473769</v>
      </c>
      <c r="S1479" s="22">
        <f t="shared" si="143"/>
        <v>2.6492768747376898</v>
      </c>
    </row>
    <row r="1480" spans="1:19">
      <c r="A1480" s="18" t="s">
        <v>1519</v>
      </c>
      <c r="B1480" s="18" t="s">
        <v>34</v>
      </c>
      <c r="C1480" s="18" t="s">
        <v>21</v>
      </c>
      <c r="D1480" s="19">
        <v>44962</v>
      </c>
      <c r="E1480" s="20">
        <v>45581</v>
      </c>
      <c r="F1480" s="21">
        <v>26675.200000000001</v>
      </c>
      <c r="G1480" s="21">
        <v>598.4</v>
      </c>
      <c r="H1480" s="21">
        <v>369.6</v>
      </c>
      <c r="I1480" s="18">
        <v>3324.4639999999999</v>
      </c>
      <c r="J1480" s="18">
        <v>9670.6080000000002</v>
      </c>
      <c r="K1480" s="18" t="s">
        <v>38</v>
      </c>
      <c r="L1480" s="18" t="s">
        <v>50</v>
      </c>
      <c r="M1480" s="18" t="s">
        <v>32</v>
      </c>
      <c r="N1480" s="22">
        <f t="shared" si="138"/>
        <v>2.2432821497120899E-2</v>
      </c>
      <c r="O1480" s="22">
        <f t="shared" si="139"/>
        <v>0.61764705882352899</v>
      </c>
      <c r="P1480" s="23">
        <f t="shared" si="140"/>
        <v>5.5555882352941204</v>
      </c>
      <c r="Q1480" s="23">
        <f t="shared" si="141"/>
        <v>8.9947619047618996</v>
      </c>
      <c r="R1480" s="22">
        <f t="shared" si="142"/>
        <v>1.9089224608839199</v>
      </c>
      <c r="S1480" s="22">
        <f t="shared" si="143"/>
        <v>2.9089224608839199</v>
      </c>
    </row>
    <row r="1481" spans="1:19">
      <c r="A1481" s="18" t="s">
        <v>1520</v>
      </c>
      <c r="B1481" s="18" t="s">
        <v>28</v>
      </c>
      <c r="C1481" s="18" t="s">
        <v>41</v>
      </c>
      <c r="D1481" s="19">
        <v>44814</v>
      </c>
      <c r="E1481" s="20">
        <v>45428</v>
      </c>
      <c r="F1481" s="21">
        <v>12700.8</v>
      </c>
      <c r="G1481" s="21">
        <v>7859.2</v>
      </c>
      <c r="H1481" s="21">
        <v>1964.8</v>
      </c>
      <c r="I1481" s="18">
        <v>4412.2240000000002</v>
      </c>
      <c r="J1481" s="18">
        <v>14705.103999999999</v>
      </c>
      <c r="K1481" s="18" t="s">
        <v>38</v>
      </c>
      <c r="L1481" s="18" t="s">
        <v>50</v>
      </c>
      <c r="M1481" s="18" t="s">
        <v>24</v>
      </c>
      <c r="N1481" s="22">
        <f t="shared" si="138"/>
        <v>0.61879566641471395</v>
      </c>
      <c r="O1481" s="22">
        <f t="shared" si="139"/>
        <v>0.25</v>
      </c>
      <c r="P1481" s="23">
        <f t="shared" si="140"/>
        <v>0.56140879478827399</v>
      </c>
      <c r="Q1481" s="23">
        <f t="shared" si="141"/>
        <v>2.2456351791530902</v>
      </c>
      <c r="R1481" s="22">
        <f t="shared" si="142"/>
        <v>2.3328099389332899</v>
      </c>
      <c r="S1481" s="22">
        <f t="shared" si="143"/>
        <v>3.3328099389332899</v>
      </c>
    </row>
    <row r="1482" spans="1:19">
      <c r="A1482" s="18" t="s">
        <v>1521</v>
      </c>
      <c r="B1482" s="18" t="s">
        <v>47</v>
      </c>
      <c r="C1482" s="18" t="s">
        <v>41</v>
      </c>
      <c r="D1482" s="19">
        <v>44788</v>
      </c>
      <c r="E1482" s="20">
        <v>45397</v>
      </c>
      <c r="F1482" s="21">
        <v>42696</v>
      </c>
      <c r="G1482" s="21">
        <v>628.79999999999995</v>
      </c>
      <c r="H1482" s="21">
        <v>222.4</v>
      </c>
      <c r="I1482" s="18">
        <v>2514.08</v>
      </c>
      <c r="J1482" s="18">
        <v>8159.6480000000001</v>
      </c>
      <c r="K1482" s="18" t="s">
        <v>65</v>
      </c>
      <c r="L1482" s="18" t="s">
        <v>31</v>
      </c>
      <c r="M1482" s="18" t="s">
        <v>32</v>
      </c>
      <c r="N1482" s="22">
        <f t="shared" si="138"/>
        <v>1.47273749297358E-2</v>
      </c>
      <c r="O1482" s="22">
        <f t="shared" si="139"/>
        <v>0.353689567430025</v>
      </c>
      <c r="P1482" s="23">
        <f t="shared" si="140"/>
        <v>3.99821882951654</v>
      </c>
      <c r="Q1482" s="23">
        <f t="shared" si="141"/>
        <v>11.3043165467626</v>
      </c>
      <c r="R1482" s="22">
        <f t="shared" si="142"/>
        <v>2.2455800929166898</v>
      </c>
      <c r="S1482" s="22">
        <f t="shared" si="143"/>
        <v>3.2455800929166898</v>
      </c>
    </row>
    <row r="1483" spans="1:19">
      <c r="A1483" s="18" t="s">
        <v>1522</v>
      </c>
      <c r="B1483" s="18" t="s">
        <v>34</v>
      </c>
      <c r="C1483" s="18" t="s">
        <v>21</v>
      </c>
      <c r="D1483" s="19">
        <v>44953</v>
      </c>
      <c r="E1483" s="20">
        <v>45579</v>
      </c>
      <c r="F1483" s="21">
        <v>26702.400000000001</v>
      </c>
      <c r="G1483" s="21">
        <v>25656</v>
      </c>
      <c r="H1483" s="21">
        <v>11544</v>
      </c>
      <c r="I1483" s="18">
        <v>3944.3359999999998</v>
      </c>
      <c r="J1483" s="18">
        <v>9184.7839999999997</v>
      </c>
      <c r="K1483" s="18" t="s">
        <v>65</v>
      </c>
      <c r="L1483" s="18" t="s">
        <v>50</v>
      </c>
      <c r="M1483" s="18" t="s">
        <v>32</v>
      </c>
      <c r="N1483" s="22">
        <f t="shared" si="138"/>
        <v>0.96081251123494504</v>
      </c>
      <c r="O1483" s="22">
        <f t="shared" si="139"/>
        <v>0.44995322731524801</v>
      </c>
      <c r="P1483" s="23">
        <f t="shared" si="140"/>
        <v>0.153739320236982</v>
      </c>
      <c r="Q1483" s="23">
        <f t="shared" si="141"/>
        <v>0.34167844767844802</v>
      </c>
      <c r="R1483" s="22">
        <f t="shared" si="142"/>
        <v>1.3286008088560399</v>
      </c>
      <c r="S1483" s="22">
        <f t="shared" si="143"/>
        <v>2.3286008088560401</v>
      </c>
    </row>
    <row r="1484" spans="1:19">
      <c r="A1484" s="18" t="s">
        <v>1523</v>
      </c>
      <c r="B1484" s="18" t="s">
        <v>40</v>
      </c>
      <c r="C1484" s="18" t="s">
        <v>29</v>
      </c>
      <c r="D1484" s="19">
        <v>44903</v>
      </c>
      <c r="E1484" s="20">
        <v>45520</v>
      </c>
      <c r="F1484" s="21">
        <v>26987.200000000001</v>
      </c>
      <c r="G1484" s="21">
        <v>18841.599999999999</v>
      </c>
      <c r="H1484" s="21">
        <v>6524.8</v>
      </c>
      <c r="I1484" s="18">
        <v>4889.04</v>
      </c>
      <c r="J1484" s="18">
        <v>11476.832</v>
      </c>
      <c r="K1484" s="18" t="s">
        <v>30</v>
      </c>
      <c r="L1484" s="18" t="s">
        <v>31</v>
      </c>
      <c r="M1484" s="18" t="s">
        <v>24</v>
      </c>
      <c r="N1484" s="22">
        <f t="shared" si="138"/>
        <v>0.69816802039485404</v>
      </c>
      <c r="O1484" s="22">
        <f t="shared" si="139"/>
        <v>0.346297554347826</v>
      </c>
      <c r="P1484" s="23">
        <f t="shared" si="140"/>
        <v>0.25948114809782602</v>
      </c>
      <c r="Q1484" s="23">
        <f t="shared" si="141"/>
        <v>0.74930112800392301</v>
      </c>
      <c r="R1484" s="22">
        <f t="shared" si="142"/>
        <v>1.34746126028832</v>
      </c>
      <c r="S1484" s="22">
        <f t="shared" si="143"/>
        <v>2.3474612602883198</v>
      </c>
    </row>
    <row r="1485" spans="1:19">
      <c r="A1485" s="18" t="s">
        <v>1524</v>
      </c>
      <c r="B1485" s="18" t="s">
        <v>34</v>
      </c>
      <c r="C1485" s="18" t="s">
        <v>41</v>
      </c>
      <c r="D1485" s="19">
        <v>44849</v>
      </c>
      <c r="E1485" s="20">
        <v>45457</v>
      </c>
      <c r="F1485" s="21">
        <v>44974.400000000001</v>
      </c>
      <c r="G1485" s="21">
        <v>20808</v>
      </c>
      <c r="H1485" s="21">
        <v>4086.4</v>
      </c>
      <c r="I1485" s="18">
        <v>6120.3519999999999</v>
      </c>
      <c r="J1485" s="18">
        <v>19510</v>
      </c>
      <c r="K1485" s="18" t="s">
        <v>43</v>
      </c>
      <c r="L1485" s="18" t="s">
        <v>44</v>
      </c>
      <c r="M1485" s="18" t="s">
        <v>32</v>
      </c>
      <c r="N1485" s="22">
        <f t="shared" si="138"/>
        <v>0.462663203956028</v>
      </c>
      <c r="O1485" s="22">
        <f t="shared" si="139"/>
        <v>0.196386005382545</v>
      </c>
      <c r="P1485" s="23">
        <f t="shared" si="140"/>
        <v>0.29413456362937301</v>
      </c>
      <c r="Q1485" s="23">
        <f t="shared" si="141"/>
        <v>1.49773688332028</v>
      </c>
      <c r="R1485" s="22">
        <f t="shared" si="142"/>
        <v>2.18772515044886</v>
      </c>
      <c r="S1485" s="22">
        <f t="shared" si="143"/>
        <v>3.18772515044886</v>
      </c>
    </row>
    <row r="1486" spans="1:19">
      <c r="A1486" s="18" t="s">
        <v>1525</v>
      </c>
      <c r="B1486" s="18" t="s">
        <v>20</v>
      </c>
      <c r="C1486" s="18" t="s">
        <v>48</v>
      </c>
      <c r="D1486" s="19">
        <v>44699</v>
      </c>
      <c r="E1486" s="20">
        <v>45326</v>
      </c>
      <c r="F1486" s="21">
        <v>28659.200000000001</v>
      </c>
      <c r="G1486" s="21">
        <v>24414.400000000001</v>
      </c>
      <c r="H1486" s="21">
        <v>10116.799999999999</v>
      </c>
      <c r="I1486" s="18">
        <v>7058.5439999999999</v>
      </c>
      <c r="J1486" s="18">
        <v>22003.407999999999</v>
      </c>
      <c r="K1486" s="18" t="s">
        <v>65</v>
      </c>
      <c r="L1486" s="18" t="s">
        <v>44</v>
      </c>
      <c r="M1486" s="18" t="s">
        <v>24</v>
      </c>
      <c r="N1486" s="22">
        <f t="shared" si="138"/>
        <v>0.85188700312639598</v>
      </c>
      <c r="O1486" s="22">
        <f t="shared" si="139"/>
        <v>0.41437839963300299</v>
      </c>
      <c r="P1486" s="23">
        <f t="shared" si="140"/>
        <v>0.28911396552854102</v>
      </c>
      <c r="Q1486" s="23">
        <f t="shared" si="141"/>
        <v>0.69770520322631702</v>
      </c>
      <c r="R1486" s="22">
        <f t="shared" si="142"/>
        <v>2.1172729106739299</v>
      </c>
      <c r="S1486" s="22">
        <f t="shared" si="143"/>
        <v>3.1172729106739299</v>
      </c>
    </row>
    <row r="1487" spans="1:19">
      <c r="A1487" s="18" t="s">
        <v>1526</v>
      </c>
      <c r="B1487" s="18" t="s">
        <v>47</v>
      </c>
      <c r="C1487" s="18" t="s">
        <v>41</v>
      </c>
      <c r="D1487" s="19">
        <v>44767</v>
      </c>
      <c r="E1487" s="20">
        <v>45378</v>
      </c>
      <c r="F1487" s="21">
        <v>41409.599999999999</v>
      </c>
      <c r="G1487" s="21">
        <v>21585.599999999999</v>
      </c>
      <c r="H1487" s="21">
        <v>19788.8</v>
      </c>
      <c r="I1487" s="18">
        <v>4284.5600000000004</v>
      </c>
      <c r="J1487" s="18">
        <v>10462.592000000001</v>
      </c>
      <c r="K1487" s="18" t="s">
        <v>38</v>
      </c>
      <c r="L1487" s="18" t="s">
        <v>44</v>
      </c>
      <c r="M1487" s="18" t="s">
        <v>32</v>
      </c>
      <c r="N1487" s="22">
        <f t="shared" si="138"/>
        <v>0.52127043004520701</v>
      </c>
      <c r="O1487" s="22">
        <f t="shared" si="139"/>
        <v>0.91675932102883395</v>
      </c>
      <c r="P1487" s="23">
        <f t="shared" si="140"/>
        <v>0.198491586983915</v>
      </c>
      <c r="Q1487" s="23">
        <f t="shared" si="141"/>
        <v>0.216514391979301</v>
      </c>
      <c r="R1487" s="22">
        <f t="shared" si="142"/>
        <v>1.4419291595869801</v>
      </c>
      <c r="S1487" s="22">
        <f t="shared" si="143"/>
        <v>2.4419291595869801</v>
      </c>
    </row>
    <row r="1488" spans="1:19">
      <c r="A1488" s="18" t="s">
        <v>1527</v>
      </c>
      <c r="B1488" s="18" t="s">
        <v>47</v>
      </c>
      <c r="C1488" s="18" t="s">
        <v>48</v>
      </c>
      <c r="D1488" s="19">
        <v>44978</v>
      </c>
      <c r="E1488" s="20">
        <v>45583</v>
      </c>
      <c r="F1488" s="21">
        <v>11864</v>
      </c>
      <c r="G1488" s="21">
        <v>1537.6</v>
      </c>
      <c r="H1488" s="21">
        <v>992</v>
      </c>
      <c r="I1488" s="18">
        <v>3731.5039999999999</v>
      </c>
      <c r="J1488" s="18">
        <v>8919.84</v>
      </c>
      <c r="K1488" s="18" t="s">
        <v>38</v>
      </c>
      <c r="L1488" s="18" t="s">
        <v>23</v>
      </c>
      <c r="M1488" s="18" t="s">
        <v>32</v>
      </c>
      <c r="N1488" s="22">
        <f t="shared" si="138"/>
        <v>0.129602157788267</v>
      </c>
      <c r="O1488" s="22">
        <f t="shared" si="139"/>
        <v>0.64516129032258096</v>
      </c>
      <c r="P1488" s="23">
        <f t="shared" si="140"/>
        <v>2.4268366285119698</v>
      </c>
      <c r="Q1488" s="23">
        <f t="shared" si="141"/>
        <v>3.7615967741935501</v>
      </c>
      <c r="R1488" s="22">
        <f t="shared" si="142"/>
        <v>1.3904141600813</v>
      </c>
      <c r="S1488" s="22">
        <f t="shared" si="143"/>
        <v>2.3904141600813</v>
      </c>
    </row>
    <row r="1489" spans="1:19">
      <c r="A1489" s="18" t="s">
        <v>1528</v>
      </c>
      <c r="B1489" s="18" t="s">
        <v>47</v>
      </c>
      <c r="C1489" s="18" t="s">
        <v>21</v>
      </c>
      <c r="D1489" s="19">
        <v>44815</v>
      </c>
      <c r="E1489" s="20">
        <v>45440</v>
      </c>
      <c r="F1489" s="21">
        <v>14958.4</v>
      </c>
      <c r="G1489" s="21">
        <v>2932.8</v>
      </c>
      <c r="H1489" s="21">
        <v>137.6</v>
      </c>
      <c r="I1489" s="18">
        <v>4990.8959999999997</v>
      </c>
      <c r="J1489" s="18">
        <v>19440.288</v>
      </c>
      <c r="K1489" s="18" t="s">
        <v>65</v>
      </c>
      <c r="L1489" s="18" t="s">
        <v>44</v>
      </c>
      <c r="M1489" s="18" t="s">
        <v>24</v>
      </c>
      <c r="N1489" s="22">
        <f t="shared" si="138"/>
        <v>0.196063750133704</v>
      </c>
      <c r="O1489" s="22">
        <f t="shared" si="139"/>
        <v>4.6917621385706501E-2</v>
      </c>
      <c r="P1489" s="23">
        <f t="shared" si="140"/>
        <v>1.7017512274959099</v>
      </c>
      <c r="Q1489" s="23">
        <f t="shared" si="141"/>
        <v>36.271046511627901</v>
      </c>
      <c r="R1489" s="22">
        <f t="shared" si="142"/>
        <v>2.8951498889177398</v>
      </c>
      <c r="S1489" s="22">
        <f t="shared" si="143"/>
        <v>3.8951498889177398</v>
      </c>
    </row>
    <row r="1490" spans="1:19">
      <c r="A1490" s="18" t="s">
        <v>1529</v>
      </c>
      <c r="B1490" s="18" t="s">
        <v>26</v>
      </c>
      <c r="C1490" s="18" t="s">
        <v>21</v>
      </c>
      <c r="D1490" s="19">
        <v>44937</v>
      </c>
      <c r="E1490" s="20">
        <v>45547</v>
      </c>
      <c r="F1490" s="21">
        <v>46148.800000000003</v>
      </c>
      <c r="G1490" s="21">
        <v>23526.400000000001</v>
      </c>
      <c r="H1490" s="21">
        <v>12862.4</v>
      </c>
      <c r="I1490" s="18">
        <v>4633.0559999999996</v>
      </c>
      <c r="J1490" s="18">
        <v>16736.48</v>
      </c>
      <c r="K1490" s="18" t="s">
        <v>30</v>
      </c>
      <c r="L1490" s="18" t="s">
        <v>31</v>
      </c>
      <c r="M1490" s="18" t="s">
        <v>32</v>
      </c>
      <c r="N1490" s="22">
        <f t="shared" si="138"/>
        <v>0.509794404188191</v>
      </c>
      <c r="O1490" s="22">
        <f t="shared" si="139"/>
        <v>0.54672198041349296</v>
      </c>
      <c r="P1490" s="23">
        <f t="shared" si="140"/>
        <v>0.19693008705114301</v>
      </c>
      <c r="Q1490" s="23">
        <f t="shared" si="141"/>
        <v>0.360201517601692</v>
      </c>
      <c r="R1490" s="22">
        <f t="shared" si="142"/>
        <v>2.6124061526560398</v>
      </c>
      <c r="S1490" s="22">
        <f t="shared" si="143"/>
        <v>3.6124061526560398</v>
      </c>
    </row>
    <row r="1491" spans="1:19">
      <c r="A1491" s="18" t="s">
        <v>1530</v>
      </c>
      <c r="B1491" s="18" t="s">
        <v>47</v>
      </c>
      <c r="C1491" s="18" t="s">
        <v>29</v>
      </c>
      <c r="D1491" s="19">
        <v>44892</v>
      </c>
      <c r="E1491" s="20">
        <v>45521</v>
      </c>
      <c r="F1491" s="21">
        <v>79118.399999999994</v>
      </c>
      <c r="G1491" s="21">
        <v>62288</v>
      </c>
      <c r="H1491" s="21">
        <v>15715.2</v>
      </c>
      <c r="I1491" s="18">
        <v>4034.7840000000001</v>
      </c>
      <c r="J1491" s="18">
        <v>5837.3919999999998</v>
      </c>
      <c r="K1491" s="18" t="s">
        <v>38</v>
      </c>
      <c r="L1491" s="18" t="s">
        <v>44</v>
      </c>
      <c r="M1491" s="18" t="s">
        <v>32</v>
      </c>
      <c r="N1491" s="22">
        <f t="shared" si="138"/>
        <v>0.78727577908552204</v>
      </c>
      <c r="O1491" s="22">
        <f t="shared" si="139"/>
        <v>0.25229899820190099</v>
      </c>
      <c r="P1491" s="23">
        <f t="shared" si="140"/>
        <v>6.4776265091189306E-2</v>
      </c>
      <c r="Q1491" s="23">
        <f t="shared" si="141"/>
        <v>0.25674404398289602</v>
      </c>
      <c r="R1491" s="22">
        <f t="shared" si="142"/>
        <v>0.44676691490796</v>
      </c>
      <c r="S1491" s="22">
        <f t="shared" si="143"/>
        <v>1.4467669149079601</v>
      </c>
    </row>
    <row r="1492" spans="1:19">
      <c r="A1492" s="18" t="s">
        <v>1531</v>
      </c>
      <c r="B1492" s="18" t="s">
        <v>40</v>
      </c>
      <c r="C1492" s="18" t="s">
        <v>21</v>
      </c>
      <c r="D1492" s="19">
        <v>44701</v>
      </c>
      <c r="E1492" s="20">
        <v>45317</v>
      </c>
      <c r="F1492" s="21">
        <v>55550.400000000001</v>
      </c>
      <c r="G1492" s="21">
        <v>45075.199999999997</v>
      </c>
      <c r="H1492" s="21">
        <v>33972.800000000003</v>
      </c>
      <c r="I1492" s="18">
        <v>7030.88</v>
      </c>
      <c r="J1492" s="18">
        <v>20039.856</v>
      </c>
      <c r="K1492" s="18" t="s">
        <v>38</v>
      </c>
      <c r="L1492" s="18" t="s">
        <v>50</v>
      </c>
      <c r="M1492" s="18" t="s">
        <v>24</v>
      </c>
      <c r="N1492" s="22">
        <f t="shared" si="138"/>
        <v>0.81142890060197603</v>
      </c>
      <c r="O1492" s="22">
        <f t="shared" si="139"/>
        <v>0.75369160868947904</v>
      </c>
      <c r="P1492" s="23">
        <f t="shared" si="140"/>
        <v>0.155981116001704</v>
      </c>
      <c r="Q1492" s="23">
        <f t="shared" si="141"/>
        <v>0.20695615315782001</v>
      </c>
      <c r="R1492" s="22">
        <f t="shared" si="142"/>
        <v>1.85026284049792</v>
      </c>
      <c r="S1492" s="22">
        <f t="shared" si="143"/>
        <v>2.85026284049792</v>
      </c>
    </row>
    <row r="1493" spans="1:19">
      <c r="A1493" s="18" t="s">
        <v>1532</v>
      </c>
      <c r="B1493" s="18" t="s">
        <v>26</v>
      </c>
      <c r="C1493" s="18" t="s">
        <v>29</v>
      </c>
      <c r="D1493" s="19">
        <v>44705</v>
      </c>
      <c r="E1493" s="20">
        <v>45313</v>
      </c>
      <c r="F1493" s="21">
        <v>4347.2</v>
      </c>
      <c r="G1493" s="21">
        <v>1180.8</v>
      </c>
      <c r="H1493" s="21">
        <v>73.599999999999994</v>
      </c>
      <c r="I1493" s="18">
        <v>7390.576</v>
      </c>
      <c r="J1493" s="18">
        <v>15706.88</v>
      </c>
      <c r="K1493" s="18" t="s">
        <v>38</v>
      </c>
      <c r="L1493" s="18" t="s">
        <v>23</v>
      </c>
      <c r="M1493" s="18" t="s">
        <v>32</v>
      </c>
      <c r="N1493" s="22">
        <f t="shared" si="138"/>
        <v>0.271623113728377</v>
      </c>
      <c r="O1493" s="22">
        <f t="shared" si="139"/>
        <v>6.2330623306233103E-2</v>
      </c>
      <c r="P1493" s="23">
        <f t="shared" si="140"/>
        <v>6.2589566395664002</v>
      </c>
      <c r="Q1493" s="23">
        <f t="shared" si="141"/>
        <v>100.415434782609</v>
      </c>
      <c r="R1493" s="22">
        <f t="shared" si="142"/>
        <v>1.12525789600161</v>
      </c>
      <c r="S1493" s="22">
        <f t="shared" si="143"/>
        <v>2.1252578960016102</v>
      </c>
    </row>
    <row r="1494" spans="1:19">
      <c r="A1494" s="18" t="s">
        <v>1533</v>
      </c>
      <c r="B1494" s="18" t="s">
        <v>47</v>
      </c>
      <c r="C1494" s="18" t="s">
        <v>48</v>
      </c>
      <c r="D1494" s="19">
        <v>44798</v>
      </c>
      <c r="E1494" s="20">
        <v>45419</v>
      </c>
      <c r="F1494" s="21">
        <v>70232</v>
      </c>
      <c r="G1494" s="21">
        <v>14787.2</v>
      </c>
      <c r="H1494" s="21">
        <v>1598.4</v>
      </c>
      <c r="I1494" s="18">
        <v>4616.2079999999996</v>
      </c>
      <c r="J1494" s="18">
        <v>14076.144</v>
      </c>
      <c r="K1494" s="18" t="s">
        <v>38</v>
      </c>
      <c r="L1494" s="18" t="s">
        <v>44</v>
      </c>
      <c r="M1494" s="18" t="s">
        <v>32</v>
      </c>
      <c r="N1494" s="22">
        <f t="shared" si="138"/>
        <v>0.21054789839389501</v>
      </c>
      <c r="O1494" s="22">
        <f t="shared" si="139"/>
        <v>0.108093486258386</v>
      </c>
      <c r="P1494" s="23">
        <f t="shared" si="140"/>
        <v>0.31217593594460102</v>
      </c>
      <c r="Q1494" s="23">
        <f t="shared" si="141"/>
        <v>2.8880180180180202</v>
      </c>
      <c r="R1494" s="22">
        <f t="shared" si="142"/>
        <v>2.0492872071622399</v>
      </c>
      <c r="S1494" s="22">
        <f t="shared" si="143"/>
        <v>3.0492872071622399</v>
      </c>
    </row>
    <row r="1495" spans="1:19">
      <c r="A1495" s="18" t="s">
        <v>1534</v>
      </c>
      <c r="B1495" s="18" t="s">
        <v>47</v>
      </c>
      <c r="C1495" s="18" t="s">
        <v>41</v>
      </c>
      <c r="D1495" s="19">
        <v>44754</v>
      </c>
      <c r="E1495" s="20">
        <v>45376</v>
      </c>
      <c r="F1495" s="21">
        <v>44331.199999999997</v>
      </c>
      <c r="G1495" s="21">
        <v>32656</v>
      </c>
      <c r="H1495" s="21">
        <v>4816</v>
      </c>
      <c r="I1495" s="18">
        <v>7749.152</v>
      </c>
      <c r="J1495" s="18">
        <v>13245.791999999999</v>
      </c>
      <c r="K1495" s="18" t="s">
        <v>30</v>
      </c>
      <c r="L1495" s="18" t="s">
        <v>35</v>
      </c>
      <c r="M1495" s="18" t="s">
        <v>24</v>
      </c>
      <c r="N1495" s="22">
        <f t="shared" si="138"/>
        <v>0.736636950951023</v>
      </c>
      <c r="O1495" s="22">
        <f t="shared" si="139"/>
        <v>0.147476727094561</v>
      </c>
      <c r="P1495" s="23">
        <f t="shared" si="140"/>
        <v>0.23729642332190101</v>
      </c>
      <c r="Q1495" s="23">
        <f t="shared" si="141"/>
        <v>1.60904318936877</v>
      </c>
      <c r="R1495" s="22">
        <f t="shared" si="142"/>
        <v>0.70932148446694498</v>
      </c>
      <c r="S1495" s="22">
        <f t="shared" si="143"/>
        <v>1.70932148446695</v>
      </c>
    </row>
    <row r="1496" spans="1:19">
      <c r="A1496" s="18" t="s">
        <v>1535</v>
      </c>
      <c r="B1496" s="18" t="s">
        <v>34</v>
      </c>
      <c r="C1496" s="18" t="s">
        <v>21</v>
      </c>
      <c r="D1496" s="19">
        <v>44934</v>
      </c>
      <c r="E1496" s="20">
        <v>45545</v>
      </c>
      <c r="F1496" s="21">
        <v>74048</v>
      </c>
      <c r="G1496" s="21">
        <v>58864</v>
      </c>
      <c r="H1496" s="21">
        <v>52942.400000000001</v>
      </c>
      <c r="I1496" s="18">
        <v>1921.376</v>
      </c>
      <c r="J1496" s="18">
        <v>2625.808</v>
      </c>
      <c r="K1496" s="18" t="s">
        <v>22</v>
      </c>
      <c r="L1496" s="18" t="s">
        <v>44</v>
      </c>
      <c r="M1496" s="18" t="s">
        <v>32</v>
      </c>
      <c r="N1496" s="22">
        <f t="shared" si="138"/>
        <v>0.79494382022471899</v>
      </c>
      <c r="O1496" s="22">
        <f t="shared" si="139"/>
        <v>0.89940201141614595</v>
      </c>
      <c r="P1496" s="23">
        <f t="shared" si="140"/>
        <v>3.2640935036694803E-2</v>
      </c>
      <c r="Q1496" s="23">
        <f t="shared" si="141"/>
        <v>3.62918190335157E-2</v>
      </c>
      <c r="R1496" s="22">
        <f t="shared" si="142"/>
        <v>0.366628915943574</v>
      </c>
      <c r="S1496" s="22">
        <f t="shared" si="143"/>
        <v>1.3666289159435701</v>
      </c>
    </row>
    <row r="1497" spans="1:19">
      <c r="A1497" s="18" t="s">
        <v>1536</v>
      </c>
      <c r="B1497" s="18" t="s">
        <v>34</v>
      </c>
      <c r="C1497" s="18" t="s">
        <v>41</v>
      </c>
      <c r="D1497" s="19">
        <v>44822</v>
      </c>
      <c r="E1497" s="20">
        <v>45427</v>
      </c>
      <c r="F1497" s="21">
        <v>3326.4</v>
      </c>
      <c r="G1497" s="21">
        <v>1745.6</v>
      </c>
      <c r="H1497" s="21">
        <v>219.2</v>
      </c>
      <c r="I1497" s="18">
        <v>3891.04</v>
      </c>
      <c r="J1497" s="18">
        <v>14738.544</v>
      </c>
      <c r="K1497" s="18" t="s">
        <v>30</v>
      </c>
      <c r="L1497" s="18" t="s">
        <v>44</v>
      </c>
      <c r="M1497" s="18" t="s">
        <v>32</v>
      </c>
      <c r="N1497" s="22">
        <f t="shared" si="138"/>
        <v>0.524771524771525</v>
      </c>
      <c r="O1497" s="22">
        <f t="shared" si="139"/>
        <v>0.12557286892758901</v>
      </c>
      <c r="P1497" s="23">
        <f t="shared" si="140"/>
        <v>2.2290559120073299</v>
      </c>
      <c r="Q1497" s="23">
        <f t="shared" si="141"/>
        <v>17.751094890510899</v>
      </c>
      <c r="R1497" s="22">
        <f t="shared" si="142"/>
        <v>2.7878161108598198</v>
      </c>
      <c r="S1497" s="22">
        <f t="shared" si="143"/>
        <v>3.7878161108598198</v>
      </c>
    </row>
    <row r="1498" spans="1:19">
      <c r="A1498" s="18" t="s">
        <v>1537</v>
      </c>
      <c r="B1498" s="18" t="s">
        <v>40</v>
      </c>
      <c r="C1498" s="18" t="s">
        <v>21</v>
      </c>
      <c r="D1498" s="19">
        <v>44728</v>
      </c>
      <c r="E1498" s="20">
        <v>45358</v>
      </c>
      <c r="F1498" s="21">
        <v>38398.400000000001</v>
      </c>
      <c r="G1498" s="21">
        <v>10856</v>
      </c>
      <c r="H1498" s="21">
        <v>1945.6</v>
      </c>
      <c r="I1498" s="18">
        <v>2673.6959999999999</v>
      </c>
      <c r="J1498" s="18">
        <v>7989.76</v>
      </c>
      <c r="K1498" s="18" t="s">
        <v>22</v>
      </c>
      <c r="L1498" s="18" t="s">
        <v>31</v>
      </c>
      <c r="M1498" s="18" t="s">
        <v>32</v>
      </c>
      <c r="N1498" s="22">
        <f t="shared" si="138"/>
        <v>0.28272011333805602</v>
      </c>
      <c r="O1498" s="22">
        <f t="shared" si="139"/>
        <v>0.179218865143699</v>
      </c>
      <c r="P1498" s="23">
        <f t="shared" si="140"/>
        <v>0.24628739867354499</v>
      </c>
      <c r="Q1498" s="23">
        <f t="shared" si="141"/>
        <v>1.3742269736842101</v>
      </c>
      <c r="R1498" s="22">
        <f t="shared" si="142"/>
        <v>1.9882828863116799</v>
      </c>
      <c r="S1498" s="22">
        <f t="shared" si="143"/>
        <v>2.9882828863116799</v>
      </c>
    </row>
    <row r="1499" spans="1:19">
      <c r="A1499" s="18" t="s">
        <v>1538</v>
      </c>
      <c r="B1499" s="18" t="s">
        <v>28</v>
      </c>
      <c r="C1499" s="18" t="s">
        <v>21</v>
      </c>
      <c r="D1499" s="19">
        <v>44706</v>
      </c>
      <c r="E1499" s="20">
        <v>45331</v>
      </c>
      <c r="F1499" s="21">
        <v>36876.800000000003</v>
      </c>
      <c r="G1499" s="21">
        <v>9467.2000000000007</v>
      </c>
      <c r="H1499" s="21">
        <v>8360</v>
      </c>
      <c r="I1499" s="18">
        <v>7416.5119999999997</v>
      </c>
      <c r="J1499" s="18">
        <v>11721.152</v>
      </c>
      <c r="K1499" s="18" t="s">
        <v>22</v>
      </c>
      <c r="L1499" s="18" t="s">
        <v>31</v>
      </c>
      <c r="M1499" s="18" t="s">
        <v>32</v>
      </c>
      <c r="N1499" s="22">
        <f t="shared" si="138"/>
        <v>0.25672509545296801</v>
      </c>
      <c r="O1499" s="22">
        <f t="shared" si="139"/>
        <v>0.88304884231874303</v>
      </c>
      <c r="P1499" s="23">
        <f t="shared" si="140"/>
        <v>0.78339023153625098</v>
      </c>
      <c r="Q1499" s="23">
        <f t="shared" si="141"/>
        <v>0.88714258373205701</v>
      </c>
      <c r="R1499" s="22">
        <f t="shared" si="142"/>
        <v>0.58041300277003505</v>
      </c>
      <c r="S1499" s="22">
        <f t="shared" si="143"/>
        <v>1.58041300277004</v>
      </c>
    </row>
    <row r="1500" spans="1:19">
      <c r="A1500" s="18" t="s">
        <v>1539</v>
      </c>
      <c r="B1500" s="18" t="s">
        <v>34</v>
      </c>
      <c r="C1500" s="18" t="s">
        <v>41</v>
      </c>
      <c r="D1500" s="19">
        <v>44711</v>
      </c>
      <c r="E1500" s="20">
        <v>45341</v>
      </c>
      <c r="F1500" s="21">
        <v>6600</v>
      </c>
      <c r="G1500" s="21">
        <v>3003.2</v>
      </c>
      <c r="H1500" s="21">
        <v>1556.8</v>
      </c>
      <c r="I1500" s="18">
        <v>1206.576</v>
      </c>
      <c r="J1500" s="18">
        <v>3548.3040000000001</v>
      </c>
      <c r="K1500" s="18" t="s">
        <v>38</v>
      </c>
      <c r="L1500" s="18" t="s">
        <v>50</v>
      </c>
      <c r="M1500" s="18" t="s">
        <v>32</v>
      </c>
      <c r="N1500" s="22">
        <f t="shared" si="138"/>
        <v>0.45503030303030301</v>
      </c>
      <c r="O1500" s="22">
        <f t="shared" si="139"/>
        <v>0.51838039424613702</v>
      </c>
      <c r="P1500" s="23">
        <f t="shared" si="140"/>
        <v>0.40176345231752802</v>
      </c>
      <c r="Q1500" s="23">
        <f t="shared" si="141"/>
        <v>0.77503597122302204</v>
      </c>
      <c r="R1500" s="22">
        <f t="shared" si="142"/>
        <v>1.94080439193221</v>
      </c>
      <c r="S1500" s="22">
        <f t="shared" si="143"/>
        <v>2.9408043919322102</v>
      </c>
    </row>
    <row r="1501" spans="1:19">
      <c r="A1501" s="18" t="s">
        <v>1540</v>
      </c>
      <c r="B1501" s="18" t="s">
        <v>40</v>
      </c>
      <c r="C1501" s="18" t="s">
        <v>48</v>
      </c>
      <c r="D1501" s="19">
        <v>44699</v>
      </c>
      <c r="E1501" s="20">
        <v>45325</v>
      </c>
      <c r="F1501" s="21">
        <v>19334.400000000001</v>
      </c>
      <c r="G1501" s="21">
        <v>13012.8</v>
      </c>
      <c r="H1501" s="21">
        <v>12377.6</v>
      </c>
      <c r="I1501" s="18">
        <v>1738.3679999999999</v>
      </c>
      <c r="J1501" s="18">
        <v>3633.3919999999998</v>
      </c>
      <c r="K1501" s="18" t="s">
        <v>22</v>
      </c>
      <c r="L1501" s="18" t="s">
        <v>44</v>
      </c>
      <c r="M1501" s="18" t="s">
        <v>32</v>
      </c>
      <c r="N1501" s="22">
        <f t="shared" si="138"/>
        <v>0.67303872889771599</v>
      </c>
      <c r="O1501" s="22">
        <f t="shared" si="139"/>
        <v>0.95118652403787096</v>
      </c>
      <c r="P1501" s="23">
        <f t="shared" si="140"/>
        <v>0.133589081519734</v>
      </c>
      <c r="Q1501" s="23">
        <f t="shared" si="141"/>
        <v>0.140444674250259</v>
      </c>
      <c r="R1501" s="22">
        <f t="shared" si="142"/>
        <v>1.09011670716442</v>
      </c>
      <c r="S1501" s="22">
        <f t="shared" si="143"/>
        <v>2.09011670716442</v>
      </c>
    </row>
    <row r="1502" spans="1:19">
      <c r="A1502" s="18" t="s">
        <v>1541</v>
      </c>
      <c r="B1502" s="18" t="s">
        <v>28</v>
      </c>
      <c r="C1502" s="18" t="s">
        <v>21</v>
      </c>
      <c r="D1502" s="19">
        <v>44987</v>
      </c>
      <c r="E1502" s="20">
        <v>45601</v>
      </c>
      <c r="F1502" s="21">
        <v>41996.800000000003</v>
      </c>
      <c r="G1502" s="21">
        <v>22476.799999999999</v>
      </c>
      <c r="H1502" s="21">
        <v>14369.6</v>
      </c>
      <c r="I1502" s="18">
        <v>816.16</v>
      </c>
      <c r="J1502" s="18">
        <v>2459.0239999999999</v>
      </c>
      <c r="K1502" s="18" t="s">
        <v>30</v>
      </c>
      <c r="L1502" s="18" t="s">
        <v>23</v>
      </c>
      <c r="M1502" s="18" t="s">
        <v>32</v>
      </c>
      <c r="N1502" s="22">
        <f t="shared" si="138"/>
        <v>0.53520268210911304</v>
      </c>
      <c r="O1502" s="22">
        <f t="shared" si="139"/>
        <v>0.63930808656036497</v>
      </c>
      <c r="P1502" s="23">
        <f t="shared" si="140"/>
        <v>3.6311218678815503E-2</v>
      </c>
      <c r="Q1502" s="23">
        <f t="shared" si="141"/>
        <v>5.67976839995546E-2</v>
      </c>
      <c r="R1502" s="22">
        <f t="shared" si="142"/>
        <v>2.01291903548324</v>
      </c>
      <c r="S1502" s="22">
        <f t="shared" si="143"/>
        <v>3.01291903548324</v>
      </c>
    </row>
    <row r="1503" spans="1:19">
      <c r="A1503" s="18" t="s">
        <v>1542</v>
      </c>
      <c r="B1503" s="18" t="s">
        <v>26</v>
      </c>
      <c r="C1503" s="18" t="s">
        <v>29</v>
      </c>
      <c r="D1503" s="19">
        <v>44799</v>
      </c>
      <c r="E1503" s="20">
        <v>45424</v>
      </c>
      <c r="F1503" s="21">
        <v>38865.599999999999</v>
      </c>
      <c r="G1503" s="21">
        <v>35179.199999999997</v>
      </c>
      <c r="H1503" s="21">
        <v>5436.8</v>
      </c>
      <c r="I1503" s="18">
        <v>5389.808</v>
      </c>
      <c r="J1503" s="18">
        <v>16734.495999999999</v>
      </c>
      <c r="K1503" s="18" t="s">
        <v>30</v>
      </c>
      <c r="L1503" s="18" t="s">
        <v>35</v>
      </c>
      <c r="M1503" s="18" t="s">
        <v>32</v>
      </c>
      <c r="N1503" s="22">
        <f t="shared" si="138"/>
        <v>0.90515005557613903</v>
      </c>
      <c r="O1503" s="22">
        <f t="shared" si="139"/>
        <v>0.154545868012917</v>
      </c>
      <c r="P1503" s="23">
        <f t="shared" si="140"/>
        <v>0.15321007868285799</v>
      </c>
      <c r="Q1503" s="23">
        <f t="shared" si="141"/>
        <v>0.99135668040023495</v>
      </c>
      <c r="R1503" s="22">
        <f t="shared" si="142"/>
        <v>2.1048408403416201</v>
      </c>
      <c r="S1503" s="22">
        <f t="shared" si="143"/>
        <v>3.1048408403416201</v>
      </c>
    </row>
    <row r="1504" spans="1:19">
      <c r="A1504" s="18" t="s">
        <v>1543</v>
      </c>
      <c r="B1504" s="18" t="s">
        <v>40</v>
      </c>
      <c r="C1504" s="18" t="s">
        <v>29</v>
      </c>
      <c r="D1504" s="19">
        <v>44920</v>
      </c>
      <c r="E1504" s="20">
        <v>45531</v>
      </c>
      <c r="F1504" s="21">
        <v>12024</v>
      </c>
      <c r="G1504" s="21">
        <v>3289.6</v>
      </c>
      <c r="H1504" s="21">
        <v>1339.2</v>
      </c>
      <c r="I1504" s="18">
        <v>276.91199999999998</v>
      </c>
      <c r="J1504" s="18">
        <v>1031.3920000000001</v>
      </c>
      <c r="K1504" s="18" t="s">
        <v>22</v>
      </c>
      <c r="L1504" s="18" t="s">
        <v>50</v>
      </c>
      <c r="M1504" s="18" t="s">
        <v>32</v>
      </c>
      <c r="N1504" s="22">
        <f t="shared" si="138"/>
        <v>0.273586161011311</v>
      </c>
      <c r="O1504" s="22">
        <f t="shared" si="139"/>
        <v>0.40710116731517498</v>
      </c>
      <c r="P1504" s="23">
        <f t="shared" si="140"/>
        <v>8.4178015564202305E-2</v>
      </c>
      <c r="Q1504" s="23">
        <f t="shared" si="141"/>
        <v>0.206774193548387</v>
      </c>
      <c r="R1504" s="22">
        <f t="shared" si="142"/>
        <v>2.72462009591495</v>
      </c>
      <c r="S1504" s="22">
        <f t="shared" si="143"/>
        <v>3.72462009591495</v>
      </c>
    </row>
    <row r="1505" spans="1:19">
      <c r="A1505" s="18" t="s">
        <v>1544</v>
      </c>
      <c r="B1505" s="18" t="s">
        <v>34</v>
      </c>
      <c r="C1505" s="18" t="s">
        <v>29</v>
      </c>
      <c r="D1505" s="19">
        <v>44975</v>
      </c>
      <c r="E1505" s="20">
        <v>45600</v>
      </c>
      <c r="F1505" s="21">
        <v>12980.8</v>
      </c>
      <c r="G1505" s="21">
        <v>9025.6</v>
      </c>
      <c r="H1505" s="21">
        <v>606.4</v>
      </c>
      <c r="I1505" s="18">
        <v>2926.0160000000001</v>
      </c>
      <c r="J1505" s="18">
        <v>9035.7440000000006</v>
      </c>
      <c r="K1505" s="18" t="s">
        <v>65</v>
      </c>
      <c r="L1505" s="18" t="s">
        <v>35</v>
      </c>
      <c r="M1505" s="18" t="s">
        <v>32</v>
      </c>
      <c r="N1505" s="22">
        <f t="shared" si="138"/>
        <v>0.69530383335387702</v>
      </c>
      <c r="O1505" s="22">
        <f t="shared" si="139"/>
        <v>6.7186669030313798E-2</v>
      </c>
      <c r="P1505" s="23">
        <f t="shared" si="140"/>
        <v>0.32419074632157402</v>
      </c>
      <c r="Q1505" s="23">
        <f t="shared" si="141"/>
        <v>4.8252242744063301</v>
      </c>
      <c r="R1505" s="22">
        <f t="shared" si="142"/>
        <v>2.08807060521884</v>
      </c>
      <c r="S1505" s="22">
        <f t="shared" si="143"/>
        <v>3.08807060521884</v>
      </c>
    </row>
    <row r="1506" spans="1:19">
      <c r="A1506" s="18" t="s">
        <v>1545</v>
      </c>
      <c r="B1506" s="18" t="s">
        <v>28</v>
      </c>
      <c r="C1506" s="18" t="s">
        <v>48</v>
      </c>
      <c r="D1506" s="19">
        <v>44941</v>
      </c>
      <c r="E1506" s="20">
        <v>45555</v>
      </c>
      <c r="F1506" s="21">
        <v>12721.6</v>
      </c>
      <c r="G1506" s="21">
        <v>7417.6</v>
      </c>
      <c r="H1506" s="21">
        <v>5033.6000000000004</v>
      </c>
      <c r="I1506" s="18">
        <v>7534.72</v>
      </c>
      <c r="J1506" s="18">
        <v>9974.48</v>
      </c>
      <c r="K1506" s="18" t="s">
        <v>65</v>
      </c>
      <c r="L1506" s="18" t="s">
        <v>35</v>
      </c>
      <c r="M1506" s="18" t="s">
        <v>32</v>
      </c>
      <c r="N1506" s="22">
        <f t="shared" si="138"/>
        <v>0.58307131178468097</v>
      </c>
      <c r="O1506" s="22">
        <f t="shared" si="139"/>
        <v>0.67860224331320096</v>
      </c>
      <c r="P1506" s="23">
        <f t="shared" si="140"/>
        <v>1.0157894736842099</v>
      </c>
      <c r="Q1506" s="23">
        <f t="shared" si="141"/>
        <v>1.4968849332485701</v>
      </c>
      <c r="R1506" s="22">
        <f t="shared" si="142"/>
        <v>0.32380234434723498</v>
      </c>
      <c r="S1506" s="22">
        <f t="shared" si="143"/>
        <v>1.32380234434724</v>
      </c>
    </row>
    <row r="1507" spans="1:19">
      <c r="A1507" s="18" t="s">
        <v>1546</v>
      </c>
      <c r="B1507" s="18" t="s">
        <v>20</v>
      </c>
      <c r="C1507" s="18" t="s">
        <v>21</v>
      </c>
      <c r="D1507" s="19">
        <v>44701</v>
      </c>
      <c r="E1507" s="20">
        <v>45327</v>
      </c>
      <c r="F1507" s="21">
        <v>75574.399999999994</v>
      </c>
      <c r="G1507" s="21">
        <v>58856</v>
      </c>
      <c r="H1507" s="21">
        <v>33312</v>
      </c>
      <c r="I1507" s="18">
        <v>3092.08</v>
      </c>
      <c r="J1507" s="18">
        <v>10902.224</v>
      </c>
      <c r="K1507" s="18" t="s">
        <v>65</v>
      </c>
      <c r="L1507" s="18" t="s">
        <v>44</v>
      </c>
      <c r="M1507" s="18" t="s">
        <v>32</v>
      </c>
      <c r="N1507" s="22">
        <f t="shared" si="138"/>
        <v>0.77878223313714701</v>
      </c>
      <c r="O1507" s="22">
        <f t="shared" si="139"/>
        <v>0.56599157265189604</v>
      </c>
      <c r="P1507" s="23">
        <f t="shared" si="140"/>
        <v>5.2536359929319001E-2</v>
      </c>
      <c r="Q1507" s="23">
        <f t="shared" si="141"/>
        <v>9.2821805955811701E-2</v>
      </c>
      <c r="R1507" s="22">
        <f t="shared" si="142"/>
        <v>2.5258544410235202</v>
      </c>
      <c r="S1507" s="22">
        <f t="shared" si="143"/>
        <v>3.5258544410235202</v>
      </c>
    </row>
    <row r="1508" spans="1:19">
      <c r="A1508" s="18" t="s">
        <v>1547</v>
      </c>
      <c r="B1508" s="18" t="s">
        <v>34</v>
      </c>
      <c r="C1508" s="18" t="s">
        <v>29</v>
      </c>
      <c r="D1508" s="19">
        <v>44924</v>
      </c>
      <c r="E1508" s="20">
        <v>45527</v>
      </c>
      <c r="F1508" s="21">
        <v>37284.800000000003</v>
      </c>
      <c r="G1508" s="21">
        <v>15443.2</v>
      </c>
      <c r="H1508" s="21">
        <v>9590.4</v>
      </c>
      <c r="I1508" s="18">
        <v>7972.8639999999996</v>
      </c>
      <c r="J1508" s="18">
        <v>26594.16</v>
      </c>
      <c r="K1508" s="18" t="s">
        <v>30</v>
      </c>
      <c r="L1508" s="18" t="s">
        <v>35</v>
      </c>
      <c r="M1508" s="18" t="s">
        <v>24</v>
      </c>
      <c r="N1508" s="22">
        <f t="shared" si="138"/>
        <v>0.41419559713341603</v>
      </c>
      <c r="O1508" s="22">
        <f t="shared" si="139"/>
        <v>0.62101118939080002</v>
      </c>
      <c r="P1508" s="23">
        <f t="shared" si="140"/>
        <v>0.516270203066722</v>
      </c>
      <c r="Q1508" s="23">
        <f t="shared" si="141"/>
        <v>0.831338004671338</v>
      </c>
      <c r="R1508" s="22">
        <f t="shared" si="142"/>
        <v>2.33558430195222</v>
      </c>
      <c r="S1508" s="22">
        <f t="shared" si="143"/>
        <v>3.33558430195222</v>
      </c>
    </row>
    <row r="1509" spans="1:19">
      <c r="A1509" s="18" t="s">
        <v>1548</v>
      </c>
      <c r="B1509" s="18" t="s">
        <v>28</v>
      </c>
      <c r="C1509" s="18" t="s">
        <v>41</v>
      </c>
      <c r="D1509" s="19">
        <v>44777</v>
      </c>
      <c r="E1509" s="20">
        <v>45392</v>
      </c>
      <c r="F1509" s="21">
        <v>50489.599999999999</v>
      </c>
      <c r="G1509" s="21">
        <v>39390.400000000001</v>
      </c>
      <c r="H1509" s="21">
        <v>38492.800000000003</v>
      </c>
      <c r="I1509" s="18">
        <v>3060.3679999999999</v>
      </c>
      <c r="J1509" s="18">
        <v>8048.0640000000003</v>
      </c>
      <c r="K1509" s="18" t="s">
        <v>43</v>
      </c>
      <c r="L1509" s="18" t="s">
        <v>50</v>
      </c>
      <c r="M1509" s="18" t="s">
        <v>24</v>
      </c>
      <c r="N1509" s="22">
        <f t="shared" si="138"/>
        <v>0.78016858917480003</v>
      </c>
      <c r="O1509" s="22">
        <f t="shared" si="139"/>
        <v>0.97721272188147401</v>
      </c>
      <c r="P1509" s="23">
        <f t="shared" si="140"/>
        <v>7.7693245054632598E-2</v>
      </c>
      <c r="Q1509" s="23">
        <f t="shared" si="141"/>
        <v>7.9504946379582705E-2</v>
      </c>
      <c r="R1509" s="22">
        <f t="shared" si="142"/>
        <v>1.62977001458648</v>
      </c>
      <c r="S1509" s="22">
        <f t="shared" si="143"/>
        <v>2.6297700145864802</v>
      </c>
    </row>
    <row r="1510" spans="1:19">
      <c r="A1510" s="18" t="s">
        <v>1549</v>
      </c>
      <c r="B1510" s="18" t="s">
        <v>28</v>
      </c>
      <c r="C1510" s="18" t="s">
        <v>21</v>
      </c>
      <c r="D1510" s="19">
        <v>44714</v>
      </c>
      <c r="E1510" s="20">
        <v>45335</v>
      </c>
      <c r="F1510" s="21">
        <v>13574.4</v>
      </c>
      <c r="G1510" s="21">
        <v>8262.4</v>
      </c>
      <c r="H1510" s="21">
        <v>5606.4</v>
      </c>
      <c r="I1510" s="18">
        <v>1170.1600000000001</v>
      </c>
      <c r="J1510" s="18">
        <v>4356.4960000000001</v>
      </c>
      <c r="K1510" s="18" t="s">
        <v>38</v>
      </c>
      <c r="L1510" s="18" t="s">
        <v>50</v>
      </c>
      <c r="M1510" s="18" t="s">
        <v>24</v>
      </c>
      <c r="N1510" s="22">
        <f t="shared" si="138"/>
        <v>0.60867515322960897</v>
      </c>
      <c r="O1510" s="22">
        <f t="shared" si="139"/>
        <v>0.67854376452362497</v>
      </c>
      <c r="P1510" s="23">
        <f t="shared" si="140"/>
        <v>0.14162470952749801</v>
      </c>
      <c r="Q1510" s="23">
        <f t="shared" si="141"/>
        <v>0.208718607305936</v>
      </c>
      <c r="R1510" s="22">
        <f t="shared" si="142"/>
        <v>2.7229917276269902</v>
      </c>
      <c r="S1510" s="22">
        <f t="shared" si="143"/>
        <v>3.7229917276269902</v>
      </c>
    </row>
    <row r="1511" spans="1:19">
      <c r="A1511" s="18" t="s">
        <v>1550</v>
      </c>
      <c r="B1511" s="18" t="s">
        <v>34</v>
      </c>
      <c r="C1511" s="18" t="s">
        <v>48</v>
      </c>
      <c r="D1511" s="19">
        <v>44884</v>
      </c>
      <c r="E1511" s="20">
        <v>45509</v>
      </c>
      <c r="F1511" s="21">
        <v>35008</v>
      </c>
      <c r="G1511" s="21">
        <v>14491.2</v>
      </c>
      <c r="H1511" s="21">
        <v>13913.6</v>
      </c>
      <c r="I1511" s="18">
        <v>1313.04</v>
      </c>
      <c r="J1511" s="18">
        <v>4011.136</v>
      </c>
      <c r="K1511" s="18" t="s">
        <v>65</v>
      </c>
      <c r="L1511" s="18" t="s">
        <v>31</v>
      </c>
      <c r="M1511" s="18" t="s">
        <v>32</v>
      </c>
      <c r="N1511" s="22">
        <f t="shared" si="138"/>
        <v>0.41393967093235801</v>
      </c>
      <c r="O1511" s="22">
        <f t="shared" si="139"/>
        <v>0.96014132715027001</v>
      </c>
      <c r="P1511" s="23">
        <f t="shared" si="140"/>
        <v>9.0609473335541604E-2</v>
      </c>
      <c r="Q1511" s="23">
        <f t="shared" si="141"/>
        <v>9.4370975160993603E-2</v>
      </c>
      <c r="R1511" s="22">
        <f t="shared" si="142"/>
        <v>2.0548467678060098</v>
      </c>
      <c r="S1511" s="22">
        <f t="shared" si="143"/>
        <v>3.0548467678060098</v>
      </c>
    </row>
    <row r="1512" spans="1:19">
      <c r="A1512" s="18" t="s">
        <v>1551</v>
      </c>
      <c r="B1512" s="18" t="s">
        <v>20</v>
      </c>
      <c r="C1512" s="18" t="s">
        <v>41</v>
      </c>
      <c r="D1512" s="19">
        <v>44745</v>
      </c>
      <c r="E1512" s="20">
        <v>45348</v>
      </c>
      <c r="F1512" s="21">
        <v>47171.199999999997</v>
      </c>
      <c r="G1512" s="21">
        <v>5390.4</v>
      </c>
      <c r="H1512" s="21">
        <v>1454.4</v>
      </c>
      <c r="I1512" s="18">
        <v>4932.384</v>
      </c>
      <c r="J1512" s="18">
        <v>9418.0480000000007</v>
      </c>
      <c r="K1512" s="18" t="s">
        <v>43</v>
      </c>
      <c r="L1512" s="18" t="s">
        <v>50</v>
      </c>
      <c r="M1512" s="18" t="s">
        <v>32</v>
      </c>
      <c r="N1512" s="22">
        <f t="shared" si="138"/>
        <v>0.114273115799471</v>
      </c>
      <c r="O1512" s="22">
        <f t="shared" si="139"/>
        <v>0.269813000890472</v>
      </c>
      <c r="P1512" s="23">
        <f t="shared" si="140"/>
        <v>0.915031166518255</v>
      </c>
      <c r="Q1512" s="23">
        <f t="shared" si="141"/>
        <v>3.3913531353135302</v>
      </c>
      <c r="R1512" s="22">
        <f t="shared" si="142"/>
        <v>0.909431220278064</v>
      </c>
      <c r="S1512" s="22">
        <f t="shared" si="143"/>
        <v>1.9094312202780599</v>
      </c>
    </row>
    <row r="1513" spans="1:19">
      <c r="A1513" s="18" t="s">
        <v>1552</v>
      </c>
      <c r="B1513" s="18" t="s">
        <v>47</v>
      </c>
      <c r="C1513" s="18" t="s">
        <v>48</v>
      </c>
      <c r="D1513" s="19">
        <v>44846</v>
      </c>
      <c r="E1513" s="20">
        <v>45459</v>
      </c>
      <c r="F1513" s="21">
        <v>59625.599999999999</v>
      </c>
      <c r="G1513" s="21">
        <v>10000</v>
      </c>
      <c r="H1513" s="21">
        <v>1024</v>
      </c>
      <c r="I1513" s="18">
        <v>4593.424</v>
      </c>
      <c r="J1513" s="18">
        <v>12761.424000000001</v>
      </c>
      <c r="K1513" s="18" t="s">
        <v>38</v>
      </c>
      <c r="L1513" s="18" t="s">
        <v>44</v>
      </c>
      <c r="M1513" s="18" t="s">
        <v>32</v>
      </c>
      <c r="N1513" s="22">
        <f t="shared" si="138"/>
        <v>0.16771319701604701</v>
      </c>
      <c r="O1513" s="22">
        <f t="shared" si="139"/>
        <v>0.1024</v>
      </c>
      <c r="P1513" s="23">
        <f t="shared" si="140"/>
        <v>0.45934239999999998</v>
      </c>
      <c r="Q1513" s="23">
        <f t="shared" si="141"/>
        <v>4.485765625</v>
      </c>
      <c r="R1513" s="22">
        <f t="shared" si="142"/>
        <v>1.7781942185176001</v>
      </c>
      <c r="S1513" s="22">
        <f t="shared" si="143"/>
        <v>2.7781942185176001</v>
      </c>
    </row>
    <row r="1514" spans="1:19">
      <c r="A1514" s="18" t="s">
        <v>1553</v>
      </c>
      <c r="B1514" s="18" t="s">
        <v>26</v>
      </c>
      <c r="C1514" s="18" t="s">
        <v>29</v>
      </c>
      <c r="D1514" s="19">
        <v>44979</v>
      </c>
      <c r="E1514" s="20">
        <v>45609</v>
      </c>
      <c r="F1514" s="21">
        <v>33243.199999999997</v>
      </c>
      <c r="G1514" s="21">
        <v>4585.6000000000004</v>
      </c>
      <c r="H1514" s="21">
        <v>4361.6000000000004</v>
      </c>
      <c r="I1514" s="18">
        <v>7128.5119999999997</v>
      </c>
      <c r="J1514" s="18">
        <v>17977.599999999999</v>
      </c>
      <c r="K1514" s="18" t="s">
        <v>38</v>
      </c>
      <c r="L1514" s="18" t="s">
        <v>50</v>
      </c>
      <c r="M1514" s="18" t="s">
        <v>32</v>
      </c>
      <c r="N1514" s="22">
        <f t="shared" si="138"/>
        <v>0.137940992443567</v>
      </c>
      <c r="O1514" s="22">
        <f t="shared" si="139"/>
        <v>0.95115143056524798</v>
      </c>
      <c r="P1514" s="23">
        <f t="shared" si="140"/>
        <v>1.5545429169574301</v>
      </c>
      <c r="Q1514" s="23">
        <f t="shared" si="141"/>
        <v>1.63438004402054</v>
      </c>
      <c r="R1514" s="22">
        <f t="shared" si="142"/>
        <v>1.5219288401282101</v>
      </c>
      <c r="S1514" s="22">
        <f t="shared" si="143"/>
        <v>2.5219288401282101</v>
      </c>
    </row>
    <row r="1515" spans="1:19">
      <c r="A1515" s="18" t="s">
        <v>1554</v>
      </c>
      <c r="B1515" s="18" t="s">
        <v>47</v>
      </c>
      <c r="C1515" s="18" t="s">
        <v>41</v>
      </c>
      <c r="D1515" s="19">
        <v>44712</v>
      </c>
      <c r="E1515" s="20">
        <v>45342</v>
      </c>
      <c r="F1515" s="21">
        <v>5766.4</v>
      </c>
      <c r="G1515" s="21">
        <v>929.6</v>
      </c>
      <c r="H1515" s="21">
        <v>798.4</v>
      </c>
      <c r="I1515" s="18">
        <v>1391.568</v>
      </c>
      <c r="J1515" s="18">
        <v>2184.0320000000002</v>
      </c>
      <c r="K1515" s="18" t="s">
        <v>22</v>
      </c>
      <c r="L1515" s="18" t="s">
        <v>50</v>
      </c>
      <c r="M1515" s="18" t="s">
        <v>32</v>
      </c>
      <c r="N1515" s="22">
        <f t="shared" si="138"/>
        <v>0.16120976692563799</v>
      </c>
      <c r="O1515" s="22">
        <f t="shared" si="139"/>
        <v>0.85886402753872604</v>
      </c>
      <c r="P1515" s="23">
        <f t="shared" si="140"/>
        <v>1.4969535283993101</v>
      </c>
      <c r="Q1515" s="23">
        <f t="shared" si="141"/>
        <v>1.7429458917835701</v>
      </c>
      <c r="R1515" s="22">
        <f t="shared" si="142"/>
        <v>0.56947558437676105</v>
      </c>
      <c r="S1515" s="22">
        <f t="shared" si="143"/>
        <v>1.56947558437676</v>
      </c>
    </row>
    <row r="1516" spans="1:19">
      <c r="A1516" s="18" t="s">
        <v>1555</v>
      </c>
      <c r="B1516" s="18" t="s">
        <v>28</v>
      </c>
      <c r="C1516" s="18" t="s">
        <v>41</v>
      </c>
      <c r="D1516" s="19">
        <v>44949</v>
      </c>
      <c r="E1516" s="20">
        <v>45556</v>
      </c>
      <c r="F1516" s="21">
        <v>44961.599999999999</v>
      </c>
      <c r="G1516" s="21">
        <v>27715.200000000001</v>
      </c>
      <c r="H1516" s="21">
        <v>17459.2</v>
      </c>
      <c r="I1516" s="18">
        <v>6442.9279999999999</v>
      </c>
      <c r="J1516" s="18">
        <v>18619.743999999999</v>
      </c>
      <c r="K1516" s="18" t="s">
        <v>22</v>
      </c>
      <c r="L1516" s="18" t="s">
        <v>44</v>
      </c>
      <c r="M1516" s="18" t="s">
        <v>32</v>
      </c>
      <c r="N1516" s="22">
        <f t="shared" si="138"/>
        <v>0.61641934450731295</v>
      </c>
      <c r="O1516" s="22">
        <f t="shared" si="139"/>
        <v>0.62995035215333095</v>
      </c>
      <c r="P1516" s="23">
        <f t="shared" si="140"/>
        <v>0.23246911442096799</v>
      </c>
      <c r="Q1516" s="23">
        <f t="shared" si="141"/>
        <v>0.369027675953079</v>
      </c>
      <c r="R1516" s="22">
        <f t="shared" si="142"/>
        <v>1.8899506559750501</v>
      </c>
      <c r="S1516" s="22">
        <f t="shared" si="143"/>
        <v>2.8899506559750501</v>
      </c>
    </row>
    <row r="1517" spans="1:19">
      <c r="A1517" s="18" t="s">
        <v>1556</v>
      </c>
      <c r="B1517" s="18" t="s">
        <v>47</v>
      </c>
      <c r="C1517" s="18" t="s">
        <v>48</v>
      </c>
      <c r="D1517" s="19">
        <v>44920</v>
      </c>
      <c r="E1517" s="20">
        <v>45533</v>
      </c>
      <c r="F1517" s="21">
        <v>65163.199999999997</v>
      </c>
      <c r="G1517" s="21">
        <v>36620.800000000003</v>
      </c>
      <c r="H1517" s="21">
        <v>19024</v>
      </c>
      <c r="I1517" s="18">
        <v>6745.5039999999999</v>
      </c>
      <c r="J1517" s="18">
        <v>22769.455999999998</v>
      </c>
      <c r="K1517" s="18" t="s">
        <v>65</v>
      </c>
      <c r="L1517" s="18" t="s">
        <v>23</v>
      </c>
      <c r="M1517" s="18" t="s">
        <v>32</v>
      </c>
      <c r="N1517" s="22">
        <f t="shared" si="138"/>
        <v>0.56198590615562205</v>
      </c>
      <c r="O1517" s="22">
        <f t="shared" si="139"/>
        <v>0.51948619363858795</v>
      </c>
      <c r="P1517" s="23">
        <f t="shared" si="140"/>
        <v>0.184198706745893</v>
      </c>
      <c r="Q1517" s="23">
        <f t="shared" si="141"/>
        <v>0.354578637510513</v>
      </c>
      <c r="R1517" s="22">
        <f t="shared" si="142"/>
        <v>2.3755010744934699</v>
      </c>
      <c r="S1517" s="22">
        <f t="shared" si="143"/>
        <v>3.3755010744934699</v>
      </c>
    </row>
    <row r="1518" spans="1:19">
      <c r="A1518" s="18" t="s">
        <v>1557</v>
      </c>
      <c r="B1518" s="18" t="s">
        <v>47</v>
      </c>
      <c r="C1518" s="18" t="s">
        <v>21</v>
      </c>
      <c r="D1518" s="19">
        <v>44708</v>
      </c>
      <c r="E1518" s="20">
        <v>45326</v>
      </c>
      <c r="F1518" s="21">
        <v>40192</v>
      </c>
      <c r="G1518" s="21">
        <v>32472</v>
      </c>
      <c r="H1518" s="21">
        <v>18761.599999999999</v>
      </c>
      <c r="I1518" s="18">
        <v>5521.9040000000005</v>
      </c>
      <c r="J1518" s="18">
        <v>19384.335999999999</v>
      </c>
      <c r="K1518" s="18" t="s">
        <v>30</v>
      </c>
      <c r="L1518" s="18" t="s">
        <v>44</v>
      </c>
      <c r="M1518" s="18" t="s">
        <v>24</v>
      </c>
      <c r="N1518" s="22">
        <f t="shared" si="138"/>
        <v>0.80792197452229297</v>
      </c>
      <c r="O1518" s="22">
        <f t="shared" si="139"/>
        <v>0.57777777777777795</v>
      </c>
      <c r="P1518" s="23">
        <f t="shared" si="140"/>
        <v>0.17005124414880499</v>
      </c>
      <c r="Q1518" s="23">
        <f t="shared" si="141"/>
        <v>0.29431946102677797</v>
      </c>
      <c r="R1518" s="22">
        <f t="shared" si="142"/>
        <v>2.5104442235866502</v>
      </c>
      <c r="S1518" s="22">
        <f t="shared" si="143"/>
        <v>3.5104442235866502</v>
      </c>
    </row>
    <row r="1519" spans="1:19">
      <c r="A1519" s="18" t="s">
        <v>1558</v>
      </c>
      <c r="B1519" s="18" t="s">
        <v>26</v>
      </c>
      <c r="C1519" s="18" t="s">
        <v>48</v>
      </c>
      <c r="D1519" s="19">
        <v>44761</v>
      </c>
      <c r="E1519" s="20">
        <v>45369</v>
      </c>
      <c r="F1519" s="21">
        <v>31875.200000000001</v>
      </c>
      <c r="G1519" s="21">
        <v>17574.400000000001</v>
      </c>
      <c r="H1519" s="21">
        <v>7473.6</v>
      </c>
      <c r="I1519" s="18">
        <v>2851.4079999999999</v>
      </c>
      <c r="J1519" s="18">
        <v>9856.6239999999998</v>
      </c>
      <c r="K1519" s="18" t="s">
        <v>30</v>
      </c>
      <c r="L1519" s="18" t="s">
        <v>31</v>
      </c>
      <c r="M1519" s="18" t="s">
        <v>32</v>
      </c>
      <c r="N1519" s="22">
        <f t="shared" si="138"/>
        <v>0.551350266037546</v>
      </c>
      <c r="O1519" s="22">
        <f t="shared" si="139"/>
        <v>0.425254916241806</v>
      </c>
      <c r="P1519" s="23">
        <f t="shared" si="140"/>
        <v>0.16224781500364199</v>
      </c>
      <c r="Q1519" s="23">
        <f t="shared" si="141"/>
        <v>0.381530721472918</v>
      </c>
      <c r="R1519" s="22">
        <f t="shared" si="142"/>
        <v>2.45675680225348</v>
      </c>
      <c r="S1519" s="22">
        <f t="shared" si="143"/>
        <v>3.45675680225348</v>
      </c>
    </row>
    <row r="1520" spans="1:19">
      <c r="A1520" s="18" t="s">
        <v>1559</v>
      </c>
      <c r="B1520" s="18" t="s">
        <v>47</v>
      </c>
      <c r="C1520" s="18" t="s">
        <v>41</v>
      </c>
      <c r="D1520" s="19">
        <v>44965</v>
      </c>
      <c r="E1520" s="20">
        <v>45571</v>
      </c>
      <c r="F1520" s="21">
        <v>21035.200000000001</v>
      </c>
      <c r="G1520" s="21">
        <v>9212.7999999999993</v>
      </c>
      <c r="H1520" s="21">
        <v>4849.6000000000004</v>
      </c>
      <c r="I1520" s="18">
        <v>5429.5839999999998</v>
      </c>
      <c r="J1520" s="18">
        <v>19874.704000000002</v>
      </c>
      <c r="K1520" s="18" t="s">
        <v>65</v>
      </c>
      <c r="L1520" s="18" t="s">
        <v>44</v>
      </c>
      <c r="M1520" s="18" t="s">
        <v>24</v>
      </c>
      <c r="N1520" s="22">
        <f t="shared" si="138"/>
        <v>0.43797063968966299</v>
      </c>
      <c r="O1520" s="22">
        <f t="shared" si="139"/>
        <v>0.526398054880167</v>
      </c>
      <c r="P1520" s="23">
        <f t="shared" si="140"/>
        <v>0.58935220562695401</v>
      </c>
      <c r="Q1520" s="23">
        <f t="shared" si="141"/>
        <v>1.11959419333553</v>
      </c>
      <c r="R1520" s="22">
        <f t="shared" si="142"/>
        <v>2.66044691453342</v>
      </c>
      <c r="S1520" s="22">
        <f t="shared" si="143"/>
        <v>3.66044691453342</v>
      </c>
    </row>
    <row r="1521" spans="1:19">
      <c r="A1521" s="18" t="s">
        <v>1560</v>
      </c>
      <c r="B1521" s="18" t="s">
        <v>40</v>
      </c>
      <c r="C1521" s="18" t="s">
        <v>29</v>
      </c>
      <c r="D1521" s="19">
        <v>44844</v>
      </c>
      <c r="E1521" s="20">
        <v>45474</v>
      </c>
      <c r="F1521" s="21">
        <v>18281.599999999999</v>
      </c>
      <c r="G1521" s="21">
        <v>2635.2</v>
      </c>
      <c r="H1521" s="21">
        <v>2064</v>
      </c>
      <c r="I1521" s="18">
        <v>6093.68</v>
      </c>
      <c r="J1521" s="18">
        <v>15185.392</v>
      </c>
      <c r="K1521" s="18" t="s">
        <v>30</v>
      </c>
      <c r="L1521" s="18" t="s">
        <v>31</v>
      </c>
      <c r="M1521" s="18" t="s">
        <v>32</v>
      </c>
      <c r="N1521" s="22">
        <f t="shared" si="138"/>
        <v>0.14414493260983699</v>
      </c>
      <c r="O1521" s="22">
        <f t="shared" si="139"/>
        <v>0.78324225865209496</v>
      </c>
      <c r="P1521" s="23">
        <f t="shared" si="140"/>
        <v>2.31241651487553</v>
      </c>
      <c r="Q1521" s="23">
        <f t="shared" si="141"/>
        <v>2.95236434108527</v>
      </c>
      <c r="R1521" s="22">
        <f t="shared" si="142"/>
        <v>1.4919903900434499</v>
      </c>
      <c r="S1521" s="22">
        <f t="shared" si="143"/>
        <v>2.4919903900434499</v>
      </c>
    </row>
    <row r="1522" spans="1:19">
      <c r="A1522" s="18" t="s">
        <v>1561</v>
      </c>
      <c r="B1522" s="18" t="s">
        <v>20</v>
      </c>
      <c r="C1522" s="18" t="s">
        <v>29</v>
      </c>
      <c r="D1522" s="19">
        <v>44887</v>
      </c>
      <c r="E1522" s="20">
        <v>45507</v>
      </c>
      <c r="F1522" s="21">
        <v>40852.800000000003</v>
      </c>
      <c r="G1522" s="21">
        <v>372.8</v>
      </c>
      <c r="H1522" s="21">
        <v>136</v>
      </c>
      <c r="I1522" s="18">
        <v>6773.9359999999997</v>
      </c>
      <c r="J1522" s="18">
        <v>9600.1280000000006</v>
      </c>
      <c r="K1522" s="18" t="s">
        <v>30</v>
      </c>
      <c r="L1522" s="18" t="s">
        <v>44</v>
      </c>
      <c r="M1522" s="18" t="s">
        <v>24</v>
      </c>
      <c r="N1522" s="22">
        <f t="shared" si="138"/>
        <v>9.1254455018995005E-3</v>
      </c>
      <c r="O1522" s="22">
        <f t="shared" si="139"/>
        <v>0.36480686695279002</v>
      </c>
      <c r="P1522" s="23">
        <f t="shared" si="140"/>
        <v>18.170429184549398</v>
      </c>
      <c r="Q1522" s="23">
        <f t="shared" si="141"/>
        <v>49.808352941176501</v>
      </c>
      <c r="R1522" s="22">
        <f t="shared" si="142"/>
        <v>0.417215633569612</v>
      </c>
      <c r="S1522" s="22">
        <f t="shared" si="143"/>
        <v>1.41721563356961</v>
      </c>
    </row>
    <row r="1523" spans="1:19">
      <c r="A1523" s="18" t="s">
        <v>1562</v>
      </c>
      <c r="B1523" s="18" t="s">
        <v>34</v>
      </c>
      <c r="C1523" s="18" t="s">
        <v>41</v>
      </c>
      <c r="D1523" s="19">
        <v>44852</v>
      </c>
      <c r="E1523" s="20">
        <v>45463</v>
      </c>
      <c r="F1523" s="21">
        <v>65996.800000000003</v>
      </c>
      <c r="G1523" s="21">
        <v>19923.2</v>
      </c>
      <c r="H1523" s="21">
        <v>9169.6</v>
      </c>
      <c r="I1523" s="18">
        <v>4513.04</v>
      </c>
      <c r="J1523" s="18">
        <v>13117.407999999999</v>
      </c>
      <c r="K1523" s="18" t="s">
        <v>43</v>
      </c>
      <c r="L1523" s="18" t="s">
        <v>35</v>
      </c>
      <c r="M1523" s="18" t="s">
        <v>24</v>
      </c>
      <c r="N1523" s="22">
        <f t="shared" si="138"/>
        <v>0.301881303335919</v>
      </c>
      <c r="O1523" s="22">
        <f t="shared" si="139"/>
        <v>0.46024734982332199</v>
      </c>
      <c r="P1523" s="23">
        <f t="shared" si="140"/>
        <v>0.22652184388050101</v>
      </c>
      <c r="Q1523" s="23">
        <f t="shared" si="141"/>
        <v>0.49217414063863202</v>
      </c>
      <c r="R1523" s="22">
        <f t="shared" si="142"/>
        <v>1.9065569992732201</v>
      </c>
      <c r="S1523" s="22">
        <f t="shared" si="143"/>
        <v>2.9065569992732199</v>
      </c>
    </row>
    <row r="1524" spans="1:19">
      <c r="A1524" s="18" t="s">
        <v>1563</v>
      </c>
      <c r="B1524" s="18" t="s">
        <v>47</v>
      </c>
      <c r="C1524" s="18" t="s">
        <v>48</v>
      </c>
      <c r="D1524" s="19">
        <v>44924</v>
      </c>
      <c r="E1524" s="20">
        <v>45543</v>
      </c>
      <c r="F1524" s="21">
        <v>2974.4</v>
      </c>
      <c r="G1524" s="21">
        <v>1966.4</v>
      </c>
      <c r="H1524" s="21">
        <v>1617.6</v>
      </c>
      <c r="I1524" s="18">
        <v>2196.1120000000001</v>
      </c>
      <c r="J1524" s="18">
        <v>2791.92</v>
      </c>
      <c r="K1524" s="18" t="s">
        <v>22</v>
      </c>
      <c r="L1524" s="18" t="s">
        <v>44</v>
      </c>
      <c r="M1524" s="18" t="s">
        <v>32</v>
      </c>
      <c r="N1524" s="22">
        <f t="shared" si="138"/>
        <v>0.66110812264658403</v>
      </c>
      <c r="O1524" s="22">
        <f t="shared" si="139"/>
        <v>0.82262001627339298</v>
      </c>
      <c r="P1524" s="23">
        <f t="shared" si="140"/>
        <v>1.11681855166802</v>
      </c>
      <c r="Q1524" s="23">
        <f t="shared" si="141"/>
        <v>1.3576360039564801</v>
      </c>
      <c r="R1524" s="22">
        <f t="shared" si="142"/>
        <v>0.27130128153755401</v>
      </c>
      <c r="S1524" s="22">
        <f t="shared" si="143"/>
        <v>1.27130128153755</v>
      </c>
    </row>
    <row r="1525" spans="1:19">
      <c r="A1525" s="18" t="s">
        <v>1564</v>
      </c>
      <c r="B1525" s="18" t="s">
        <v>26</v>
      </c>
      <c r="C1525" s="18" t="s">
        <v>41</v>
      </c>
      <c r="D1525" s="19">
        <v>44863</v>
      </c>
      <c r="E1525" s="20">
        <v>45482</v>
      </c>
      <c r="F1525" s="21">
        <v>68918.399999999994</v>
      </c>
      <c r="G1525" s="21">
        <v>48484.800000000003</v>
      </c>
      <c r="H1525" s="21">
        <v>32734.400000000001</v>
      </c>
      <c r="I1525" s="18">
        <v>6446.6719999999996</v>
      </c>
      <c r="J1525" s="18">
        <v>9405.8240000000005</v>
      </c>
      <c r="K1525" s="18" t="s">
        <v>30</v>
      </c>
      <c r="L1525" s="18" t="s">
        <v>44</v>
      </c>
      <c r="M1525" s="18" t="s">
        <v>32</v>
      </c>
      <c r="N1525" s="22">
        <f t="shared" si="138"/>
        <v>0.70351023819473502</v>
      </c>
      <c r="O1525" s="22">
        <f t="shared" si="139"/>
        <v>0.67514767514767504</v>
      </c>
      <c r="P1525" s="23">
        <f t="shared" si="140"/>
        <v>0.13296274296274299</v>
      </c>
      <c r="Q1525" s="23">
        <f t="shared" si="141"/>
        <v>0.19693875555990001</v>
      </c>
      <c r="R1525" s="22">
        <f t="shared" si="142"/>
        <v>0.45902009595028298</v>
      </c>
      <c r="S1525" s="22">
        <f t="shared" si="143"/>
        <v>1.4590200959502799</v>
      </c>
    </row>
    <row r="1526" spans="1:19">
      <c r="A1526" s="18" t="s">
        <v>1565</v>
      </c>
      <c r="B1526" s="18" t="s">
        <v>40</v>
      </c>
      <c r="C1526" s="18" t="s">
        <v>41</v>
      </c>
      <c r="D1526" s="19">
        <v>44802</v>
      </c>
      <c r="E1526" s="20">
        <v>45418</v>
      </c>
      <c r="F1526" s="21">
        <v>18902.400000000001</v>
      </c>
      <c r="G1526" s="21">
        <v>9838.4</v>
      </c>
      <c r="H1526" s="21">
        <v>9156.7999999999993</v>
      </c>
      <c r="I1526" s="18">
        <v>2993.152</v>
      </c>
      <c r="J1526" s="18">
        <v>4059.1680000000001</v>
      </c>
      <c r="K1526" s="18" t="s">
        <v>22</v>
      </c>
      <c r="L1526" s="18" t="s">
        <v>31</v>
      </c>
      <c r="M1526" s="18" t="s">
        <v>32</v>
      </c>
      <c r="N1526" s="22">
        <f t="shared" si="138"/>
        <v>0.52048417132215996</v>
      </c>
      <c r="O1526" s="22">
        <f t="shared" si="139"/>
        <v>0.93072044234834905</v>
      </c>
      <c r="P1526" s="23">
        <f t="shared" si="140"/>
        <v>0.30423158237111703</v>
      </c>
      <c r="Q1526" s="23">
        <f t="shared" si="141"/>
        <v>0.32687751179451302</v>
      </c>
      <c r="R1526" s="22">
        <f t="shared" si="142"/>
        <v>0.356151642148478</v>
      </c>
      <c r="S1526" s="22">
        <f t="shared" si="143"/>
        <v>1.3561516421484801</v>
      </c>
    </row>
    <row r="1527" spans="1:19">
      <c r="A1527" s="18" t="s">
        <v>1566</v>
      </c>
      <c r="B1527" s="18" t="s">
        <v>26</v>
      </c>
      <c r="C1527" s="18" t="s">
        <v>21</v>
      </c>
      <c r="D1527" s="19">
        <v>44818</v>
      </c>
      <c r="E1527" s="20">
        <v>45440</v>
      </c>
      <c r="F1527" s="21">
        <v>63278.400000000001</v>
      </c>
      <c r="G1527" s="21">
        <v>52721.599999999999</v>
      </c>
      <c r="H1527" s="21">
        <v>40548.800000000003</v>
      </c>
      <c r="I1527" s="18">
        <v>2142.864</v>
      </c>
      <c r="J1527" s="18">
        <v>3860.2719999999999</v>
      </c>
      <c r="K1527" s="18" t="s">
        <v>30</v>
      </c>
      <c r="L1527" s="18" t="s">
        <v>35</v>
      </c>
      <c r="M1527" s="18" t="s">
        <v>24</v>
      </c>
      <c r="N1527" s="22">
        <f t="shared" si="138"/>
        <v>0.83316898025234498</v>
      </c>
      <c r="O1527" s="22">
        <f t="shared" si="139"/>
        <v>0.76911171132894296</v>
      </c>
      <c r="P1527" s="23">
        <f t="shared" si="140"/>
        <v>4.06448969682255E-2</v>
      </c>
      <c r="Q1527" s="23">
        <f t="shared" si="141"/>
        <v>5.2846545397151098E-2</v>
      </c>
      <c r="R1527" s="22">
        <f t="shared" si="142"/>
        <v>0.80145450201225998</v>
      </c>
      <c r="S1527" s="22">
        <f t="shared" si="143"/>
        <v>1.8014545020122601</v>
      </c>
    </row>
    <row r="1528" spans="1:19">
      <c r="A1528" s="18" t="s">
        <v>1567</v>
      </c>
      <c r="B1528" s="18" t="s">
        <v>40</v>
      </c>
      <c r="C1528" s="18" t="s">
        <v>29</v>
      </c>
      <c r="D1528" s="19">
        <v>44839</v>
      </c>
      <c r="E1528" s="20">
        <v>45457</v>
      </c>
      <c r="F1528" s="21">
        <v>41321.599999999999</v>
      </c>
      <c r="G1528" s="21">
        <v>30694.400000000001</v>
      </c>
      <c r="H1528" s="21">
        <v>28563.200000000001</v>
      </c>
      <c r="I1528" s="18">
        <v>7910.6239999999998</v>
      </c>
      <c r="J1528" s="18">
        <v>22741.008000000002</v>
      </c>
      <c r="K1528" s="18" t="s">
        <v>38</v>
      </c>
      <c r="L1528" s="18" t="s">
        <v>44</v>
      </c>
      <c r="M1528" s="18" t="s">
        <v>32</v>
      </c>
      <c r="N1528" s="22">
        <f t="shared" si="138"/>
        <v>0.74281731588321898</v>
      </c>
      <c r="O1528" s="22">
        <f t="shared" si="139"/>
        <v>0.93056713928273604</v>
      </c>
      <c r="P1528" s="23">
        <f t="shared" si="140"/>
        <v>0.257722060050042</v>
      </c>
      <c r="Q1528" s="23">
        <f t="shared" si="141"/>
        <v>0.27695160206139402</v>
      </c>
      <c r="R1528" s="22">
        <f t="shared" si="142"/>
        <v>1.87474262460205</v>
      </c>
      <c r="S1528" s="22">
        <f t="shared" si="143"/>
        <v>2.87474262460205</v>
      </c>
    </row>
    <row r="1529" spans="1:19">
      <c r="A1529" s="18" t="s">
        <v>1568</v>
      </c>
      <c r="B1529" s="18" t="s">
        <v>28</v>
      </c>
      <c r="C1529" s="18" t="s">
        <v>41</v>
      </c>
      <c r="D1529" s="19">
        <v>44891</v>
      </c>
      <c r="E1529" s="20">
        <v>45521</v>
      </c>
      <c r="F1529" s="21">
        <v>68364.800000000003</v>
      </c>
      <c r="G1529" s="21">
        <v>15392</v>
      </c>
      <c r="H1529" s="21">
        <v>12692.8</v>
      </c>
      <c r="I1529" s="18">
        <v>7039.28</v>
      </c>
      <c r="J1529" s="18">
        <v>20983.792000000001</v>
      </c>
      <c r="K1529" s="18" t="s">
        <v>22</v>
      </c>
      <c r="L1529" s="18" t="s">
        <v>31</v>
      </c>
      <c r="M1529" s="18" t="s">
        <v>32</v>
      </c>
      <c r="N1529" s="22">
        <f t="shared" si="138"/>
        <v>0.22514510391312501</v>
      </c>
      <c r="O1529" s="22">
        <f t="shared" si="139"/>
        <v>0.824636174636175</v>
      </c>
      <c r="P1529" s="23">
        <f t="shared" si="140"/>
        <v>0.45733367983368001</v>
      </c>
      <c r="Q1529" s="23">
        <f t="shared" si="141"/>
        <v>0.55458842808521402</v>
      </c>
      <c r="R1529" s="22">
        <f t="shared" si="142"/>
        <v>1.9809571433442099</v>
      </c>
      <c r="S1529" s="22">
        <f t="shared" si="143"/>
        <v>2.9809571433442099</v>
      </c>
    </row>
    <row r="1530" spans="1:19">
      <c r="A1530" s="18" t="s">
        <v>1569</v>
      </c>
      <c r="B1530" s="18" t="s">
        <v>40</v>
      </c>
      <c r="C1530" s="18" t="s">
        <v>48</v>
      </c>
      <c r="D1530" s="19">
        <v>44746</v>
      </c>
      <c r="E1530" s="20">
        <v>45356</v>
      </c>
      <c r="F1530" s="21">
        <v>21457.599999999999</v>
      </c>
      <c r="G1530" s="21">
        <v>5755.2</v>
      </c>
      <c r="H1530" s="21">
        <v>5304</v>
      </c>
      <c r="I1530" s="18">
        <v>1175.8399999999999</v>
      </c>
      <c r="J1530" s="18">
        <v>3216.1120000000001</v>
      </c>
      <c r="K1530" s="18" t="s">
        <v>22</v>
      </c>
      <c r="L1530" s="18" t="s">
        <v>23</v>
      </c>
      <c r="M1530" s="18" t="s">
        <v>24</v>
      </c>
      <c r="N1530" s="22">
        <f t="shared" si="138"/>
        <v>0.26821266124822901</v>
      </c>
      <c r="O1530" s="22">
        <f t="shared" si="139"/>
        <v>0.92160133444537096</v>
      </c>
      <c r="P1530" s="23">
        <f t="shared" si="140"/>
        <v>0.204309146510981</v>
      </c>
      <c r="Q1530" s="23">
        <f t="shared" si="141"/>
        <v>0.22168929110105601</v>
      </c>
      <c r="R1530" s="22">
        <f t="shared" si="142"/>
        <v>1.7351612464280901</v>
      </c>
      <c r="S1530" s="22">
        <f t="shared" si="143"/>
        <v>2.7351612464280901</v>
      </c>
    </row>
    <row r="1531" spans="1:19">
      <c r="A1531" s="18" t="s">
        <v>1570</v>
      </c>
      <c r="B1531" s="18" t="s">
        <v>28</v>
      </c>
      <c r="C1531" s="18" t="s">
        <v>21</v>
      </c>
      <c r="D1531" s="19">
        <v>44699</v>
      </c>
      <c r="E1531" s="20">
        <v>45324</v>
      </c>
      <c r="F1531" s="21">
        <v>33737.599999999999</v>
      </c>
      <c r="G1531" s="21">
        <v>25988.799999999999</v>
      </c>
      <c r="H1531" s="21">
        <v>16939.2</v>
      </c>
      <c r="I1531" s="18">
        <v>1207.3920000000001</v>
      </c>
      <c r="J1531" s="18">
        <v>4768.5600000000004</v>
      </c>
      <c r="K1531" s="18" t="s">
        <v>22</v>
      </c>
      <c r="L1531" s="18" t="s">
        <v>50</v>
      </c>
      <c r="M1531" s="18" t="s">
        <v>32</v>
      </c>
      <c r="N1531" s="22">
        <f t="shared" si="138"/>
        <v>0.77032154035853195</v>
      </c>
      <c r="O1531" s="22">
        <f t="shared" si="139"/>
        <v>0.65178846272240398</v>
      </c>
      <c r="P1531" s="23">
        <f t="shared" si="140"/>
        <v>4.6458166594840901E-2</v>
      </c>
      <c r="Q1531" s="23">
        <f t="shared" si="141"/>
        <v>7.1277982431283707E-2</v>
      </c>
      <c r="R1531" s="22">
        <f t="shared" si="142"/>
        <v>2.9494712570565298</v>
      </c>
      <c r="S1531" s="22">
        <f t="shared" si="143"/>
        <v>3.9494712570565298</v>
      </c>
    </row>
    <row r="1532" spans="1:19">
      <c r="A1532" s="18" t="s">
        <v>1571</v>
      </c>
      <c r="B1532" s="18" t="s">
        <v>40</v>
      </c>
      <c r="C1532" s="18" t="s">
        <v>21</v>
      </c>
      <c r="D1532" s="19">
        <v>44955</v>
      </c>
      <c r="E1532" s="20">
        <v>45567</v>
      </c>
      <c r="F1532" s="21">
        <v>22304</v>
      </c>
      <c r="G1532" s="21">
        <v>6675.2</v>
      </c>
      <c r="H1532" s="21">
        <v>896</v>
      </c>
      <c r="I1532" s="18">
        <v>3698.9119999999998</v>
      </c>
      <c r="J1532" s="18">
        <v>12797.744000000001</v>
      </c>
      <c r="K1532" s="18" t="s">
        <v>43</v>
      </c>
      <c r="L1532" s="18" t="s">
        <v>50</v>
      </c>
      <c r="M1532" s="18" t="s">
        <v>32</v>
      </c>
      <c r="N1532" s="22">
        <f t="shared" si="138"/>
        <v>0.29928263988522202</v>
      </c>
      <c r="O1532" s="22">
        <f t="shared" si="139"/>
        <v>0.134228187919463</v>
      </c>
      <c r="P1532" s="23">
        <f t="shared" si="140"/>
        <v>0.55412751677852301</v>
      </c>
      <c r="Q1532" s="23">
        <f t="shared" si="141"/>
        <v>4.1282500000000004</v>
      </c>
      <c r="R1532" s="22">
        <f t="shared" si="142"/>
        <v>2.4598671176821698</v>
      </c>
      <c r="S1532" s="22">
        <f t="shared" si="143"/>
        <v>3.4598671176821698</v>
      </c>
    </row>
    <row r="1533" spans="1:19">
      <c r="A1533" s="18" t="s">
        <v>1572</v>
      </c>
      <c r="B1533" s="18" t="s">
        <v>20</v>
      </c>
      <c r="C1533" s="18" t="s">
        <v>21</v>
      </c>
      <c r="D1533" s="19">
        <v>44900</v>
      </c>
      <c r="E1533" s="20">
        <v>45521</v>
      </c>
      <c r="F1533" s="21">
        <v>28396.799999999999</v>
      </c>
      <c r="G1533" s="21">
        <v>20830.400000000001</v>
      </c>
      <c r="H1533" s="21">
        <v>9054.4</v>
      </c>
      <c r="I1533" s="18">
        <v>1917.6479999999999</v>
      </c>
      <c r="J1533" s="18">
        <v>7504.6080000000002</v>
      </c>
      <c r="K1533" s="18" t="s">
        <v>38</v>
      </c>
      <c r="L1533" s="18" t="s">
        <v>35</v>
      </c>
      <c r="M1533" s="18" t="s">
        <v>24</v>
      </c>
      <c r="N1533" s="22">
        <f t="shared" si="138"/>
        <v>0.73354744196529198</v>
      </c>
      <c r="O1533" s="22">
        <f t="shared" si="139"/>
        <v>0.43467240187418399</v>
      </c>
      <c r="P1533" s="23">
        <f t="shared" si="140"/>
        <v>9.2060066057300896E-2</v>
      </c>
      <c r="Q1533" s="23">
        <f t="shared" si="141"/>
        <v>0.21179183601342999</v>
      </c>
      <c r="R1533" s="22">
        <f t="shared" si="142"/>
        <v>2.9134439688618601</v>
      </c>
      <c r="S1533" s="22">
        <f t="shared" si="143"/>
        <v>3.9134439688618601</v>
      </c>
    </row>
    <row r="1534" spans="1:19">
      <c r="A1534" s="18" t="s">
        <v>1573</v>
      </c>
      <c r="B1534" s="18" t="s">
        <v>20</v>
      </c>
      <c r="C1534" s="18" t="s">
        <v>48</v>
      </c>
      <c r="D1534" s="19">
        <v>44778</v>
      </c>
      <c r="E1534" s="20">
        <v>45399</v>
      </c>
      <c r="F1534" s="21">
        <v>9876.7999999999993</v>
      </c>
      <c r="G1534" s="21">
        <v>3742.4</v>
      </c>
      <c r="H1534" s="21">
        <v>1336</v>
      </c>
      <c r="I1534" s="18">
        <v>2988.7840000000001</v>
      </c>
      <c r="J1534" s="18">
        <v>11754.096</v>
      </c>
      <c r="K1534" s="18" t="s">
        <v>22</v>
      </c>
      <c r="L1534" s="18" t="s">
        <v>23</v>
      </c>
      <c r="M1534" s="18" t="s">
        <v>32</v>
      </c>
      <c r="N1534" s="22">
        <f t="shared" si="138"/>
        <v>0.37890814838814202</v>
      </c>
      <c r="O1534" s="22">
        <f t="shared" si="139"/>
        <v>0.356990166737922</v>
      </c>
      <c r="P1534" s="23">
        <f t="shared" si="140"/>
        <v>0.79862761864044496</v>
      </c>
      <c r="Q1534" s="23">
        <f t="shared" si="141"/>
        <v>2.23711377245509</v>
      </c>
      <c r="R1534" s="22">
        <f t="shared" si="142"/>
        <v>2.93273518594853</v>
      </c>
      <c r="S1534" s="22">
        <f t="shared" si="143"/>
        <v>3.93273518594853</v>
      </c>
    </row>
    <row r="1535" spans="1:19">
      <c r="A1535" s="18" t="s">
        <v>1574</v>
      </c>
      <c r="B1535" s="18" t="s">
        <v>47</v>
      </c>
      <c r="C1535" s="18" t="s">
        <v>48</v>
      </c>
      <c r="D1535" s="19">
        <v>44945</v>
      </c>
      <c r="E1535" s="20">
        <v>45558</v>
      </c>
      <c r="F1535" s="21">
        <v>53940.800000000003</v>
      </c>
      <c r="G1535" s="21">
        <v>50193.599999999999</v>
      </c>
      <c r="H1535" s="21">
        <v>23307.200000000001</v>
      </c>
      <c r="I1535" s="18">
        <v>3382.8319999999999</v>
      </c>
      <c r="J1535" s="18">
        <v>11486.368</v>
      </c>
      <c r="K1535" s="18" t="s">
        <v>38</v>
      </c>
      <c r="L1535" s="18" t="s">
        <v>44</v>
      </c>
      <c r="M1535" s="18" t="s">
        <v>24</v>
      </c>
      <c r="N1535" s="22">
        <f t="shared" si="138"/>
        <v>0.93053124907305795</v>
      </c>
      <c r="O1535" s="22">
        <f t="shared" si="139"/>
        <v>0.46434605208632201</v>
      </c>
      <c r="P1535" s="23">
        <f t="shared" si="140"/>
        <v>6.7395683911893198E-2</v>
      </c>
      <c r="Q1535" s="23">
        <f t="shared" si="141"/>
        <v>0.145141072286675</v>
      </c>
      <c r="R1535" s="22">
        <f t="shared" si="142"/>
        <v>2.3954887502542199</v>
      </c>
      <c r="S1535" s="22">
        <f t="shared" si="143"/>
        <v>3.3954887502542301</v>
      </c>
    </row>
    <row r="1536" spans="1:19">
      <c r="A1536" s="18" t="s">
        <v>1575</v>
      </c>
      <c r="B1536" s="18" t="s">
        <v>20</v>
      </c>
      <c r="C1536" s="18" t="s">
        <v>29</v>
      </c>
      <c r="D1536" s="19">
        <v>44917</v>
      </c>
      <c r="E1536" s="20">
        <v>45547</v>
      </c>
      <c r="F1536" s="21">
        <v>3264</v>
      </c>
      <c r="G1536" s="21">
        <v>2897.6</v>
      </c>
      <c r="H1536" s="21">
        <v>1523.2</v>
      </c>
      <c r="I1536" s="18">
        <v>6384.0640000000003</v>
      </c>
      <c r="J1536" s="18">
        <v>19465.12</v>
      </c>
      <c r="K1536" s="18" t="s">
        <v>65</v>
      </c>
      <c r="L1536" s="18" t="s">
        <v>50</v>
      </c>
      <c r="M1536" s="18" t="s">
        <v>24</v>
      </c>
      <c r="N1536" s="22">
        <f t="shared" si="138"/>
        <v>0.88774509803921597</v>
      </c>
      <c r="O1536" s="22">
        <f t="shared" si="139"/>
        <v>0.52567642186637198</v>
      </c>
      <c r="P1536" s="23">
        <f t="shared" si="140"/>
        <v>2.20322473771397</v>
      </c>
      <c r="Q1536" s="23">
        <f t="shared" si="141"/>
        <v>4.1912184873949601</v>
      </c>
      <c r="R1536" s="22">
        <f t="shared" si="142"/>
        <v>2.0490170524606302</v>
      </c>
      <c r="S1536" s="22">
        <f t="shared" si="143"/>
        <v>3.0490170524606302</v>
      </c>
    </row>
    <row r="1537" spans="1:19">
      <c r="A1537" s="18" t="s">
        <v>1576</v>
      </c>
      <c r="B1537" s="18" t="s">
        <v>47</v>
      </c>
      <c r="C1537" s="18" t="s">
        <v>41</v>
      </c>
      <c r="D1537" s="19">
        <v>44860</v>
      </c>
      <c r="E1537" s="20">
        <v>45467</v>
      </c>
      <c r="F1537" s="21">
        <v>40340.800000000003</v>
      </c>
      <c r="G1537" s="21">
        <v>39680</v>
      </c>
      <c r="H1537" s="21">
        <v>18958.400000000001</v>
      </c>
      <c r="I1537" s="18">
        <v>2329.3440000000001</v>
      </c>
      <c r="J1537" s="18">
        <v>4340.9120000000003</v>
      </c>
      <c r="K1537" s="18" t="s">
        <v>38</v>
      </c>
      <c r="L1537" s="18" t="s">
        <v>35</v>
      </c>
      <c r="M1537" s="18" t="s">
        <v>32</v>
      </c>
      <c r="N1537" s="22">
        <f t="shared" si="138"/>
        <v>0.98361956133740502</v>
      </c>
      <c r="O1537" s="22">
        <f t="shared" si="139"/>
        <v>0.47778225806451602</v>
      </c>
      <c r="P1537" s="23">
        <f t="shared" si="140"/>
        <v>5.8703225806451598E-2</v>
      </c>
      <c r="Q1537" s="23">
        <f t="shared" si="141"/>
        <v>0.12286606464680599</v>
      </c>
      <c r="R1537" s="22">
        <f t="shared" si="142"/>
        <v>0.86357704143312497</v>
      </c>
      <c r="S1537" s="22">
        <f t="shared" si="143"/>
        <v>1.8635770414331201</v>
      </c>
    </row>
    <row r="1538" spans="1:19">
      <c r="A1538" s="18" t="s">
        <v>1577</v>
      </c>
      <c r="B1538" s="18" t="s">
        <v>40</v>
      </c>
      <c r="C1538" s="18" t="s">
        <v>21</v>
      </c>
      <c r="D1538" s="19">
        <v>44964</v>
      </c>
      <c r="E1538" s="20">
        <v>45592</v>
      </c>
      <c r="F1538" s="21">
        <v>22947.200000000001</v>
      </c>
      <c r="G1538" s="21">
        <v>13105.6</v>
      </c>
      <c r="H1538" s="21">
        <v>10620.8</v>
      </c>
      <c r="I1538" s="18">
        <v>7232.6239999999998</v>
      </c>
      <c r="J1538" s="18">
        <v>27739.328000000001</v>
      </c>
      <c r="K1538" s="18" t="s">
        <v>38</v>
      </c>
      <c r="L1538" s="18" t="s">
        <v>31</v>
      </c>
      <c r="M1538" s="18" t="s">
        <v>32</v>
      </c>
      <c r="N1538" s="22">
        <f t="shared" ref="N1538:N1601" si="144">G1538/F1538</f>
        <v>0.57111978803514196</v>
      </c>
      <c r="O1538" s="22">
        <f t="shared" ref="O1538:O1601" si="145">H1538/G1538</f>
        <v>0.81040166035893002</v>
      </c>
      <c r="P1538" s="23">
        <f t="shared" ref="P1538:P1601" si="146">I1538/G1538</f>
        <v>0.55187278720546895</v>
      </c>
      <c r="Q1538" s="23">
        <f t="shared" ref="Q1538:Q1601" si="147">I1538/H1538</f>
        <v>0.68098674299487805</v>
      </c>
      <c r="R1538" s="22">
        <f t="shared" ref="R1538:R1601" si="148">(J1538-I1538)/I1538</f>
        <v>2.83530624570004</v>
      </c>
      <c r="S1538" s="22">
        <f t="shared" ref="S1538:S1601" si="149">J1538/I1538</f>
        <v>3.83530624570004</v>
      </c>
    </row>
    <row r="1539" spans="1:19">
      <c r="A1539" s="18" t="s">
        <v>1578</v>
      </c>
      <c r="B1539" s="18" t="s">
        <v>47</v>
      </c>
      <c r="C1539" s="18" t="s">
        <v>29</v>
      </c>
      <c r="D1539" s="19">
        <v>44796</v>
      </c>
      <c r="E1539" s="20">
        <v>45406</v>
      </c>
      <c r="F1539" s="21">
        <v>27753.599999999999</v>
      </c>
      <c r="G1539" s="21">
        <v>11864</v>
      </c>
      <c r="H1539" s="21">
        <v>9428.7999999999993</v>
      </c>
      <c r="I1539" s="18">
        <v>7468.7039999999997</v>
      </c>
      <c r="J1539" s="18">
        <v>19702.655999999999</v>
      </c>
      <c r="K1539" s="18" t="s">
        <v>30</v>
      </c>
      <c r="L1539" s="18" t="s">
        <v>31</v>
      </c>
      <c r="M1539" s="18" t="s">
        <v>32</v>
      </c>
      <c r="N1539" s="22">
        <f t="shared" si="144"/>
        <v>0.42747607517583303</v>
      </c>
      <c r="O1539" s="22">
        <f t="shared" si="145"/>
        <v>0.79474039109912298</v>
      </c>
      <c r="P1539" s="23">
        <f t="shared" si="146"/>
        <v>0.62952663519892105</v>
      </c>
      <c r="Q1539" s="23">
        <f t="shared" si="147"/>
        <v>0.79211606991345695</v>
      </c>
      <c r="R1539" s="22">
        <f t="shared" si="148"/>
        <v>1.63802876643659</v>
      </c>
      <c r="S1539" s="22">
        <f t="shared" si="149"/>
        <v>2.63802876643659</v>
      </c>
    </row>
    <row r="1540" spans="1:19">
      <c r="A1540" s="18" t="s">
        <v>1579</v>
      </c>
      <c r="B1540" s="18" t="s">
        <v>34</v>
      </c>
      <c r="C1540" s="18" t="s">
        <v>21</v>
      </c>
      <c r="D1540" s="19">
        <v>44720</v>
      </c>
      <c r="E1540" s="20">
        <v>45343</v>
      </c>
      <c r="F1540" s="21">
        <v>16947.2</v>
      </c>
      <c r="G1540" s="21">
        <v>9246.4</v>
      </c>
      <c r="H1540" s="21">
        <v>6720</v>
      </c>
      <c r="I1540" s="18">
        <v>7751.9040000000005</v>
      </c>
      <c r="J1540" s="18">
        <v>18761.232</v>
      </c>
      <c r="K1540" s="18" t="s">
        <v>30</v>
      </c>
      <c r="L1540" s="18" t="s">
        <v>50</v>
      </c>
      <c r="M1540" s="18" t="s">
        <v>32</v>
      </c>
      <c r="N1540" s="22">
        <f t="shared" si="144"/>
        <v>0.54560045317220496</v>
      </c>
      <c r="O1540" s="22">
        <f t="shared" si="145"/>
        <v>0.72676933725558102</v>
      </c>
      <c r="P1540" s="23">
        <f t="shared" si="146"/>
        <v>0.83836996020072696</v>
      </c>
      <c r="Q1540" s="23">
        <f t="shared" si="147"/>
        <v>1.1535571428571401</v>
      </c>
      <c r="R1540" s="22">
        <f t="shared" si="148"/>
        <v>1.4202095381986199</v>
      </c>
      <c r="S1540" s="22">
        <f t="shared" si="149"/>
        <v>2.4202095381986202</v>
      </c>
    </row>
    <row r="1541" spans="1:19">
      <c r="A1541" s="18" t="s">
        <v>1580</v>
      </c>
      <c r="B1541" s="18" t="s">
        <v>40</v>
      </c>
      <c r="C1541" s="18" t="s">
        <v>29</v>
      </c>
      <c r="D1541" s="19">
        <v>44926</v>
      </c>
      <c r="E1541" s="20">
        <v>45529</v>
      </c>
      <c r="F1541" s="21">
        <v>53532.800000000003</v>
      </c>
      <c r="G1541" s="21">
        <v>28633.599999999999</v>
      </c>
      <c r="H1541" s="21">
        <v>27377.599999999999</v>
      </c>
      <c r="I1541" s="18">
        <v>4474.4480000000003</v>
      </c>
      <c r="J1541" s="18">
        <v>11715.712</v>
      </c>
      <c r="K1541" s="18" t="s">
        <v>22</v>
      </c>
      <c r="L1541" s="18" t="s">
        <v>31</v>
      </c>
      <c r="M1541" s="18" t="s">
        <v>32</v>
      </c>
      <c r="N1541" s="22">
        <f t="shared" si="144"/>
        <v>0.53487955048119995</v>
      </c>
      <c r="O1541" s="22">
        <f t="shared" si="145"/>
        <v>0.95613544926240501</v>
      </c>
      <c r="P1541" s="23">
        <f t="shared" si="146"/>
        <v>0.15626564595440301</v>
      </c>
      <c r="Q1541" s="23">
        <f t="shared" si="147"/>
        <v>0.16343463269242001</v>
      </c>
      <c r="R1541" s="22">
        <f t="shared" si="148"/>
        <v>1.6183591808419699</v>
      </c>
      <c r="S1541" s="22">
        <f t="shared" si="149"/>
        <v>2.6183591808419702</v>
      </c>
    </row>
    <row r="1542" spans="1:19">
      <c r="A1542" s="18" t="s">
        <v>1581</v>
      </c>
      <c r="B1542" s="18" t="s">
        <v>47</v>
      </c>
      <c r="C1542" s="18" t="s">
        <v>48</v>
      </c>
      <c r="D1542" s="19">
        <v>44977</v>
      </c>
      <c r="E1542" s="20">
        <v>45597</v>
      </c>
      <c r="F1542" s="21">
        <v>49028.800000000003</v>
      </c>
      <c r="G1542" s="21">
        <v>33820.800000000003</v>
      </c>
      <c r="H1542" s="21">
        <v>3756.8</v>
      </c>
      <c r="I1542" s="18">
        <v>1330.48</v>
      </c>
      <c r="J1542" s="18">
        <v>3975.3440000000001</v>
      </c>
      <c r="K1542" s="18" t="s">
        <v>65</v>
      </c>
      <c r="L1542" s="18" t="s">
        <v>50</v>
      </c>
      <c r="M1542" s="18" t="s">
        <v>32</v>
      </c>
      <c r="N1542" s="22">
        <f t="shared" si="144"/>
        <v>0.68981496589759494</v>
      </c>
      <c r="O1542" s="22">
        <f t="shared" si="145"/>
        <v>0.111079572334185</v>
      </c>
      <c r="P1542" s="23">
        <f t="shared" si="146"/>
        <v>3.9339104929510801E-2</v>
      </c>
      <c r="Q1542" s="23">
        <f t="shared" si="147"/>
        <v>0.35415247018739299</v>
      </c>
      <c r="R1542" s="22">
        <f t="shared" si="148"/>
        <v>1.98790211051651</v>
      </c>
      <c r="S1542" s="22">
        <f t="shared" si="149"/>
        <v>2.9879021105165098</v>
      </c>
    </row>
    <row r="1543" spans="1:19">
      <c r="A1543" s="18" t="s">
        <v>1582</v>
      </c>
      <c r="B1543" s="18" t="s">
        <v>34</v>
      </c>
      <c r="C1543" s="18" t="s">
        <v>29</v>
      </c>
      <c r="D1543" s="19">
        <v>44956</v>
      </c>
      <c r="E1543" s="20">
        <v>45568</v>
      </c>
      <c r="F1543" s="21">
        <v>34524.800000000003</v>
      </c>
      <c r="G1543" s="21">
        <v>17272</v>
      </c>
      <c r="H1543" s="21">
        <v>8536</v>
      </c>
      <c r="I1543" s="18">
        <v>2832.0639999999999</v>
      </c>
      <c r="J1543" s="18">
        <v>6122.3519999999999</v>
      </c>
      <c r="K1543" s="18" t="s">
        <v>22</v>
      </c>
      <c r="L1543" s="18" t="s">
        <v>44</v>
      </c>
      <c r="M1543" s="18" t="s">
        <v>32</v>
      </c>
      <c r="N1543" s="22">
        <f t="shared" si="144"/>
        <v>0.50027806098804295</v>
      </c>
      <c r="O1543" s="22">
        <f t="shared" si="145"/>
        <v>0.49421028253821198</v>
      </c>
      <c r="P1543" s="23">
        <f t="shared" si="146"/>
        <v>0.16396850393700799</v>
      </c>
      <c r="Q1543" s="23">
        <f t="shared" si="147"/>
        <v>0.33177881911902501</v>
      </c>
      <c r="R1543" s="22">
        <f t="shared" si="148"/>
        <v>1.1617986034213901</v>
      </c>
      <c r="S1543" s="22">
        <f t="shared" si="149"/>
        <v>2.1617986034213899</v>
      </c>
    </row>
    <row r="1544" spans="1:19">
      <c r="A1544" s="18" t="s">
        <v>1583</v>
      </c>
      <c r="B1544" s="18" t="s">
        <v>40</v>
      </c>
      <c r="C1544" s="18" t="s">
        <v>29</v>
      </c>
      <c r="D1544" s="19">
        <v>44736</v>
      </c>
      <c r="E1544" s="20">
        <v>45339</v>
      </c>
      <c r="F1544" s="21">
        <v>43721.599999999999</v>
      </c>
      <c r="G1544" s="21">
        <v>12107.2</v>
      </c>
      <c r="H1544" s="21">
        <v>2270.4</v>
      </c>
      <c r="I1544" s="18">
        <v>2789.056</v>
      </c>
      <c r="J1544" s="18">
        <v>3692.8159999999998</v>
      </c>
      <c r="K1544" s="18" t="s">
        <v>65</v>
      </c>
      <c r="L1544" s="18" t="s">
        <v>44</v>
      </c>
      <c r="M1544" s="18" t="s">
        <v>24</v>
      </c>
      <c r="N1544" s="22">
        <f t="shared" si="144"/>
        <v>0.27691575788626199</v>
      </c>
      <c r="O1544" s="22">
        <f t="shared" si="145"/>
        <v>0.18752477864411299</v>
      </c>
      <c r="P1544" s="23">
        <f t="shared" si="146"/>
        <v>0.23036342011365099</v>
      </c>
      <c r="Q1544" s="23">
        <f t="shared" si="147"/>
        <v>1.2284425651867501</v>
      </c>
      <c r="R1544" s="22">
        <f t="shared" si="148"/>
        <v>0.324037954060442</v>
      </c>
      <c r="S1544" s="22">
        <f t="shared" si="149"/>
        <v>1.3240379540604399</v>
      </c>
    </row>
    <row r="1545" spans="1:19">
      <c r="A1545" s="18" t="s">
        <v>1584</v>
      </c>
      <c r="B1545" s="18" t="s">
        <v>40</v>
      </c>
      <c r="C1545" s="18" t="s">
        <v>41</v>
      </c>
      <c r="D1545" s="19">
        <v>44757</v>
      </c>
      <c r="E1545" s="20">
        <v>45372</v>
      </c>
      <c r="F1545" s="21">
        <v>37499.199999999997</v>
      </c>
      <c r="G1545" s="21">
        <v>15208</v>
      </c>
      <c r="H1545" s="21">
        <v>2220.8000000000002</v>
      </c>
      <c r="I1545" s="18">
        <v>5713.4880000000003</v>
      </c>
      <c r="J1545" s="18">
        <v>6858.4639999999999</v>
      </c>
      <c r="K1545" s="18" t="s">
        <v>43</v>
      </c>
      <c r="L1545" s="18" t="s">
        <v>44</v>
      </c>
      <c r="M1545" s="18" t="s">
        <v>32</v>
      </c>
      <c r="N1545" s="22">
        <f t="shared" si="144"/>
        <v>0.40555531851346199</v>
      </c>
      <c r="O1545" s="22">
        <f t="shared" si="145"/>
        <v>0.14602840610205201</v>
      </c>
      <c r="P1545" s="23">
        <f t="shared" si="146"/>
        <v>0.37568963703314001</v>
      </c>
      <c r="Q1545" s="23">
        <f t="shared" si="147"/>
        <v>2.5727161383285302</v>
      </c>
      <c r="R1545" s="22">
        <f t="shared" si="148"/>
        <v>0.20039877566908301</v>
      </c>
      <c r="S1545" s="22">
        <f t="shared" si="149"/>
        <v>1.2003987756690799</v>
      </c>
    </row>
    <row r="1546" spans="1:19">
      <c r="A1546" s="18" t="s">
        <v>1585</v>
      </c>
      <c r="B1546" s="18" t="s">
        <v>28</v>
      </c>
      <c r="C1546" s="18" t="s">
        <v>48</v>
      </c>
      <c r="D1546" s="19">
        <v>44842</v>
      </c>
      <c r="E1546" s="20">
        <v>45465</v>
      </c>
      <c r="F1546" s="21">
        <v>52960</v>
      </c>
      <c r="G1546" s="21">
        <v>13553.6</v>
      </c>
      <c r="H1546" s="21">
        <v>12348.8</v>
      </c>
      <c r="I1546" s="18">
        <v>5497.6</v>
      </c>
      <c r="J1546" s="18">
        <v>18863.36</v>
      </c>
      <c r="K1546" s="18" t="s">
        <v>38</v>
      </c>
      <c r="L1546" s="18" t="s">
        <v>23</v>
      </c>
      <c r="M1546" s="18" t="s">
        <v>32</v>
      </c>
      <c r="N1546" s="22">
        <f t="shared" si="144"/>
        <v>0.255921450151057</v>
      </c>
      <c r="O1546" s="22">
        <f t="shared" si="145"/>
        <v>0.91110848778184395</v>
      </c>
      <c r="P1546" s="23">
        <f t="shared" si="146"/>
        <v>0.40561917129028502</v>
      </c>
      <c r="Q1546" s="23">
        <f t="shared" si="147"/>
        <v>0.445193055195647</v>
      </c>
      <c r="R1546" s="22">
        <f t="shared" si="148"/>
        <v>2.4311990686845202</v>
      </c>
      <c r="S1546" s="22">
        <f t="shared" si="149"/>
        <v>3.4311990686845202</v>
      </c>
    </row>
    <row r="1547" spans="1:19">
      <c r="A1547" s="18" t="s">
        <v>1586</v>
      </c>
      <c r="B1547" s="18" t="s">
        <v>47</v>
      </c>
      <c r="C1547" s="18" t="s">
        <v>21</v>
      </c>
      <c r="D1547" s="19">
        <v>44965</v>
      </c>
      <c r="E1547" s="20">
        <v>45592</v>
      </c>
      <c r="F1547" s="21">
        <v>29190.400000000001</v>
      </c>
      <c r="G1547" s="21">
        <v>4944</v>
      </c>
      <c r="H1547" s="21">
        <v>1579.2</v>
      </c>
      <c r="I1547" s="18">
        <v>6561.1840000000002</v>
      </c>
      <c r="J1547" s="18">
        <v>24525.439999999999</v>
      </c>
      <c r="K1547" s="18" t="s">
        <v>30</v>
      </c>
      <c r="L1547" s="18" t="s">
        <v>50</v>
      </c>
      <c r="M1547" s="18" t="s">
        <v>32</v>
      </c>
      <c r="N1547" s="22">
        <f t="shared" si="144"/>
        <v>0.16937075202806401</v>
      </c>
      <c r="O1547" s="22">
        <f t="shared" si="145"/>
        <v>0.31941747572815499</v>
      </c>
      <c r="P1547" s="23">
        <f t="shared" si="146"/>
        <v>1.3271003236246</v>
      </c>
      <c r="Q1547" s="23">
        <f t="shared" si="147"/>
        <v>4.1547517730496502</v>
      </c>
      <c r="R1547" s="22">
        <f t="shared" si="148"/>
        <v>2.7379594902383499</v>
      </c>
      <c r="S1547" s="22">
        <f t="shared" si="149"/>
        <v>3.7379594902383499</v>
      </c>
    </row>
    <row r="1548" spans="1:19">
      <c r="A1548" s="18" t="s">
        <v>1587</v>
      </c>
      <c r="B1548" s="18" t="s">
        <v>47</v>
      </c>
      <c r="C1548" s="18" t="s">
        <v>29</v>
      </c>
      <c r="D1548" s="19">
        <v>44735</v>
      </c>
      <c r="E1548" s="20">
        <v>45350</v>
      </c>
      <c r="F1548" s="21">
        <v>67275.199999999997</v>
      </c>
      <c r="G1548" s="21">
        <v>4252.8</v>
      </c>
      <c r="H1548" s="21">
        <v>1308.8</v>
      </c>
      <c r="I1548" s="18">
        <v>2689.8719999999998</v>
      </c>
      <c r="J1548" s="18">
        <v>6497.6</v>
      </c>
      <c r="K1548" s="18" t="s">
        <v>30</v>
      </c>
      <c r="L1548" s="18" t="s">
        <v>44</v>
      </c>
      <c r="M1548" s="18" t="s">
        <v>24</v>
      </c>
      <c r="N1548" s="22">
        <f t="shared" si="144"/>
        <v>6.3214973719884895E-2</v>
      </c>
      <c r="O1548" s="22">
        <f t="shared" si="145"/>
        <v>0.30775018811136201</v>
      </c>
      <c r="P1548" s="23">
        <f t="shared" si="146"/>
        <v>0.632494356659142</v>
      </c>
      <c r="Q1548" s="23">
        <f t="shared" si="147"/>
        <v>2.0552200488997601</v>
      </c>
      <c r="R1548" s="22">
        <f t="shared" si="148"/>
        <v>1.4155796260937299</v>
      </c>
      <c r="S1548" s="22">
        <f t="shared" si="149"/>
        <v>2.4155796260937299</v>
      </c>
    </row>
    <row r="1549" spans="1:19">
      <c r="A1549" s="18" t="s">
        <v>1588</v>
      </c>
      <c r="B1549" s="18" t="s">
        <v>34</v>
      </c>
      <c r="C1549" s="18" t="s">
        <v>29</v>
      </c>
      <c r="D1549" s="19">
        <v>44836</v>
      </c>
      <c r="E1549" s="20">
        <v>45438</v>
      </c>
      <c r="F1549" s="21">
        <v>3184</v>
      </c>
      <c r="G1549" s="21">
        <v>3027.2</v>
      </c>
      <c r="H1549" s="21">
        <v>612.79999999999995</v>
      </c>
      <c r="I1549" s="18">
        <v>4207.12</v>
      </c>
      <c r="J1549" s="18">
        <v>8782.9439999999995</v>
      </c>
      <c r="K1549" s="18" t="s">
        <v>22</v>
      </c>
      <c r="L1549" s="18" t="s">
        <v>31</v>
      </c>
      <c r="M1549" s="18" t="s">
        <v>32</v>
      </c>
      <c r="N1549" s="22">
        <f t="shared" si="144"/>
        <v>0.95075376884422103</v>
      </c>
      <c r="O1549" s="22">
        <f t="shared" si="145"/>
        <v>0.20243128964059201</v>
      </c>
      <c r="P1549" s="23">
        <f t="shared" si="146"/>
        <v>1.38977272727273</v>
      </c>
      <c r="Q1549" s="23">
        <f t="shared" si="147"/>
        <v>6.8654046997389004</v>
      </c>
      <c r="R1549" s="22">
        <f t="shared" si="148"/>
        <v>1.0876380992222701</v>
      </c>
      <c r="S1549" s="22">
        <f t="shared" si="149"/>
        <v>2.0876380992222701</v>
      </c>
    </row>
    <row r="1550" spans="1:19">
      <c r="A1550" s="18" t="s">
        <v>1589</v>
      </c>
      <c r="B1550" s="18" t="s">
        <v>26</v>
      </c>
      <c r="C1550" s="18" t="s">
        <v>48</v>
      </c>
      <c r="D1550" s="19">
        <v>44960</v>
      </c>
      <c r="E1550" s="20">
        <v>45590</v>
      </c>
      <c r="F1550" s="21">
        <v>46278.400000000001</v>
      </c>
      <c r="G1550" s="21">
        <v>31134.400000000001</v>
      </c>
      <c r="H1550" s="21">
        <v>27556.799999999999</v>
      </c>
      <c r="I1550" s="18">
        <v>3474.2719999999999</v>
      </c>
      <c r="J1550" s="18">
        <v>9903.4719999999998</v>
      </c>
      <c r="K1550" s="18" t="s">
        <v>30</v>
      </c>
      <c r="L1550" s="18" t="s">
        <v>35</v>
      </c>
      <c r="M1550" s="18" t="s">
        <v>24</v>
      </c>
      <c r="N1550" s="22">
        <f t="shared" si="144"/>
        <v>0.67276310330521405</v>
      </c>
      <c r="O1550" s="22">
        <f t="shared" si="145"/>
        <v>0.88509173133254504</v>
      </c>
      <c r="P1550" s="23">
        <f t="shared" si="146"/>
        <v>0.11158949586309699</v>
      </c>
      <c r="Q1550" s="23">
        <f t="shared" si="147"/>
        <v>0.12607675782384001</v>
      </c>
      <c r="R1550" s="22">
        <f t="shared" si="148"/>
        <v>1.8505171730940999</v>
      </c>
      <c r="S1550" s="22">
        <f t="shared" si="149"/>
        <v>2.8505171730940999</v>
      </c>
    </row>
    <row r="1551" spans="1:19">
      <c r="A1551" s="18" t="s">
        <v>1590</v>
      </c>
      <c r="B1551" s="18" t="s">
        <v>26</v>
      </c>
      <c r="C1551" s="18" t="s">
        <v>29</v>
      </c>
      <c r="D1551" s="19">
        <v>44965</v>
      </c>
      <c r="E1551" s="20">
        <v>45567</v>
      </c>
      <c r="F1551" s="21">
        <v>9393.6</v>
      </c>
      <c r="G1551" s="21">
        <v>7404.8</v>
      </c>
      <c r="H1551" s="21">
        <v>1364.8</v>
      </c>
      <c r="I1551" s="18">
        <v>6034.9120000000003</v>
      </c>
      <c r="J1551" s="18">
        <v>19812.784</v>
      </c>
      <c r="K1551" s="18" t="s">
        <v>30</v>
      </c>
      <c r="L1551" s="18" t="s">
        <v>31</v>
      </c>
      <c r="M1551" s="18" t="s">
        <v>24</v>
      </c>
      <c r="N1551" s="22">
        <f t="shared" si="144"/>
        <v>0.78828138306932405</v>
      </c>
      <c r="O1551" s="22">
        <f t="shared" si="145"/>
        <v>0.18431287813310299</v>
      </c>
      <c r="P1551" s="23">
        <f t="shared" si="146"/>
        <v>0.81499999999999995</v>
      </c>
      <c r="Q1551" s="23">
        <f t="shared" si="147"/>
        <v>4.4218288393903897</v>
      </c>
      <c r="R1551" s="22">
        <f t="shared" si="148"/>
        <v>2.2830278221124001</v>
      </c>
      <c r="S1551" s="22">
        <f t="shared" si="149"/>
        <v>3.2830278221124001</v>
      </c>
    </row>
    <row r="1552" spans="1:19">
      <c r="A1552" s="18" t="s">
        <v>1591</v>
      </c>
      <c r="B1552" s="18" t="s">
        <v>20</v>
      </c>
      <c r="C1552" s="18" t="s">
        <v>29</v>
      </c>
      <c r="D1552" s="19">
        <v>44781</v>
      </c>
      <c r="E1552" s="20">
        <v>45391</v>
      </c>
      <c r="F1552" s="21">
        <v>59601.599999999999</v>
      </c>
      <c r="G1552" s="21">
        <v>33944</v>
      </c>
      <c r="H1552" s="21">
        <v>7307.2</v>
      </c>
      <c r="I1552" s="18">
        <v>6836.4</v>
      </c>
      <c r="J1552" s="18">
        <v>23352.720000000001</v>
      </c>
      <c r="K1552" s="18" t="s">
        <v>43</v>
      </c>
      <c r="L1552" s="18" t="s">
        <v>23</v>
      </c>
      <c r="M1552" s="18" t="s">
        <v>24</v>
      </c>
      <c r="N1552" s="22">
        <f t="shared" si="144"/>
        <v>0.56951491235134599</v>
      </c>
      <c r="O1552" s="22">
        <f t="shared" si="145"/>
        <v>0.215272213056799</v>
      </c>
      <c r="P1552" s="23">
        <f t="shared" si="146"/>
        <v>0.20140230968654299</v>
      </c>
      <c r="Q1552" s="23">
        <f t="shared" si="147"/>
        <v>0.93557039632143602</v>
      </c>
      <c r="R1552" s="22">
        <f t="shared" si="148"/>
        <v>2.4159382130946101</v>
      </c>
      <c r="S1552" s="22">
        <f t="shared" si="149"/>
        <v>3.4159382130946101</v>
      </c>
    </row>
    <row r="1553" spans="1:19">
      <c r="A1553" s="18" t="s">
        <v>1592</v>
      </c>
      <c r="B1553" s="18" t="s">
        <v>28</v>
      </c>
      <c r="C1553" s="18" t="s">
        <v>29</v>
      </c>
      <c r="D1553" s="19">
        <v>44693</v>
      </c>
      <c r="E1553" s="20">
        <v>45311</v>
      </c>
      <c r="F1553" s="21">
        <v>41808</v>
      </c>
      <c r="G1553" s="21">
        <v>17217.599999999999</v>
      </c>
      <c r="H1553" s="21">
        <v>6267.2</v>
      </c>
      <c r="I1553" s="18">
        <v>743.42399999999998</v>
      </c>
      <c r="J1553" s="18">
        <v>1736.576</v>
      </c>
      <c r="K1553" s="18" t="s">
        <v>38</v>
      </c>
      <c r="L1553" s="18" t="s">
        <v>35</v>
      </c>
      <c r="M1553" s="18" t="s">
        <v>24</v>
      </c>
      <c r="N1553" s="22">
        <f t="shared" si="144"/>
        <v>0.41182548794489099</v>
      </c>
      <c r="O1553" s="22">
        <f t="shared" si="145"/>
        <v>0.36399962828733401</v>
      </c>
      <c r="P1553" s="23">
        <f t="shared" si="146"/>
        <v>4.3178143295232799E-2</v>
      </c>
      <c r="Q1553" s="23">
        <f t="shared" si="147"/>
        <v>0.118621393923921</v>
      </c>
      <c r="R1553" s="22">
        <f t="shared" si="148"/>
        <v>1.33591597796143</v>
      </c>
      <c r="S1553" s="22">
        <f t="shared" si="149"/>
        <v>2.33591597796143</v>
      </c>
    </row>
    <row r="1554" spans="1:19">
      <c r="A1554" s="18" t="s">
        <v>1593</v>
      </c>
      <c r="B1554" s="18" t="s">
        <v>34</v>
      </c>
      <c r="C1554" s="18" t="s">
        <v>21</v>
      </c>
      <c r="D1554" s="19">
        <v>44771</v>
      </c>
      <c r="E1554" s="20">
        <v>45388</v>
      </c>
      <c r="F1554" s="21">
        <v>24596.799999999999</v>
      </c>
      <c r="G1554" s="21">
        <v>1932.8</v>
      </c>
      <c r="H1554" s="21">
        <v>219.2</v>
      </c>
      <c r="I1554" s="18">
        <v>255.71199999999999</v>
      </c>
      <c r="J1554" s="18">
        <v>370.928</v>
      </c>
      <c r="K1554" s="18" t="s">
        <v>38</v>
      </c>
      <c r="L1554" s="18" t="s">
        <v>35</v>
      </c>
      <c r="M1554" s="18" t="s">
        <v>32</v>
      </c>
      <c r="N1554" s="22">
        <f t="shared" si="144"/>
        <v>7.8579327392181098E-2</v>
      </c>
      <c r="O1554" s="22">
        <f t="shared" si="145"/>
        <v>0.11341059602648999</v>
      </c>
      <c r="P1554" s="23">
        <f t="shared" si="146"/>
        <v>0.132301324503311</v>
      </c>
      <c r="Q1554" s="23">
        <f t="shared" si="147"/>
        <v>1.16656934306569</v>
      </c>
      <c r="R1554" s="22">
        <f t="shared" si="148"/>
        <v>0.450569390564385</v>
      </c>
      <c r="S1554" s="22">
        <f t="shared" si="149"/>
        <v>1.4505693905643899</v>
      </c>
    </row>
    <row r="1555" spans="1:19">
      <c r="A1555" s="18" t="s">
        <v>1594</v>
      </c>
      <c r="B1555" s="18" t="s">
        <v>40</v>
      </c>
      <c r="C1555" s="18" t="s">
        <v>21</v>
      </c>
      <c r="D1555" s="19">
        <v>44767</v>
      </c>
      <c r="E1555" s="20">
        <v>45386</v>
      </c>
      <c r="F1555" s="21">
        <v>26769.599999999999</v>
      </c>
      <c r="G1555" s="21">
        <v>20009.599999999999</v>
      </c>
      <c r="H1555" s="21">
        <v>19587.2</v>
      </c>
      <c r="I1555" s="18">
        <v>2302.864</v>
      </c>
      <c r="J1555" s="18">
        <v>4071.4079999999999</v>
      </c>
      <c r="K1555" s="18" t="s">
        <v>65</v>
      </c>
      <c r="L1555" s="18" t="s">
        <v>50</v>
      </c>
      <c r="M1555" s="18" t="s">
        <v>32</v>
      </c>
      <c r="N1555" s="22">
        <f t="shared" si="144"/>
        <v>0.74747474747474796</v>
      </c>
      <c r="O1555" s="22">
        <f t="shared" si="145"/>
        <v>0.978890132736287</v>
      </c>
      <c r="P1555" s="23">
        <f t="shared" si="146"/>
        <v>0.115087957780265</v>
      </c>
      <c r="Q1555" s="23">
        <f t="shared" si="147"/>
        <v>0.117569841529162</v>
      </c>
      <c r="R1555" s="22">
        <f t="shared" si="148"/>
        <v>0.76797587699490699</v>
      </c>
      <c r="S1555" s="22">
        <f t="shared" si="149"/>
        <v>1.7679758769949101</v>
      </c>
    </row>
    <row r="1556" spans="1:19">
      <c r="A1556" s="18" t="s">
        <v>1595</v>
      </c>
      <c r="B1556" s="18" t="s">
        <v>34</v>
      </c>
      <c r="C1556" s="18" t="s">
        <v>29</v>
      </c>
      <c r="D1556" s="19">
        <v>44774</v>
      </c>
      <c r="E1556" s="20">
        <v>45380</v>
      </c>
      <c r="F1556" s="21">
        <v>66320</v>
      </c>
      <c r="G1556" s="21">
        <v>33707.199999999997</v>
      </c>
      <c r="H1556" s="21">
        <v>11988.8</v>
      </c>
      <c r="I1556" s="18">
        <v>5266.6239999999998</v>
      </c>
      <c r="J1556" s="18">
        <v>15725.36</v>
      </c>
      <c r="K1556" s="18" t="s">
        <v>30</v>
      </c>
      <c r="L1556" s="18" t="s">
        <v>31</v>
      </c>
      <c r="M1556" s="18" t="s">
        <v>32</v>
      </c>
      <c r="N1556" s="22">
        <f t="shared" si="144"/>
        <v>0.50825090470446299</v>
      </c>
      <c r="O1556" s="22">
        <f t="shared" si="145"/>
        <v>0.35567475198177201</v>
      </c>
      <c r="P1556" s="23">
        <f t="shared" si="146"/>
        <v>0.156246261926235</v>
      </c>
      <c r="Q1556" s="23">
        <f t="shared" si="147"/>
        <v>0.43929534231949802</v>
      </c>
      <c r="R1556" s="22">
        <f t="shared" si="148"/>
        <v>1.9858520372823301</v>
      </c>
      <c r="S1556" s="22">
        <f t="shared" si="149"/>
        <v>2.9858520372823301</v>
      </c>
    </row>
    <row r="1557" spans="1:19">
      <c r="A1557" s="18" t="s">
        <v>1596</v>
      </c>
      <c r="B1557" s="18" t="s">
        <v>20</v>
      </c>
      <c r="C1557" s="18" t="s">
        <v>48</v>
      </c>
      <c r="D1557" s="19">
        <v>44708</v>
      </c>
      <c r="E1557" s="20">
        <v>45337</v>
      </c>
      <c r="F1557" s="21">
        <v>70326.399999999994</v>
      </c>
      <c r="G1557" s="21">
        <v>11568</v>
      </c>
      <c r="H1557" s="21">
        <v>3665.6</v>
      </c>
      <c r="I1557" s="18">
        <v>3226.672</v>
      </c>
      <c r="J1557" s="18">
        <v>8644.6080000000002</v>
      </c>
      <c r="K1557" s="18" t="s">
        <v>43</v>
      </c>
      <c r="L1557" s="18" t="s">
        <v>35</v>
      </c>
      <c r="M1557" s="18" t="s">
        <v>24</v>
      </c>
      <c r="N1557" s="22">
        <f t="shared" si="144"/>
        <v>0.16449014879191901</v>
      </c>
      <c r="O1557" s="22">
        <f t="shared" si="145"/>
        <v>0.31687413554633498</v>
      </c>
      <c r="P1557" s="23">
        <f t="shared" si="146"/>
        <v>0.27893084370677701</v>
      </c>
      <c r="Q1557" s="23">
        <f t="shared" si="147"/>
        <v>0.88025752946311697</v>
      </c>
      <c r="R1557" s="22">
        <f t="shared" si="148"/>
        <v>1.6791096213064101</v>
      </c>
      <c r="S1557" s="22">
        <f t="shared" si="149"/>
        <v>2.6791096213064098</v>
      </c>
    </row>
    <row r="1558" spans="1:19">
      <c r="A1558" s="18" t="s">
        <v>1597</v>
      </c>
      <c r="B1558" s="18" t="s">
        <v>40</v>
      </c>
      <c r="C1558" s="18" t="s">
        <v>29</v>
      </c>
      <c r="D1558" s="19">
        <v>44933</v>
      </c>
      <c r="E1558" s="20">
        <v>45539</v>
      </c>
      <c r="F1558" s="21">
        <v>62545.599999999999</v>
      </c>
      <c r="G1558" s="21">
        <v>8212.7999999999993</v>
      </c>
      <c r="H1558" s="21">
        <v>6500.8</v>
      </c>
      <c r="I1558" s="18">
        <v>2327.808</v>
      </c>
      <c r="J1558" s="18">
        <v>7799.4719999999998</v>
      </c>
      <c r="K1558" s="18" t="s">
        <v>22</v>
      </c>
      <c r="L1558" s="18" t="s">
        <v>44</v>
      </c>
      <c r="M1558" s="18" t="s">
        <v>24</v>
      </c>
      <c r="N1558" s="22">
        <f t="shared" si="144"/>
        <v>0.13130899695582099</v>
      </c>
      <c r="O1558" s="22">
        <f t="shared" si="145"/>
        <v>0.791544905513345</v>
      </c>
      <c r="P1558" s="23">
        <f t="shared" si="146"/>
        <v>0.28343658679134998</v>
      </c>
      <c r="Q1558" s="23">
        <f t="shared" si="147"/>
        <v>0.35808023627861202</v>
      </c>
      <c r="R1558" s="22">
        <f t="shared" si="148"/>
        <v>2.35056499505114</v>
      </c>
      <c r="S1558" s="22">
        <f t="shared" si="149"/>
        <v>3.35056499505114</v>
      </c>
    </row>
    <row r="1559" spans="1:19">
      <c r="A1559" s="18" t="s">
        <v>1598</v>
      </c>
      <c r="B1559" s="18" t="s">
        <v>28</v>
      </c>
      <c r="C1559" s="18" t="s">
        <v>21</v>
      </c>
      <c r="D1559" s="19">
        <v>44694</v>
      </c>
      <c r="E1559" s="20">
        <v>45309</v>
      </c>
      <c r="F1559" s="21">
        <v>35867.199999999997</v>
      </c>
      <c r="G1559" s="21">
        <v>736</v>
      </c>
      <c r="H1559" s="21">
        <v>508.8</v>
      </c>
      <c r="I1559" s="18">
        <v>6085.92</v>
      </c>
      <c r="J1559" s="18">
        <v>8442.8320000000003</v>
      </c>
      <c r="K1559" s="18" t="s">
        <v>30</v>
      </c>
      <c r="L1559" s="18" t="s">
        <v>31</v>
      </c>
      <c r="M1559" s="18" t="s">
        <v>32</v>
      </c>
      <c r="N1559" s="22">
        <f t="shared" si="144"/>
        <v>2.0520140964446602E-2</v>
      </c>
      <c r="O1559" s="22">
        <f t="shared" si="145"/>
        <v>0.69130434782608696</v>
      </c>
      <c r="P1559" s="23">
        <f t="shared" si="146"/>
        <v>8.2689130434782605</v>
      </c>
      <c r="Q1559" s="23">
        <f t="shared" si="147"/>
        <v>11.961320754717001</v>
      </c>
      <c r="R1559" s="22">
        <f t="shared" si="148"/>
        <v>0.38727291847411699</v>
      </c>
      <c r="S1559" s="22">
        <f t="shared" si="149"/>
        <v>1.3872729184741199</v>
      </c>
    </row>
    <row r="1560" spans="1:19">
      <c r="A1560" s="18" t="s">
        <v>1599</v>
      </c>
      <c r="B1560" s="18" t="s">
        <v>28</v>
      </c>
      <c r="C1560" s="18" t="s">
        <v>29</v>
      </c>
      <c r="D1560" s="19">
        <v>44821</v>
      </c>
      <c r="E1560" s="20">
        <v>45426</v>
      </c>
      <c r="F1560" s="21">
        <v>41520</v>
      </c>
      <c r="G1560" s="21">
        <v>29448</v>
      </c>
      <c r="H1560" s="21">
        <v>9795.2000000000007</v>
      </c>
      <c r="I1560" s="18">
        <v>546.55999999999995</v>
      </c>
      <c r="J1560" s="18">
        <v>1864.944</v>
      </c>
      <c r="K1560" s="18" t="s">
        <v>30</v>
      </c>
      <c r="L1560" s="18" t="s">
        <v>44</v>
      </c>
      <c r="M1560" s="18" t="s">
        <v>32</v>
      </c>
      <c r="N1560" s="22">
        <f t="shared" si="144"/>
        <v>0.70924855491329497</v>
      </c>
      <c r="O1560" s="22">
        <f t="shared" si="145"/>
        <v>0.33262700353164898</v>
      </c>
      <c r="P1560" s="23">
        <f t="shared" si="146"/>
        <v>1.8560173865797301E-2</v>
      </c>
      <c r="Q1560" s="23">
        <f t="shared" si="147"/>
        <v>5.5798758575628903E-2</v>
      </c>
      <c r="R1560" s="22">
        <f t="shared" si="148"/>
        <v>2.4121487119437899</v>
      </c>
      <c r="S1560" s="22">
        <f t="shared" si="149"/>
        <v>3.4121487119437899</v>
      </c>
    </row>
    <row r="1561" spans="1:19">
      <c r="A1561" s="18" t="s">
        <v>1600</v>
      </c>
      <c r="B1561" s="18" t="s">
        <v>47</v>
      </c>
      <c r="C1561" s="18" t="s">
        <v>21</v>
      </c>
      <c r="D1561" s="19">
        <v>44698</v>
      </c>
      <c r="E1561" s="20">
        <v>45315</v>
      </c>
      <c r="F1561" s="21">
        <v>76582.399999999994</v>
      </c>
      <c r="G1561" s="21">
        <v>62620.800000000003</v>
      </c>
      <c r="H1561" s="21">
        <v>34072</v>
      </c>
      <c r="I1561" s="18">
        <v>6366.4480000000003</v>
      </c>
      <c r="J1561" s="18">
        <v>16114.896000000001</v>
      </c>
      <c r="K1561" s="18" t="s">
        <v>30</v>
      </c>
      <c r="L1561" s="18" t="s">
        <v>44</v>
      </c>
      <c r="M1561" s="18" t="s">
        <v>32</v>
      </c>
      <c r="N1561" s="22">
        <f t="shared" si="144"/>
        <v>0.81769179341467502</v>
      </c>
      <c r="O1561" s="22">
        <f t="shared" si="145"/>
        <v>0.54410036281874397</v>
      </c>
      <c r="P1561" s="23">
        <f t="shared" si="146"/>
        <v>0.101666666666667</v>
      </c>
      <c r="Q1561" s="23">
        <f t="shared" si="147"/>
        <v>0.18685278234327299</v>
      </c>
      <c r="R1561" s="22">
        <f t="shared" si="148"/>
        <v>1.5312224336081901</v>
      </c>
      <c r="S1561" s="22">
        <f t="shared" si="149"/>
        <v>2.5312224336081899</v>
      </c>
    </row>
    <row r="1562" spans="1:19">
      <c r="A1562" s="18" t="s">
        <v>1601</v>
      </c>
      <c r="B1562" s="18" t="s">
        <v>40</v>
      </c>
      <c r="C1562" s="18" t="s">
        <v>41</v>
      </c>
      <c r="D1562" s="19">
        <v>44767</v>
      </c>
      <c r="E1562" s="20">
        <v>45381</v>
      </c>
      <c r="F1562" s="21">
        <v>33108.800000000003</v>
      </c>
      <c r="G1562" s="21">
        <v>15486.4</v>
      </c>
      <c r="H1562" s="21">
        <v>3822.4</v>
      </c>
      <c r="I1562" s="18">
        <v>1595.52</v>
      </c>
      <c r="J1562" s="18">
        <v>2181.6480000000001</v>
      </c>
      <c r="K1562" s="18" t="s">
        <v>38</v>
      </c>
      <c r="L1562" s="18" t="s">
        <v>44</v>
      </c>
      <c r="M1562" s="18" t="s">
        <v>32</v>
      </c>
      <c r="N1562" s="22">
        <f t="shared" si="144"/>
        <v>0.46774271492775299</v>
      </c>
      <c r="O1562" s="22">
        <f t="shared" si="145"/>
        <v>0.246823018906912</v>
      </c>
      <c r="P1562" s="23">
        <f t="shared" si="146"/>
        <v>0.103027172228536</v>
      </c>
      <c r="Q1562" s="23">
        <f t="shared" si="147"/>
        <v>0.41741314357471698</v>
      </c>
      <c r="R1562" s="22">
        <f t="shared" si="148"/>
        <v>0.36735860409145599</v>
      </c>
      <c r="S1562" s="22">
        <f t="shared" si="149"/>
        <v>1.36735860409146</v>
      </c>
    </row>
    <row r="1563" spans="1:19">
      <c r="A1563" s="18" t="s">
        <v>1602</v>
      </c>
      <c r="B1563" s="18" t="s">
        <v>26</v>
      </c>
      <c r="C1563" s="18" t="s">
        <v>21</v>
      </c>
      <c r="D1563" s="19">
        <v>44958</v>
      </c>
      <c r="E1563" s="20">
        <v>45566</v>
      </c>
      <c r="F1563" s="21">
        <v>20022.400000000001</v>
      </c>
      <c r="G1563" s="21">
        <v>2078.4</v>
      </c>
      <c r="H1563" s="21">
        <v>614.4</v>
      </c>
      <c r="I1563" s="18">
        <v>6155.0720000000001</v>
      </c>
      <c r="J1563" s="18">
        <v>8183.232</v>
      </c>
      <c r="K1563" s="18" t="s">
        <v>22</v>
      </c>
      <c r="L1563" s="18" t="s">
        <v>31</v>
      </c>
      <c r="M1563" s="18" t="s">
        <v>24</v>
      </c>
      <c r="N1563" s="22">
        <f t="shared" si="144"/>
        <v>0.103803739811411</v>
      </c>
      <c r="O1563" s="22">
        <f t="shared" si="145"/>
        <v>0.29561200923787501</v>
      </c>
      <c r="P1563" s="23">
        <f t="shared" si="146"/>
        <v>2.9614472671285599</v>
      </c>
      <c r="Q1563" s="23">
        <f t="shared" si="147"/>
        <v>10.018020833333299</v>
      </c>
      <c r="R1563" s="22">
        <f t="shared" si="148"/>
        <v>0.32951036153598201</v>
      </c>
      <c r="S1563" s="22">
        <f t="shared" si="149"/>
        <v>1.32951036153598</v>
      </c>
    </row>
    <row r="1564" spans="1:19">
      <c r="A1564" s="18" t="s">
        <v>1603</v>
      </c>
      <c r="B1564" s="18" t="s">
        <v>47</v>
      </c>
      <c r="C1564" s="18" t="s">
        <v>41</v>
      </c>
      <c r="D1564" s="19">
        <v>44976</v>
      </c>
      <c r="E1564" s="20">
        <v>45584</v>
      </c>
      <c r="F1564" s="21">
        <v>7646.4</v>
      </c>
      <c r="G1564" s="21">
        <v>4136</v>
      </c>
      <c r="H1564" s="21">
        <v>236.8</v>
      </c>
      <c r="I1564" s="18">
        <v>7967.4719999999998</v>
      </c>
      <c r="J1564" s="18">
        <v>10057.487999999999</v>
      </c>
      <c r="K1564" s="18" t="s">
        <v>43</v>
      </c>
      <c r="L1564" s="18" t="s">
        <v>50</v>
      </c>
      <c r="M1564" s="18" t="s">
        <v>24</v>
      </c>
      <c r="N1564" s="22">
        <f t="shared" si="144"/>
        <v>0.54090813977819596</v>
      </c>
      <c r="O1564" s="22">
        <f t="shared" si="145"/>
        <v>5.72533849129594E-2</v>
      </c>
      <c r="P1564" s="23">
        <f t="shared" si="146"/>
        <v>1.92637137330754</v>
      </c>
      <c r="Q1564" s="23">
        <f t="shared" si="147"/>
        <v>33.646418918918897</v>
      </c>
      <c r="R1564" s="22">
        <f t="shared" si="148"/>
        <v>0.26231858737627201</v>
      </c>
      <c r="S1564" s="22">
        <f t="shared" si="149"/>
        <v>1.2623185873762699</v>
      </c>
    </row>
    <row r="1565" spans="1:19">
      <c r="A1565" s="18" t="s">
        <v>1604</v>
      </c>
      <c r="B1565" s="18" t="s">
        <v>20</v>
      </c>
      <c r="C1565" s="18" t="s">
        <v>48</v>
      </c>
      <c r="D1565" s="19">
        <v>44711</v>
      </c>
      <c r="E1565" s="20">
        <v>45318</v>
      </c>
      <c r="F1565" s="21">
        <v>22422.400000000001</v>
      </c>
      <c r="G1565" s="21">
        <v>20795.2</v>
      </c>
      <c r="H1565" s="21">
        <v>3764.8</v>
      </c>
      <c r="I1565" s="18">
        <v>4431.8559999999998</v>
      </c>
      <c r="J1565" s="18">
        <v>7426.72</v>
      </c>
      <c r="K1565" s="18" t="s">
        <v>30</v>
      </c>
      <c r="L1565" s="18" t="s">
        <v>35</v>
      </c>
      <c r="M1565" s="18" t="s">
        <v>32</v>
      </c>
      <c r="N1565" s="22">
        <f t="shared" si="144"/>
        <v>0.92742971314399902</v>
      </c>
      <c r="O1565" s="22">
        <f t="shared" si="145"/>
        <v>0.181041778872047</v>
      </c>
      <c r="P1565" s="23">
        <f t="shared" si="146"/>
        <v>0.213119181349542</v>
      </c>
      <c r="Q1565" s="23">
        <f t="shared" si="147"/>
        <v>1.17718232044199</v>
      </c>
      <c r="R1565" s="22">
        <f t="shared" si="148"/>
        <v>0.67575841814354998</v>
      </c>
      <c r="S1565" s="22">
        <f t="shared" si="149"/>
        <v>1.6757584181435501</v>
      </c>
    </row>
    <row r="1566" spans="1:19">
      <c r="A1566" s="18" t="s">
        <v>1605</v>
      </c>
      <c r="B1566" s="18" t="s">
        <v>26</v>
      </c>
      <c r="C1566" s="18" t="s">
        <v>21</v>
      </c>
      <c r="D1566" s="19">
        <v>44695</v>
      </c>
      <c r="E1566" s="20">
        <v>45307</v>
      </c>
      <c r="F1566" s="21">
        <v>65915.199999999997</v>
      </c>
      <c r="G1566" s="21">
        <v>12521.6</v>
      </c>
      <c r="H1566" s="21">
        <v>8547.2000000000007</v>
      </c>
      <c r="I1566" s="18">
        <v>2755.2</v>
      </c>
      <c r="J1566" s="18">
        <v>5762.8639999999996</v>
      </c>
      <c r="K1566" s="18" t="s">
        <v>38</v>
      </c>
      <c r="L1566" s="18" t="s">
        <v>50</v>
      </c>
      <c r="M1566" s="18" t="s">
        <v>32</v>
      </c>
      <c r="N1566" s="22">
        <f t="shared" si="144"/>
        <v>0.18996528873461699</v>
      </c>
      <c r="O1566" s="22">
        <f t="shared" si="145"/>
        <v>0.68259647329414797</v>
      </c>
      <c r="P1566" s="23">
        <f t="shared" si="146"/>
        <v>0.220035778175313</v>
      </c>
      <c r="Q1566" s="23">
        <f t="shared" si="147"/>
        <v>0.32235117933358298</v>
      </c>
      <c r="R1566" s="22">
        <f t="shared" si="148"/>
        <v>1.09163182346109</v>
      </c>
      <c r="S1566" s="22">
        <f t="shared" si="149"/>
        <v>2.09163182346109</v>
      </c>
    </row>
    <row r="1567" spans="1:19">
      <c r="A1567" s="18" t="s">
        <v>1606</v>
      </c>
      <c r="B1567" s="18" t="s">
        <v>28</v>
      </c>
      <c r="C1567" s="18" t="s">
        <v>41</v>
      </c>
      <c r="D1567" s="19">
        <v>44777</v>
      </c>
      <c r="E1567" s="20">
        <v>45395</v>
      </c>
      <c r="F1567" s="21">
        <v>51419.199999999997</v>
      </c>
      <c r="G1567" s="21">
        <v>38398.400000000001</v>
      </c>
      <c r="H1567" s="21">
        <v>37440</v>
      </c>
      <c r="I1567" s="18">
        <v>4108.4480000000003</v>
      </c>
      <c r="J1567" s="18">
        <v>14846.016</v>
      </c>
      <c r="K1567" s="18" t="s">
        <v>43</v>
      </c>
      <c r="L1567" s="18" t="s">
        <v>50</v>
      </c>
      <c r="M1567" s="18" t="s">
        <v>32</v>
      </c>
      <c r="N1567" s="22">
        <f t="shared" si="144"/>
        <v>0.74677163394218504</v>
      </c>
      <c r="O1567" s="22">
        <f t="shared" si="145"/>
        <v>0.97504062669277902</v>
      </c>
      <c r="P1567" s="23">
        <f t="shared" si="146"/>
        <v>0.106995291470478</v>
      </c>
      <c r="Q1567" s="23">
        <f t="shared" si="147"/>
        <v>0.109734188034188</v>
      </c>
      <c r="R1567" s="22">
        <f t="shared" si="148"/>
        <v>2.6135338697240398</v>
      </c>
      <c r="S1567" s="22">
        <f t="shared" si="149"/>
        <v>3.6135338697240398</v>
      </c>
    </row>
    <row r="1568" spans="1:19">
      <c r="A1568" s="18" t="s">
        <v>1607</v>
      </c>
      <c r="B1568" s="18" t="s">
        <v>20</v>
      </c>
      <c r="C1568" s="18" t="s">
        <v>21</v>
      </c>
      <c r="D1568" s="19">
        <v>44908</v>
      </c>
      <c r="E1568" s="20">
        <v>45510</v>
      </c>
      <c r="F1568" s="21">
        <v>56233.599999999999</v>
      </c>
      <c r="G1568" s="21">
        <v>4865.6000000000004</v>
      </c>
      <c r="H1568" s="21">
        <v>1385.6</v>
      </c>
      <c r="I1568" s="18">
        <v>5141.92</v>
      </c>
      <c r="J1568" s="18">
        <v>11603.456</v>
      </c>
      <c r="K1568" s="18" t="s">
        <v>30</v>
      </c>
      <c r="L1568" s="18" t="s">
        <v>31</v>
      </c>
      <c r="M1568" s="18" t="s">
        <v>32</v>
      </c>
      <c r="N1568" s="22">
        <f t="shared" si="144"/>
        <v>8.6524782336539E-2</v>
      </c>
      <c r="O1568" s="22">
        <f t="shared" si="145"/>
        <v>0.28477474514962198</v>
      </c>
      <c r="P1568" s="23">
        <f t="shared" si="146"/>
        <v>1.05679052943111</v>
      </c>
      <c r="Q1568" s="23">
        <f t="shared" si="147"/>
        <v>3.7109699769053099</v>
      </c>
      <c r="R1568" s="22">
        <f t="shared" si="148"/>
        <v>1.25663876528612</v>
      </c>
      <c r="S1568" s="22">
        <f t="shared" si="149"/>
        <v>2.25663876528612</v>
      </c>
    </row>
    <row r="1569" spans="1:19">
      <c r="A1569" s="18" t="s">
        <v>1608</v>
      </c>
      <c r="B1569" s="18" t="s">
        <v>47</v>
      </c>
      <c r="C1569" s="18" t="s">
        <v>21</v>
      </c>
      <c r="D1569" s="19">
        <v>44850</v>
      </c>
      <c r="E1569" s="20">
        <v>45456</v>
      </c>
      <c r="F1569" s="21">
        <v>28353.599999999999</v>
      </c>
      <c r="G1569" s="21">
        <v>24987.200000000001</v>
      </c>
      <c r="H1569" s="21">
        <v>3059.2</v>
      </c>
      <c r="I1569" s="18">
        <v>7717.9679999999998</v>
      </c>
      <c r="J1569" s="18">
        <v>9609.9519999999993</v>
      </c>
      <c r="K1569" s="18" t="s">
        <v>43</v>
      </c>
      <c r="L1569" s="18" t="s">
        <v>31</v>
      </c>
      <c r="M1569" s="18" t="s">
        <v>24</v>
      </c>
      <c r="N1569" s="22">
        <f t="shared" si="144"/>
        <v>0.88127080864510998</v>
      </c>
      <c r="O1569" s="22">
        <f t="shared" si="145"/>
        <v>0.122430684510469</v>
      </c>
      <c r="P1569" s="23">
        <f t="shared" si="146"/>
        <v>0.308876864954857</v>
      </c>
      <c r="Q1569" s="23">
        <f t="shared" si="147"/>
        <v>2.5228713389121298</v>
      </c>
      <c r="R1569" s="22">
        <f t="shared" si="148"/>
        <v>0.24514017160993701</v>
      </c>
      <c r="S1569" s="22">
        <f t="shared" si="149"/>
        <v>1.2451401716099399</v>
      </c>
    </row>
    <row r="1570" spans="1:19">
      <c r="A1570" s="18" t="s">
        <v>1609</v>
      </c>
      <c r="B1570" s="18" t="s">
        <v>47</v>
      </c>
      <c r="C1570" s="18" t="s">
        <v>48</v>
      </c>
      <c r="D1570" s="19">
        <v>44764</v>
      </c>
      <c r="E1570" s="20">
        <v>45374</v>
      </c>
      <c r="F1570" s="21">
        <v>54400</v>
      </c>
      <c r="G1570" s="21">
        <v>5500.8</v>
      </c>
      <c r="H1570" s="21">
        <v>2046.4</v>
      </c>
      <c r="I1570" s="18">
        <v>3499.2159999999999</v>
      </c>
      <c r="J1570" s="18">
        <v>7166.3040000000001</v>
      </c>
      <c r="K1570" s="18" t="s">
        <v>65</v>
      </c>
      <c r="L1570" s="18" t="s">
        <v>35</v>
      </c>
      <c r="M1570" s="18" t="s">
        <v>24</v>
      </c>
      <c r="N1570" s="22">
        <f t="shared" si="144"/>
        <v>0.10111764705882401</v>
      </c>
      <c r="O1570" s="22">
        <f t="shared" si="145"/>
        <v>0.37201861547411302</v>
      </c>
      <c r="P1570" s="23">
        <f t="shared" si="146"/>
        <v>0.63612856311809196</v>
      </c>
      <c r="Q1570" s="23">
        <f t="shared" si="147"/>
        <v>1.7099374511337</v>
      </c>
      <c r="R1570" s="22">
        <f t="shared" si="148"/>
        <v>1.0479741747865801</v>
      </c>
      <c r="S1570" s="22">
        <f t="shared" si="149"/>
        <v>2.0479741747865798</v>
      </c>
    </row>
    <row r="1571" spans="1:19">
      <c r="A1571" s="18" t="s">
        <v>1610</v>
      </c>
      <c r="B1571" s="18" t="s">
        <v>20</v>
      </c>
      <c r="C1571" s="18" t="s">
        <v>21</v>
      </c>
      <c r="D1571" s="19">
        <v>44695</v>
      </c>
      <c r="E1571" s="20">
        <v>45316</v>
      </c>
      <c r="F1571" s="21">
        <v>70452.800000000003</v>
      </c>
      <c r="G1571" s="21">
        <v>6931.2</v>
      </c>
      <c r="H1571" s="21">
        <v>1974.4</v>
      </c>
      <c r="I1571" s="18">
        <v>4387.6319999999996</v>
      </c>
      <c r="J1571" s="18">
        <v>8271.8719999999994</v>
      </c>
      <c r="K1571" s="18" t="s">
        <v>43</v>
      </c>
      <c r="L1571" s="18" t="s">
        <v>35</v>
      </c>
      <c r="M1571" s="18" t="s">
        <v>32</v>
      </c>
      <c r="N1571" s="22">
        <f t="shared" si="144"/>
        <v>9.8380759884632005E-2</v>
      </c>
      <c r="O1571" s="22">
        <f t="shared" si="145"/>
        <v>0.28485687903970502</v>
      </c>
      <c r="P1571" s="23">
        <f t="shared" si="146"/>
        <v>0.63302631578947399</v>
      </c>
      <c r="Q1571" s="23">
        <f t="shared" si="147"/>
        <v>2.22226094003241</v>
      </c>
      <c r="R1571" s="22">
        <f t="shared" si="148"/>
        <v>0.88527023232577395</v>
      </c>
      <c r="S1571" s="22">
        <f t="shared" si="149"/>
        <v>1.88527023232577</v>
      </c>
    </row>
    <row r="1572" spans="1:19">
      <c r="A1572" s="18" t="s">
        <v>1611</v>
      </c>
      <c r="B1572" s="18" t="s">
        <v>28</v>
      </c>
      <c r="C1572" s="18" t="s">
        <v>41</v>
      </c>
      <c r="D1572" s="19">
        <v>44765</v>
      </c>
      <c r="E1572" s="20">
        <v>45366</v>
      </c>
      <c r="F1572" s="21">
        <v>5649.6</v>
      </c>
      <c r="G1572" s="21">
        <v>3812.8</v>
      </c>
      <c r="H1572" s="21">
        <v>2844.8</v>
      </c>
      <c r="I1572" s="18">
        <v>6522.6559999999999</v>
      </c>
      <c r="J1572" s="18">
        <v>18779.455999999998</v>
      </c>
      <c r="K1572" s="18" t="s">
        <v>38</v>
      </c>
      <c r="L1572" s="18" t="s">
        <v>50</v>
      </c>
      <c r="M1572" s="18" t="s">
        <v>32</v>
      </c>
      <c r="N1572" s="22">
        <f t="shared" si="144"/>
        <v>0.67487963749645996</v>
      </c>
      <c r="O1572" s="22">
        <f t="shared" si="145"/>
        <v>0.74611833822912299</v>
      </c>
      <c r="P1572" s="23">
        <f t="shared" si="146"/>
        <v>1.7107259756609301</v>
      </c>
      <c r="Q1572" s="23">
        <f t="shared" si="147"/>
        <v>2.2928346456692901</v>
      </c>
      <c r="R1572" s="22">
        <f t="shared" si="148"/>
        <v>1.8791118219326599</v>
      </c>
      <c r="S1572" s="22">
        <f t="shared" si="149"/>
        <v>2.8791118219326601</v>
      </c>
    </row>
    <row r="1573" spans="1:19">
      <c r="A1573" s="18" t="s">
        <v>1612</v>
      </c>
      <c r="B1573" s="18" t="s">
        <v>40</v>
      </c>
      <c r="C1573" s="18" t="s">
        <v>29</v>
      </c>
      <c r="D1573" s="19">
        <v>44979</v>
      </c>
      <c r="E1573" s="20">
        <v>45591</v>
      </c>
      <c r="F1573" s="21">
        <v>57771.199999999997</v>
      </c>
      <c r="G1573" s="21">
        <v>44387.199999999997</v>
      </c>
      <c r="H1573" s="21">
        <v>32774.400000000001</v>
      </c>
      <c r="I1573" s="18">
        <v>7710.7839999999997</v>
      </c>
      <c r="J1573" s="18">
        <v>29002.592000000001</v>
      </c>
      <c r="K1573" s="18" t="s">
        <v>38</v>
      </c>
      <c r="L1573" s="18" t="s">
        <v>31</v>
      </c>
      <c r="M1573" s="18" t="s">
        <v>32</v>
      </c>
      <c r="N1573" s="22">
        <f t="shared" si="144"/>
        <v>0.76832747112748201</v>
      </c>
      <c r="O1573" s="22">
        <f t="shared" si="145"/>
        <v>0.73837502703482105</v>
      </c>
      <c r="P1573" s="23">
        <f t="shared" si="146"/>
        <v>0.173716386706077</v>
      </c>
      <c r="Q1573" s="23">
        <f t="shared" si="147"/>
        <v>0.23526850224565499</v>
      </c>
      <c r="R1573" s="22">
        <f t="shared" si="148"/>
        <v>2.7613026120301098</v>
      </c>
      <c r="S1573" s="22">
        <f t="shared" si="149"/>
        <v>3.7613026120301098</v>
      </c>
    </row>
    <row r="1574" spans="1:19">
      <c r="A1574" s="18" t="s">
        <v>1613</v>
      </c>
      <c r="B1574" s="18" t="s">
        <v>47</v>
      </c>
      <c r="C1574" s="18" t="s">
        <v>48</v>
      </c>
      <c r="D1574" s="19">
        <v>44823</v>
      </c>
      <c r="E1574" s="20">
        <v>45452</v>
      </c>
      <c r="F1574" s="21">
        <v>34984</v>
      </c>
      <c r="G1574" s="21">
        <v>7286.4</v>
      </c>
      <c r="H1574" s="21">
        <v>5864</v>
      </c>
      <c r="I1574" s="18">
        <v>7318.1760000000004</v>
      </c>
      <c r="J1574" s="18">
        <v>9984.7520000000004</v>
      </c>
      <c r="K1574" s="18" t="s">
        <v>30</v>
      </c>
      <c r="L1574" s="18" t="s">
        <v>50</v>
      </c>
      <c r="M1574" s="18" t="s">
        <v>24</v>
      </c>
      <c r="N1574" s="22">
        <f t="shared" si="144"/>
        <v>0.20827806997484599</v>
      </c>
      <c r="O1574" s="22">
        <f t="shared" si="145"/>
        <v>0.80478700043917395</v>
      </c>
      <c r="P1574" s="23">
        <f t="shared" si="146"/>
        <v>1.0043610013175199</v>
      </c>
      <c r="Q1574" s="23">
        <f t="shared" si="147"/>
        <v>1.2479836289222399</v>
      </c>
      <c r="R1574" s="22">
        <f t="shared" si="148"/>
        <v>0.364377134411635</v>
      </c>
      <c r="S1574" s="22">
        <f t="shared" si="149"/>
        <v>1.36437713441163</v>
      </c>
    </row>
    <row r="1575" spans="1:19">
      <c r="A1575" s="18" t="s">
        <v>1614</v>
      </c>
      <c r="B1575" s="18" t="s">
        <v>26</v>
      </c>
      <c r="C1575" s="18" t="s">
        <v>21</v>
      </c>
      <c r="D1575" s="19">
        <v>44938</v>
      </c>
      <c r="E1575" s="20">
        <v>45558</v>
      </c>
      <c r="F1575" s="21">
        <v>69816</v>
      </c>
      <c r="G1575" s="21">
        <v>20115.2</v>
      </c>
      <c r="H1575" s="21">
        <v>5993.6</v>
      </c>
      <c r="I1575" s="18">
        <v>3928.7040000000002</v>
      </c>
      <c r="J1575" s="18">
        <v>4940.1279999999997</v>
      </c>
      <c r="K1575" s="18" t="s">
        <v>22</v>
      </c>
      <c r="L1575" s="18" t="s">
        <v>44</v>
      </c>
      <c r="M1575" s="18" t="s">
        <v>24</v>
      </c>
      <c r="N1575" s="22">
        <f t="shared" si="144"/>
        <v>0.28811733700011499</v>
      </c>
      <c r="O1575" s="22">
        <f t="shared" si="145"/>
        <v>0.29796372892141298</v>
      </c>
      <c r="P1575" s="23">
        <f t="shared" si="146"/>
        <v>0.19531021317212899</v>
      </c>
      <c r="Q1575" s="23">
        <f t="shared" si="147"/>
        <v>0.65548318206086498</v>
      </c>
      <c r="R1575" s="22">
        <f t="shared" si="148"/>
        <v>0.25744469422995497</v>
      </c>
      <c r="S1575" s="22">
        <f t="shared" si="149"/>
        <v>1.25744469422995</v>
      </c>
    </row>
    <row r="1576" spans="1:19">
      <c r="A1576" s="18" t="s">
        <v>1615</v>
      </c>
      <c r="B1576" s="18" t="s">
        <v>47</v>
      </c>
      <c r="C1576" s="18" t="s">
        <v>41</v>
      </c>
      <c r="D1576" s="19">
        <v>44890</v>
      </c>
      <c r="E1576" s="20">
        <v>45511</v>
      </c>
      <c r="F1576" s="21">
        <v>69294.399999999994</v>
      </c>
      <c r="G1576" s="21">
        <v>37812.800000000003</v>
      </c>
      <c r="H1576" s="21">
        <v>21766.400000000001</v>
      </c>
      <c r="I1576" s="18">
        <v>665.44</v>
      </c>
      <c r="J1576" s="18">
        <v>1274.8320000000001</v>
      </c>
      <c r="K1576" s="18" t="s">
        <v>22</v>
      </c>
      <c r="L1576" s="18" t="s">
        <v>50</v>
      </c>
      <c r="M1576" s="18" t="s">
        <v>24</v>
      </c>
      <c r="N1576" s="22">
        <f t="shared" si="144"/>
        <v>0.54568334526310902</v>
      </c>
      <c r="O1576" s="22">
        <f t="shared" si="145"/>
        <v>0.57563576355096702</v>
      </c>
      <c r="P1576" s="23">
        <f t="shared" si="146"/>
        <v>1.7598273600473901E-2</v>
      </c>
      <c r="Q1576" s="23">
        <f t="shared" si="147"/>
        <v>3.0571890620405801E-2</v>
      </c>
      <c r="R1576" s="22">
        <f t="shared" si="148"/>
        <v>0.91577302236114499</v>
      </c>
      <c r="S1576" s="22">
        <f t="shared" si="149"/>
        <v>1.91577302236114</v>
      </c>
    </row>
    <row r="1577" spans="1:19">
      <c r="A1577" s="18" t="s">
        <v>1616</v>
      </c>
      <c r="B1577" s="18" t="s">
        <v>28</v>
      </c>
      <c r="C1577" s="18" t="s">
        <v>48</v>
      </c>
      <c r="D1577" s="19">
        <v>44893</v>
      </c>
      <c r="E1577" s="20">
        <v>45523</v>
      </c>
      <c r="F1577" s="21">
        <v>1787.2</v>
      </c>
      <c r="G1577" s="21">
        <v>1451.2</v>
      </c>
      <c r="H1577" s="21">
        <v>425.6</v>
      </c>
      <c r="I1577" s="18">
        <v>227.24799999999999</v>
      </c>
      <c r="J1577" s="18">
        <v>441.34399999999999</v>
      </c>
      <c r="K1577" s="18" t="s">
        <v>30</v>
      </c>
      <c r="L1577" s="18" t="s">
        <v>31</v>
      </c>
      <c r="M1577" s="18" t="s">
        <v>32</v>
      </c>
      <c r="N1577" s="22">
        <f t="shared" si="144"/>
        <v>0.811996418979409</v>
      </c>
      <c r="O1577" s="22">
        <f t="shared" si="145"/>
        <v>0.293274531422271</v>
      </c>
      <c r="P1577" s="23">
        <f t="shared" si="146"/>
        <v>0.15659316427783901</v>
      </c>
      <c r="Q1577" s="23">
        <f t="shared" si="147"/>
        <v>0.53394736842105295</v>
      </c>
      <c r="R1577" s="22">
        <f t="shared" si="148"/>
        <v>0.94212490318946696</v>
      </c>
      <c r="S1577" s="22">
        <f t="shared" si="149"/>
        <v>1.9421249031894701</v>
      </c>
    </row>
    <row r="1578" spans="1:19">
      <c r="A1578" s="18" t="s">
        <v>1617</v>
      </c>
      <c r="B1578" s="18" t="s">
        <v>20</v>
      </c>
      <c r="C1578" s="18" t="s">
        <v>48</v>
      </c>
      <c r="D1578" s="19">
        <v>44798</v>
      </c>
      <c r="E1578" s="20">
        <v>45412</v>
      </c>
      <c r="F1578" s="21">
        <v>59553.599999999999</v>
      </c>
      <c r="G1578" s="21">
        <v>49049.599999999999</v>
      </c>
      <c r="H1578" s="21">
        <v>37515.199999999997</v>
      </c>
      <c r="I1578" s="18">
        <v>7799.1360000000004</v>
      </c>
      <c r="J1578" s="18">
        <v>24000.464</v>
      </c>
      <c r="K1578" s="18" t="s">
        <v>30</v>
      </c>
      <c r="L1578" s="18" t="s">
        <v>23</v>
      </c>
      <c r="M1578" s="18" t="s">
        <v>32</v>
      </c>
      <c r="N1578" s="22">
        <f t="shared" si="144"/>
        <v>0.82362107412482199</v>
      </c>
      <c r="O1578" s="22">
        <f t="shared" si="145"/>
        <v>0.76484211899791199</v>
      </c>
      <c r="P1578" s="23">
        <f t="shared" si="146"/>
        <v>0.159005088726514</v>
      </c>
      <c r="Q1578" s="23">
        <f t="shared" si="147"/>
        <v>0.20789269416129999</v>
      </c>
      <c r="R1578" s="22">
        <f t="shared" si="148"/>
        <v>2.07732343685249</v>
      </c>
      <c r="S1578" s="22">
        <f t="shared" si="149"/>
        <v>3.07732343685249</v>
      </c>
    </row>
    <row r="1579" spans="1:19">
      <c r="A1579" s="18" t="s">
        <v>1618</v>
      </c>
      <c r="B1579" s="18" t="s">
        <v>34</v>
      </c>
      <c r="C1579" s="18" t="s">
        <v>29</v>
      </c>
      <c r="D1579" s="19">
        <v>44719</v>
      </c>
      <c r="E1579" s="20">
        <v>45326</v>
      </c>
      <c r="F1579" s="21">
        <v>10934.4</v>
      </c>
      <c r="G1579" s="21">
        <v>7244.8</v>
      </c>
      <c r="H1579" s="21">
        <v>3217.6</v>
      </c>
      <c r="I1579" s="18">
        <v>2627.1840000000002</v>
      </c>
      <c r="J1579" s="18">
        <v>3413.808</v>
      </c>
      <c r="K1579" s="18" t="s">
        <v>38</v>
      </c>
      <c r="L1579" s="18" t="s">
        <v>35</v>
      </c>
      <c r="M1579" s="18" t="s">
        <v>24</v>
      </c>
      <c r="N1579" s="22">
        <f t="shared" si="144"/>
        <v>0.66256950541410597</v>
      </c>
      <c r="O1579" s="22">
        <f t="shared" si="145"/>
        <v>0.44412544169611301</v>
      </c>
      <c r="P1579" s="23">
        <f t="shared" si="146"/>
        <v>0.36263030035335703</v>
      </c>
      <c r="Q1579" s="23">
        <f t="shared" si="147"/>
        <v>0.81650422675285905</v>
      </c>
      <c r="R1579" s="22">
        <f t="shared" si="148"/>
        <v>0.29941717062832301</v>
      </c>
      <c r="S1579" s="22">
        <f t="shared" si="149"/>
        <v>1.29941717062832</v>
      </c>
    </row>
    <row r="1580" spans="1:19">
      <c r="A1580" s="18" t="s">
        <v>1619</v>
      </c>
      <c r="B1580" s="18" t="s">
        <v>26</v>
      </c>
      <c r="C1580" s="18" t="s">
        <v>48</v>
      </c>
      <c r="D1580" s="19">
        <v>44907</v>
      </c>
      <c r="E1580" s="20">
        <v>45528</v>
      </c>
      <c r="F1580" s="21">
        <v>32766.400000000001</v>
      </c>
      <c r="G1580" s="21">
        <v>20825.599999999999</v>
      </c>
      <c r="H1580" s="21">
        <v>5096</v>
      </c>
      <c r="I1580" s="18">
        <v>7303.2160000000003</v>
      </c>
      <c r="J1580" s="18">
        <v>19571.919999999998</v>
      </c>
      <c r="K1580" s="18" t="s">
        <v>22</v>
      </c>
      <c r="L1580" s="18" t="s">
        <v>35</v>
      </c>
      <c r="M1580" s="18" t="s">
        <v>24</v>
      </c>
      <c r="N1580" s="22">
        <f t="shared" si="144"/>
        <v>0.63557790907759204</v>
      </c>
      <c r="O1580" s="22">
        <f t="shared" si="145"/>
        <v>0.244698832206515</v>
      </c>
      <c r="P1580" s="23">
        <f t="shared" si="146"/>
        <v>0.35068454210202799</v>
      </c>
      <c r="Q1580" s="23">
        <f t="shared" si="147"/>
        <v>1.4331271585557299</v>
      </c>
      <c r="R1580" s="22">
        <f t="shared" si="148"/>
        <v>1.6799043051718601</v>
      </c>
      <c r="S1580" s="22">
        <f t="shared" si="149"/>
        <v>2.6799043051718598</v>
      </c>
    </row>
    <row r="1581" spans="1:19">
      <c r="A1581" s="18" t="s">
        <v>1620</v>
      </c>
      <c r="B1581" s="18" t="s">
        <v>26</v>
      </c>
      <c r="C1581" s="18" t="s">
        <v>48</v>
      </c>
      <c r="D1581" s="19">
        <v>44969</v>
      </c>
      <c r="E1581" s="20">
        <v>45579</v>
      </c>
      <c r="F1581" s="21">
        <v>58364.800000000003</v>
      </c>
      <c r="G1581" s="21">
        <v>28769.599999999999</v>
      </c>
      <c r="H1581" s="21">
        <v>396.8</v>
      </c>
      <c r="I1581" s="18">
        <v>5578.4960000000001</v>
      </c>
      <c r="J1581" s="18">
        <v>15309.376</v>
      </c>
      <c r="K1581" s="18" t="s">
        <v>22</v>
      </c>
      <c r="L1581" s="18" t="s">
        <v>50</v>
      </c>
      <c r="M1581" s="18" t="s">
        <v>32</v>
      </c>
      <c r="N1581" s="22">
        <f t="shared" si="144"/>
        <v>0.49292724381819197</v>
      </c>
      <c r="O1581" s="22">
        <f t="shared" si="145"/>
        <v>1.37923363550414E-2</v>
      </c>
      <c r="P1581" s="23">
        <f t="shared" si="146"/>
        <v>0.193902452588844</v>
      </c>
      <c r="Q1581" s="23">
        <f t="shared" si="147"/>
        <v>14.058709677419399</v>
      </c>
      <c r="R1581" s="22">
        <f t="shared" si="148"/>
        <v>1.7443554678537001</v>
      </c>
      <c r="S1581" s="22">
        <f t="shared" si="149"/>
        <v>2.7443554678536999</v>
      </c>
    </row>
    <row r="1582" spans="1:19">
      <c r="A1582" s="18" t="s">
        <v>1621</v>
      </c>
      <c r="B1582" s="18" t="s">
        <v>34</v>
      </c>
      <c r="C1582" s="18" t="s">
        <v>48</v>
      </c>
      <c r="D1582" s="19">
        <v>44921</v>
      </c>
      <c r="E1582" s="20">
        <v>45547</v>
      </c>
      <c r="F1582" s="21">
        <v>6878.4</v>
      </c>
      <c r="G1582" s="21">
        <v>3596.8</v>
      </c>
      <c r="H1582" s="21">
        <v>3227.2</v>
      </c>
      <c r="I1582" s="18">
        <v>4620.6719999999996</v>
      </c>
      <c r="J1582" s="18">
        <v>8071.424</v>
      </c>
      <c r="K1582" s="18" t="s">
        <v>30</v>
      </c>
      <c r="L1582" s="18" t="s">
        <v>44</v>
      </c>
      <c r="M1582" s="18" t="s">
        <v>32</v>
      </c>
      <c r="N1582" s="22">
        <f t="shared" si="144"/>
        <v>0.52291230518725296</v>
      </c>
      <c r="O1582" s="22">
        <f t="shared" si="145"/>
        <v>0.89724199288256201</v>
      </c>
      <c r="P1582" s="23">
        <f t="shared" si="146"/>
        <v>1.2846619217081801</v>
      </c>
      <c r="Q1582" s="23">
        <f t="shared" si="147"/>
        <v>1.4317897868120999</v>
      </c>
      <c r="R1582" s="22">
        <f t="shared" si="148"/>
        <v>0.74680739078644898</v>
      </c>
      <c r="S1582" s="22">
        <f t="shared" si="149"/>
        <v>1.7468073907864501</v>
      </c>
    </row>
    <row r="1583" spans="1:19">
      <c r="A1583" s="18" t="s">
        <v>1622</v>
      </c>
      <c r="B1583" s="18" t="s">
        <v>34</v>
      </c>
      <c r="C1583" s="18" t="s">
        <v>41</v>
      </c>
      <c r="D1583" s="19">
        <v>44913</v>
      </c>
      <c r="E1583" s="20">
        <v>45515</v>
      </c>
      <c r="F1583" s="21">
        <v>58420.800000000003</v>
      </c>
      <c r="G1583" s="21">
        <v>17889.599999999999</v>
      </c>
      <c r="H1583" s="21">
        <v>6801.6</v>
      </c>
      <c r="I1583" s="18">
        <v>689.23199999999997</v>
      </c>
      <c r="J1583" s="18">
        <v>2741.84</v>
      </c>
      <c r="K1583" s="18" t="s">
        <v>30</v>
      </c>
      <c r="L1583" s="18" t="s">
        <v>35</v>
      </c>
      <c r="M1583" s="18" t="s">
        <v>32</v>
      </c>
      <c r="N1583" s="22">
        <f t="shared" si="144"/>
        <v>0.30621970257168701</v>
      </c>
      <c r="O1583" s="22">
        <f t="shared" si="145"/>
        <v>0.38019855111349599</v>
      </c>
      <c r="P1583" s="23">
        <f t="shared" si="146"/>
        <v>3.8526965387711297E-2</v>
      </c>
      <c r="Q1583" s="23">
        <f t="shared" si="147"/>
        <v>0.101333803810868</v>
      </c>
      <c r="R1583" s="22">
        <f t="shared" si="148"/>
        <v>2.9781089676625601</v>
      </c>
      <c r="S1583" s="22">
        <f t="shared" si="149"/>
        <v>3.9781089676625601</v>
      </c>
    </row>
    <row r="1584" spans="1:19">
      <c r="A1584" s="18" t="s">
        <v>1623</v>
      </c>
      <c r="B1584" s="18" t="s">
        <v>20</v>
      </c>
      <c r="C1584" s="18" t="s">
        <v>29</v>
      </c>
      <c r="D1584" s="19">
        <v>44899</v>
      </c>
      <c r="E1584" s="20">
        <v>45520</v>
      </c>
      <c r="F1584" s="21">
        <v>57892.800000000003</v>
      </c>
      <c r="G1584" s="21">
        <v>15372.8</v>
      </c>
      <c r="H1584" s="21">
        <v>13243.2</v>
      </c>
      <c r="I1584" s="18">
        <v>5939.9359999999997</v>
      </c>
      <c r="J1584" s="18">
        <v>15732.656000000001</v>
      </c>
      <c r="K1584" s="18" t="s">
        <v>22</v>
      </c>
      <c r="L1584" s="18" t="s">
        <v>31</v>
      </c>
      <c r="M1584" s="18" t="s">
        <v>24</v>
      </c>
      <c r="N1584" s="22">
        <f t="shared" si="144"/>
        <v>0.26553906530691201</v>
      </c>
      <c r="O1584" s="22">
        <f t="shared" si="145"/>
        <v>0.86146960865945099</v>
      </c>
      <c r="P1584" s="23">
        <f t="shared" si="146"/>
        <v>0.386392589508743</v>
      </c>
      <c r="Q1584" s="23">
        <f t="shared" si="147"/>
        <v>0.44852724417059298</v>
      </c>
      <c r="R1584" s="22">
        <f t="shared" si="148"/>
        <v>1.64862382355635</v>
      </c>
      <c r="S1584" s="22">
        <f t="shared" si="149"/>
        <v>2.64862382355635</v>
      </c>
    </row>
    <row r="1585" spans="1:19">
      <c r="A1585" s="18" t="s">
        <v>1624</v>
      </c>
      <c r="B1585" s="18" t="s">
        <v>40</v>
      </c>
      <c r="C1585" s="18" t="s">
        <v>48</v>
      </c>
      <c r="D1585" s="19">
        <v>44821</v>
      </c>
      <c r="E1585" s="20">
        <v>45436</v>
      </c>
      <c r="F1585" s="21">
        <v>16640</v>
      </c>
      <c r="G1585" s="21">
        <v>16395.2</v>
      </c>
      <c r="H1585" s="21">
        <v>13939.2</v>
      </c>
      <c r="I1585" s="18">
        <v>2638.08</v>
      </c>
      <c r="J1585" s="18">
        <v>9789.7440000000006</v>
      </c>
      <c r="K1585" s="18" t="s">
        <v>43</v>
      </c>
      <c r="L1585" s="18" t="s">
        <v>50</v>
      </c>
      <c r="M1585" s="18" t="s">
        <v>32</v>
      </c>
      <c r="N1585" s="22">
        <f t="shared" si="144"/>
        <v>0.98528846153846195</v>
      </c>
      <c r="O1585" s="22">
        <f t="shared" si="145"/>
        <v>0.85020005855372305</v>
      </c>
      <c r="P1585" s="23">
        <f t="shared" si="146"/>
        <v>0.160905630916366</v>
      </c>
      <c r="Q1585" s="23">
        <f t="shared" si="147"/>
        <v>0.189256198347107</v>
      </c>
      <c r="R1585" s="22">
        <f t="shared" si="148"/>
        <v>2.7109352256186301</v>
      </c>
      <c r="S1585" s="22">
        <f t="shared" si="149"/>
        <v>3.7109352256186301</v>
      </c>
    </row>
    <row r="1586" spans="1:19">
      <c r="A1586" s="18" t="s">
        <v>1625</v>
      </c>
      <c r="B1586" s="18" t="s">
        <v>47</v>
      </c>
      <c r="C1586" s="18" t="s">
        <v>29</v>
      </c>
      <c r="D1586" s="19">
        <v>44983</v>
      </c>
      <c r="E1586" s="20">
        <v>45603</v>
      </c>
      <c r="F1586" s="21">
        <v>16139.2</v>
      </c>
      <c r="G1586" s="21">
        <v>7531.2</v>
      </c>
      <c r="H1586" s="21">
        <v>923.2</v>
      </c>
      <c r="I1586" s="18">
        <v>306.88</v>
      </c>
      <c r="J1586" s="18">
        <v>593.40800000000002</v>
      </c>
      <c r="K1586" s="18" t="s">
        <v>22</v>
      </c>
      <c r="L1586" s="18" t="s">
        <v>31</v>
      </c>
      <c r="M1586" s="18" t="s">
        <v>24</v>
      </c>
      <c r="N1586" s="22">
        <f t="shared" si="144"/>
        <v>0.466640229999009</v>
      </c>
      <c r="O1586" s="22">
        <f t="shared" si="145"/>
        <v>0.12258338644571901</v>
      </c>
      <c r="P1586" s="23">
        <f t="shared" si="146"/>
        <v>4.0747822392181901E-2</v>
      </c>
      <c r="Q1586" s="23">
        <f t="shared" si="147"/>
        <v>0.33240901213171598</v>
      </c>
      <c r="R1586" s="22">
        <f t="shared" si="148"/>
        <v>0.93368091762252403</v>
      </c>
      <c r="S1586" s="22">
        <f t="shared" si="149"/>
        <v>1.93368091762252</v>
      </c>
    </row>
    <row r="1587" spans="1:19">
      <c r="A1587" s="18" t="s">
        <v>1626</v>
      </c>
      <c r="B1587" s="18" t="s">
        <v>34</v>
      </c>
      <c r="C1587" s="18" t="s">
        <v>21</v>
      </c>
      <c r="D1587" s="19">
        <v>44804</v>
      </c>
      <c r="E1587" s="20">
        <v>45413</v>
      </c>
      <c r="F1587" s="21">
        <v>67121.600000000006</v>
      </c>
      <c r="G1587" s="21">
        <v>52470.400000000001</v>
      </c>
      <c r="H1587" s="21">
        <v>21924.799999999999</v>
      </c>
      <c r="I1587" s="18">
        <v>7844.6559999999999</v>
      </c>
      <c r="J1587" s="18">
        <v>23315.360000000001</v>
      </c>
      <c r="K1587" s="18" t="s">
        <v>65</v>
      </c>
      <c r="L1587" s="18" t="s">
        <v>35</v>
      </c>
      <c r="M1587" s="18" t="s">
        <v>24</v>
      </c>
      <c r="N1587" s="22">
        <f t="shared" si="144"/>
        <v>0.78172153226383201</v>
      </c>
      <c r="O1587" s="22">
        <f t="shared" si="145"/>
        <v>0.417850826370678</v>
      </c>
      <c r="P1587" s="23">
        <f t="shared" si="146"/>
        <v>0.14950631213026799</v>
      </c>
      <c r="Q1587" s="23">
        <f t="shared" si="147"/>
        <v>0.35779829234474197</v>
      </c>
      <c r="R1587" s="22">
        <f t="shared" si="148"/>
        <v>1.97213287618985</v>
      </c>
      <c r="S1587" s="22">
        <f t="shared" si="149"/>
        <v>2.9721328761898498</v>
      </c>
    </row>
    <row r="1588" spans="1:19">
      <c r="A1588" s="18" t="s">
        <v>1627</v>
      </c>
      <c r="B1588" s="18" t="s">
        <v>28</v>
      </c>
      <c r="C1588" s="18" t="s">
        <v>48</v>
      </c>
      <c r="D1588" s="19">
        <v>44804</v>
      </c>
      <c r="E1588" s="20">
        <v>45425</v>
      </c>
      <c r="F1588" s="21">
        <v>11419.2</v>
      </c>
      <c r="G1588" s="21">
        <v>10267.200000000001</v>
      </c>
      <c r="H1588" s="21">
        <v>3945.6</v>
      </c>
      <c r="I1588" s="18">
        <v>4088.08</v>
      </c>
      <c r="J1588" s="18">
        <v>6540.8</v>
      </c>
      <c r="K1588" s="18" t="s">
        <v>38</v>
      </c>
      <c r="L1588" s="18" t="s">
        <v>35</v>
      </c>
      <c r="M1588" s="18" t="s">
        <v>32</v>
      </c>
      <c r="N1588" s="22">
        <f t="shared" si="144"/>
        <v>0.89911727616645698</v>
      </c>
      <c r="O1588" s="22">
        <f t="shared" si="145"/>
        <v>0.384291725105189</v>
      </c>
      <c r="P1588" s="23">
        <f t="shared" si="146"/>
        <v>0.39816892628954298</v>
      </c>
      <c r="Q1588" s="23">
        <f t="shared" si="147"/>
        <v>1.0361111111111101</v>
      </c>
      <c r="R1588" s="22">
        <f t="shared" si="148"/>
        <v>0.59996868945813198</v>
      </c>
      <c r="S1588" s="22">
        <f t="shared" si="149"/>
        <v>1.59996868945813</v>
      </c>
    </row>
    <row r="1589" spans="1:19">
      <c r="A1589" s="18" t="s">
        <v>1628</v>
      </c>
      <c r="B1589" s="18" t="s">
        <v>47</v>
      </c>
      <c r="C1589" s="18" t="s">
        <v>21</v>
      </c>
      <c r="D1589" s="19">
        <v>44897</v>
      </c>
      <c r="E1589" s="20">
        <v>45506</v>
      </c>
      <c r="F1589" s="21">
        <v>75027.199999999997</v>
      </c>
      <c r="G1589" s="21">
        <v>61240</v>
      </c>
      <c r="H1589" s="21">
        <v>53995.199999999997</v>
      </c>
      <c r="I1589" s="18">
        <v>7139.8559999999998</v>
      </c>
      <c r="J1589" s="18">
        <v>16597.583999999999</v>
      </c>
      <c r="K1589" s="18" t="s">
        <v>30</v>
      </c>
      <c r="L1589" s="18" t="s">
        <v>44</v>
      </c>
      <c r="M1589" s="18" t="s">
        <v>32</v>
      </c>
      <c r="N1589" s="22">
        <f t="shared" si="144"/>
        <v>0.81623731126844701</v>
      </c>
      <c r="O1589" s="22">
        <f t="shared" si="145"/>
        <v>0.88169823644676704</v>
      </c>
      <c r="P1589" s="23">
        <f t="shared" si="146"/>
        <v>0.116588112344873</v>
      </c>
      <c r="Q1589" s="23">
        <f t="shared" si="147"/>
        <v>0.132231309449729</v>
      </c>
      <c r="R1589" s="22">
        <f t="shared" si="148"/>
        <v>1.3246384801038</v>
      </c>
      <c r="S1589" s="22">
        <f t="shared" si="149"/>
        <v>2.3246384801038</v>
      </c>
    </row>
    <row r="1590" spans="1:19">
      <c r="A1590" s="18" t="s">
        <v>1629</v>
      </c>
      <c r="B1590" s="18" t="s">
        <v>40</v>
      </c>
      <c r="C1590" s="18" t="s">
        <v>41</v>
      </c>
      <c r="D1590" s="19">
        <v>44839</v>
      </c>
      <c r="E1590" s="20">
        <v>45460</v>
      </c>
      <c r="F1590" s="21">
        <v>41393.599999999999</v>
      </c>
      <c r="G1590" s="21">
        <v>28168</v>
      </c>
      <c r="H1590" s="21">
        <v>19656</v>
      </c>
      <c r="I1590" s="18">
        <v>5855.232</v>
      </c>
      <c r="J1590" s="18">
        <v>20412.256000000001</v>
      </c>
      <c r="K1590" s="18" t="s">
        <v>43</v>
      </c>
      <c r="L1590" s="18" t="s">
        <v>44</v>
      </c>
      <c r="M1590" s="18" t="s">
        <v>24</v>
      </c>
      <c r="N1590" s="22">
        <f t="shared" si="144"/>
        <v>0.68049167020988799</v>
      </c>
      <c r="O1590" s="22">
        <f t="shared" si="145"/>
        <v>0.69781312127236605</v>
      </c>
      <c r="P1590" s="23">
        <f t="shared" si="146"/>
        <v>0.20786821925589299</v>
      </c>
      <c r="Q1590" s="23">
        <f t="shared" si="147"/>
        <v>0.29788522588522598</v>
      </c>
      <c r="R1590" s="22">
        <f t="shared" si="148"/>
        <v>2.4861566544246201</v>
      </c>
      <c r="S1590" s="22">
        <f t="shared" si="149"/>
        <v>3.4861566544246201</v>
      </c>
    </row>
    <row r="1591" spans="1:19">
      <c r="A1591" s="18" t="s">
        <v>1630</v>
      </c>
      <c r="B1591" s="18" t="s">
        <v>40</v>
      </c>
      <c r="C1591" s="18" t="s">
        <v>29</v>
      </c>
      <c r="D1591" s="19">
        <v>44745</v>
      </c>
      <c r="E1591" s="20">
        <v>45375</v>
      </c>
      <c r="F1591" s="21">
        <v>21792</v>
      </c>
      <c r="G1591" s="21">
        <v>5467.2</v>
      </c>
      <c r="H1591" s="21">
        <v>4606.3999999999996</v>
      </c>
      <c r="I1591" s="18">
        <v>7928.1440000000002</v>
      </c>
      <c r="J1591" s="18">
        <v>19262.96</v>
      </c>
      <c r="K1591" s="18" t="s">
        <v>38</v>
      </c>
      <c r="L1591" s="18" t="s">
        <v>31</v>
      </c>
      <c r="M1591" s="18" t="s">
        <v>32</v>
      </c>
      <c r="N1591" s="22">
        <f t="shared" si="144"/>
        <v>0.25088105726872201</v>
      </c>
      <c r="O1591" s="22">
        <f t="shared" si="145"/>
        <v>0.84255194615159501</v>
      </c>
      <c r="P1591" s="23">
        <f t="shared" si="146"/>
        <v>1.4501287679250801</v>
      </c>
      <c r="Q1591" s="23">
        <f t="shared" si="147"/>
        <v>1.7211149704758599</v>
      </c>
      <c r="R1591" s="22">
        <f t="shared" si="148"/>
        <v>1.4296935070806001</v>
      </c>
      <c r="S1591" s="22">
        <f t="shared" si="149"/>
        <v>2.4296935070806001</v>
      </c>
    </row>
    <row r="1592" spans="1:19">
      <c r="A1592" s="18" t="s">
        <v>1631</v>
      </c>
      <c r="B1592" s="18" t="s">
        <v>26</v>
      </c>
      <c r="C1592" s="18" t="s">
        <v>48</v>
      </c>
      <c r="D1592" s="19">
        <v>44885</v>
      </c>
      <c r="E1592" s="20">
        <v>45515</v>
      </c>
      <c r="F1592" s="21">
        <v>23600</v>
      </c>
      <c r="G1592" s="21">
        <v>11622.4</v>
      </c>
      <c r="H1592" s="21">
        <v>8336</v>
      </c>
      <c r="I1592" s="18">
        <v>1516.88</v>
      </c>
      <c r="J1592" s="18">
        <v>5363.8720000000003</v>
      </c>
      <c r="K1592" s="18" t="s">
        <v>43</v>
      </c>
      <c r="L1592" s="18" t="s">
        <v>35</v>
      </c>
      <c r="M1592" s="18" t="s">
        <v>32</v>
      </c>
      <c r="N1592" s="22">
        <f t="shared" si="144"/>
        <v>0.49247457627118602</v>
      </c>
      <c r="O1592" s="22">
        <f t="shared" si="145"/>
        <v>0.71723568281938299</v>
      </c>
      <c r="P1592" s="23">
        <f t="shared" si="146"/>
        <v>0.13051349118942701</v>
      </c>
      <c r="Q1592" s="23">
        <f t="shared" si="147"/>
        <v>0.181967370441459</v>
      </c>
      <c r="R1592" s="22">
        <f t="shared" si="148"/>
        <v>2.53612151257845</v>
      </c>
      <c r="S1592" s="22">
        <f t="shared" si="149"/>
        <v>3.53612151257845</v>
      </c>
    </row>
    <row r="1593" spans="1:19">
      <c r="A1593" s="18" t="s">
        <v>1632</v>
      </c>
      <c r="B1593" s="18" t="s">
        <v>40</v>
      </c>
      <c r="C1593" s="18" t="s">
        <v>41</v>
      </c>
      <c r="D1593" s="19">
        <v>44847</v>
      </c>
      <c r="E1593" s="20">
        <v>45468</v>
      </c>
      <c r="F1593" s="21">
        <v>54267.199999999997</v>
      </c>
      <c r="G1593" s="21">
        <v>6873.6</v>
      </c>
      <c r="H1593" s="21">
        <v>1457.6</v>
      </c>
      <c r="I1593" s="18">
        <v>5751.6319999999996</v>
      </c>
      <c r="J1593" s="18">
        <v>9670.0640000000003</v>
      </c>
      <c r="K1593" s="18" t="s">
        <v>65</v>
      </c>
      <c r="L1593" s="18" t="s">
        <v>50</v>
      </c>
      <c r="M1593" s="18" t="s">
        <v>32</v>
      </c>
      <c r="N1593" s="22">
        <f t="shared" si="144"/>
        <v>0.12666214582657701</v>
      </c>
      <c r="O1593" s="22">
        <f t="shared" si="145"/>
        <v>0.212057728119181</v>
      </c>
      <c r="P1593" s="23">
        <f t="shared" si="146"/>
        <v>0.83677141527001897</v>
      </c>
      <c r="Q1593" s="23">
        <f t="shared" si="147"/>
        <v>3.94596048298573</v>
      </c>
      <c r="R1593" s="22">
        <f t="shared" si="148"/>
        <v>0.68127307171251605</v>
      </c>
      <c r="S1593" s="22">
        <f t="shared" si="149"/>
        <v>1.6812730717125199</v>
      </c>
    </row>
    <row r="1594" spans="1:19">
      <c r="A1594" s="18" t="s">
        <v>1633</v>
      </c>
      <c r="B1594" s="18" t="s">
        <v>47</v>
      </c>
      <c r="C1594" s="18" t="s">
        <v>48</v>
      </c>
      <c r="D1594" s="19">
        <v>44821</v>
      </c>
      <c r="E1594" s="20">
        <v>45438</v>
      </c>
      <c r="F1594" s="21">
        <v>55160</v>
      </c>
      <c r="G1594" s="21">
        <v>6803.2</v>
      </c>
      <c r="H1594" s="21">
        <v>310.39999999999998</v>
      </c>
      <c r="I1594" s="18">
        <v>5868.192</v>
      </c>
      <c r="J1594" s="18">
        <v>22476.256000000001</v>
      </c>
      <c r="K1594" s="18" t="s">
        <v>22</v>
      </c>
      <c r="L1594" s="18" t="s">
        <v>31</v>
      </c>
      <c r="M1594" s="18" t="s">
        <v>32</v>
      </c>
      <c r="N1594" s="22">
        <f t="shared" si="144"/>
        <v>0.123335750543872</v>
      </c>
      <c r="O1594" s="22">
        <f t="shared" si="145"/>
        <v>4.5625587958607702E-2</v>
      </c>
      <c r="P1594" s="23">
        <f t="shared" si="146"/>
        <v>0.86256349952963296</v>
      </c>
      <c r="Q1594" s="23">
        <f t="shared" si="147"/>
        <v>18.905257731958802</v>
      </c>
      <c r="R1594" s="22">
        <f t="shared" si="148"/>
        <v>2.83018415212045</v>
      </c>
      <c r="S1594" s="22">
        <f t="shared" si="149"/>
        <v>3.83018415212045</v>
      </c>
    </row>
    <row r="1595" spans="1:19">
      <c r="A1595" s="18" t="s">
        <v>1634</v>
      </c>
      <c r="B1595" s="18" t="s">
        <v>28</v>
      </c>
      <c r="C1595" s="18" t="s">
        <v>29</v>
      </c>
      <c r="D1595" s="19">
        <v>44720</v>
      </c>
      <c r="E1595" s="20">
        <v>45328</v>
      </c>
      <c r="F1595" s="21">
        <v>12912</v>
      </c>
      <c r="G1595" s="21">
        <v>249.6</v>
      </c>
      <c r="H1595" s="21">
        <v>105.6</v>
      </c>
      <c r="I1595" s="18">
        <v>896.38400000000001</v>
      </c>
      <c r="J1595" s="18">
        <v>2038.4159999999999</v>
      </c>
      <c r="K1595" s="18" t="s">
        <v>43</v>
      </c>
      <c r="L1595" s="18" t="s">
        <v>23</v>
      </c>
      <c r="M1595" s="18" t="s">
        <v>32</v>
      </c>
      <c r="N1595" s="22">
        <f t="shared" si="144"/>
        <v>1.93308550185874E-2</v>
      </c>
      <c r="O1595" s="22">
        <f t="shared" si="145"/>
        <v>0.42307692307692302</v>
      </c>
      <c r="P1595" s="23">
        <f t="shared" si="146"/>
        <v>3.5912820512820498</v>
      </c>
      <c r="Q1595" s="23">
        <f t="shared" si="147"/>
        <v>8.4884848484848501</v>
      </c>
      <c r="R1595" s="22">
        <f t="shared" si="148"/>
        <v>1.2740432671712101</v>
      </c>
      <c r="S1595" s="22">
        <f t="shared" si="149"/>
        <v>2.2740432671712099</v>
      </c>
    </row>
    <row r="1596" spans="1:19">
      <c r="A1596" s="18" t="s">
        <v>1635</v>
      </c>
      <c r="B1596" s="18" t="s">
        <v>20</v>
      </c>
      <c r="C1596" s="18" t="s">
        <v>29</v>
      </c>
      <c r="D1596" s="19">
        <v>44693</v>
      </c>
      <c r="E1596" s="20">
        <v>45318</v>
      </c>
      <c r="F1596" s="21">
        <v>74312</v>
      </c>
      <c r="G1596" s="21">
        <v>30233.599999999999</v>
      </c>
      <c r="H1596" s="21">
        <v>9385.6</v>
      </c>
      <c r="I1596" s="18">
        <v>4754.8</v>
      </c>
      <c r="J1596" s="18">
        <v>9086.5439999999999</v>
      </c>
      <c r="K1596" s="18" t="s">
        <v>38</v>
      </c>
      <c r="L1596" s="18" t="s">
        <v>31</v>
      </c>
      <c r="M1596" s="18" t="s">
        <v>24</v>
      </c>
      <c r="N1596" s="22">
        <f t="shared" si="144"/>
        <v>0.40684680805253498</v>
      </c>
      <c r="O1596" s="22">
        <f t="shared" si="145"/>
        <v>0.310436071126164</v>
      </c>
      <c r="P1596" s="23">
        <f t="shared" si="146"/>
        <v>0.15726873412362399</v>
      </c>
      <c r="Q1596" s="23">
        <f t="shared" si="147"/>
        <v>0.506605864302762</v>
      </c>
      <c r="R1596" s="22">
        <f t="shared" si="148"/>
        <v>0.91102549003112598</v>
      </c>
      <c r="S1596" s="22">
        <f t="shared" si="149"/>
        <v>1.9110254900311301</v>
      </c>
    </row>
    <row r="1597" spans="1:19">
      <c r="A1597" s="18" t="s">
        <v>1636</v>
      </c>
      <c r="B1597" s="18" t="s">
        <v>47</v>
      </c>
      <c r="C1597" s="18" t="s">
        <v>48</v>
      </c>
      <c r="D1597" s="19">
        <v>44937</v>
      </c>
      <c r="E1597" s="20">
        <v>45542</v>
      </c>
      <c r="F1597" s="21">
        <v>11614.4</v>
      </c>
      <c r="G1597" s="21">
        <v>8961.6</v>
      </c>
      <c r="H1597" s="21">
        <v>4385.6000000000004</v>
      </c>
      <c r="I1597" s="18">
        <v>7851.28</v>
      </c>
      <c r="J1597" s="18">
        <v>13274.08</v>
      </c>
      <c r="K1597" s="18" t="s">
        <v>65</v>
      </c>
      <c r="L1597" s="18" t="s">
        <v>23</v>
      </c>
      <c r="M1597" s="18" t="s">
        <v>32</v>
      </c>
      <c r="N1597" s="22">
        <f t="shared" si="144"/>
        <v>0.771593883455021</v>
      </c>
      <c r="O1597" s="22">
        <f t="shared" si="145"/>
        <v>0.489376896982682</v>
      </c>
      <c r="P1597" s="23">
        <f t="shared" si="146"/>
        <v>0.87610248169969596</v>
      </c>
      <c r="Q1597" s="23">
        <f t="shared" si="147"/>
        <v>1.79024078803356</v>
      </c>
      <c r="R1597" s="22">
        <f t="shared" si="148"/>
        <v>0.69068992571911803</v>
      </c>
      <c r="S1597" s="22">
        <f t="shared" si="149"/>
        <v>1.6906899257191199</v>
      </c>
    </row>
    <row r="1598" spans="1:19">
      <c r="A1598" s="18" t="s">
        <v>1637</v>
      </c>
      <c r="B1598" s="18" t="s">
        <v>20</v>
      </c>
      <c r="C1598" s="18" t="s">
        <v>41</v>
      </c>
      <c r="D1598" s="19">
        <v>44740</v>
      </c>
      <c r="E1598" s="20">
        <v>45358</v>
      </c>
      <c r="F1598" s="21">
        <v>70550.399999999994</v>
      </c>
      <c r="G1598" s="21">
        <v>18100.8</v>
      </c>
      <c r="H1598" s="21">
        <v>12363.2</v>
      </c>
      <c r="I1598" s="18">
        <v>743.63199999999995</v>
      </c>
      <c r="J1598" s="18">
        <v>2050.2240000000002</v>
      </c>
      <c r="K1598" s="18" t="s">
        <v>43</v>
      </c>
      <c r="L1598" s="18" t="s">
        <v>35</v>
      </c>
      <c r="M1598" s="18" t="s">
        <v>32</v>
      </c>
      <c r="N1598" s="22">
        <f t="shared" si="144"/>
        <v>0.25656551911824699</v>
      </c>
      <c r="O1598" s="22">
        <f t="shared" si="145"/>
        <v>0.68301953504817503</v>
      </c>
      <c r="P1598" s="23">
        <f t="shared" si="146"/>
        <v>4.1082825068505302E-2</v>
      </c>
      <c r="Q1598" s="23">
        <f t="shared" si="147"/>
        <v>6.0148828782192298E-2</v>
      </c>
      <c r="R1598" s="22">
        <f t="shared" si="148"/>
        <v>1.75704111711169</v>
      </c>
      <c r="S1598" s="22">
        <f t="shared" si="149"/>
        <v>2.7570411171116902</v>
      </c>
    </row>
    <row r="1599" spans="1:19">
      <c r="A1599" s="18" t="s">
        <v>1638</v>
      </c>
      <c r="B1599" s="18" t="s">
        <v>47</v>
      </c>
      <c r="C1599" s="18" t="s">
        <v>29</v>
      </c>
      <c r="D1599" s="19">
        <v>44955</v>
      </c>
      <c r="E1599" s="20">
        <v>45577</v>
      </c>
      <c r="F1599" s="21">
        <v>69009.600000000006</v>
      </c>
      <c r="G1599" s="21">
        <v>6604.8</v>
      </c>
      <c r="H1599" s="21">
        <v>1320</v>
      </c>
      <c r="I1599" s="18">
        <v>265.23200000000003</v>
      </c>
      <c r="J1599" s="18">
        <v>599.61599999999999</v>
      </c>
      <c r="K1599" s="18" t="s">
        <v>65</v>
      </c>
      <c r="L1599" s="18" t="s">
        <v>44</v>
      </c>
      <c r="M1599" s="18" t="s">
        <v>24</v>
      </c>
      <c r="N1599" s="22">
        <f t="shared" si="144"/>
        <v>9.5708423175905999E-2</v>
      </c>
      <c r="O1599" s="22">
        <f t="shared" si="145"/>
        <v>0.199854651162791</v>
      </c>
      <c r="P1599" s="23">
        <f t="shared" si="146"/>
        <v>4.0157461240310097E-2</v>
      </c>
      <c r="Q1599" s="23">
        <f t="shared" si="147"/>
        <v>0.20093333333333299</v>
      </c>
      <c r="R1599" s="22">
        <f t="shared" si="148"/>
        <v>1.2607226880617699</v>
      </c>
      <c r="S1599" s="22">
        <f t="shared" si="149"/>
        <v>2.2607226880617701</v>
      </c>
    </row>
    <row r="1600" spans="1:19">
      <c r="A1600" s="18" t="s">
        <v>1639</v>
      </c>
      <c r="B1600" s="18" t="s">
        <v>34</v>
      </c>
      <c r="C1600" s="18" t="s">
        <v>21</v>
      </c>
      <c r="D1600" s="19">
        <v>44904</v>
      </c>
      <c r="E1600" s="20">
        <v>45516</v>
      </c>
      <c r="F1600" s="21">
        <v>65403.199999999997</v>
      </c>
      <c r="G1600" s="21">
        <v>25611.200000000001</v>
      </c>
      <c r="H1600" s="21">
        <v>21764.799999999999</v>
      </c>
      <c r="I1600" s="18">
        <v>1630.528</v>
      </c>
      <c r="J1600" s="18">
        <v>5604.8</v>
      </c>
      <c r="K1600" s="18" t="s">
        <v>43</v>
      </c>
      <c r="L1600" s="18" t="s">
        <v>44</v>
      </c>
      <c r="M1600" s="18" t="s">
        <v>32</v>
      </c>
      <c r="N1600" s="22">
        <f t="shared" si="144"/>
        <v>0.39158940235340201</v>
      </c>
      <c r="O1600" s="22">
        <f t="shared" si="145"/>
        <v>0.84981570562878705</v>
      </c>
      <c r="P1600" s="23">
        <f t="shared" si="146"/>
        <v>6.3664646717061305E-2</v>
      </c>
      <c r="Q1600" s="23">
        <f t="shared" si="147"/>
        <v>7.4915827391016696E-2</v>
      </c>
      <c r="R1600" s="22">
        <f t="shared" si="148"/>
        <v>2.4374141382423402</v>
      </c>
      <c r="S1600" s="22">
        <f t="shared" si="149"/>
        <v>3.4374141382423402</v>
      </c>
    </row>
    <row r="1601" spans="1:19">
      <c r="A1601" s="18" t="s">
        <v>1640</v>
      </c>
      <c r="B1601" s="18" t="s">
        <v>26</v>
      </c>
      <c r="C1601" s="18" t="s">
        <v>48</v>
      </c>
      <c r="D1601" s="19">
        <v>44977</v>
      </c>
      <c r="E1601" s="20">
        <v>45591</v>
      </c>
      <c r="F1601" s="21">
        <v>10401.6</v>
      </c>
      <c r="G1601" s="21">
        <v>10326.4</v>
      </c>
      <c r="H1601" s="21">
        <v>2184</v>
      </c>
      <c r="I1601" s="18">
        <v>7179.04</v>
      </c>
      <c r="J1601" s="18">
        <v>12572.335999999999</v>
      </c>
      <c r="K1601" s="18" t="s">
        <v>22</v>
      </c>
      <c r="L1601" s="18" t="s">
        <v>44</v>
      </c>
      <c r="M1601" s="18" t="s">
        <v>24</v>
      </c>
      <c r="N1601" s="22">
        <f t="shared" si="144"/>
        <v>0.99277034302415001</v>
      </c>
      <c r="O1601" s="22">
        <f t="shared" si="145"/>
        <v>0.21149674620390499</v>
      </c>
      <c r="P1601" s="23">
        <f t="shared" si="146"/>
        <v>0.69521227145955999</v>
      </c>
      <c r="Q1601" s="23">
        <f t="shared" si="147"/>
        <v>3.2871062271062299</v>
      </c>
      <c r="R1601" s="22">
        <f t="shared" si="148"/>
        <v>0.751255878223272</v>
      </c>
      <c r="S1601" s="22">
        <f t="shared" si="149"/>
        <v>1.7512558782232699</v>
      </c>
    </row>
    <row r="1602" spans="1:19">
      <c r="A1602" s="18" t="s">
        <v>1641</v>
      </c>
      <c r="B1602" s="18" t="s">
        <v>47</v>
      </c>
      <c r="C1602" s="18" t="s">
        <v>29</v>
      </c>
      <c r="D1602" s="19">
        <v>44768</v>
      </c>
      <c r="E1602" s="20">
        <v>45382</v>
      </c>
      <c r="F1602" s="21">
        <v>31182.400000000001</v>
      </c>
      <c r="G1602" s="21">
        <v>1860.8</v>
      </c>
      <c r="H1602" s="21">
        <v>1484.8</v>
      </c>
      <c r="I1602" s="18">
        <v>7798.8</v>
      </c>
      <c r="J1602" s="18">
        <v>21721.664000000001</v>
      </c>
      <c r="K1602" s="18" t="s">
        <v>30</v>
      </c>
      <c r="L1602" s="18" t="s">
        <v>44</v>
      </c>
      <c r="M1602" s="18" t="s">
        <v>24</v>
      </c>
      <c r="N1602" s="22">
        <f t="shared" ref="N1602:N1665" si="150">G1602/F1602</f>
        <v>5.9674688285699599E-2</v>
      </c>
      <c r="O1602" s="22">
        <f t="shared" ref="O1602:O1665" si="151">H1602/G1602</f>
        <v>0.797936371453138</v>
      </c>
      <c r="P1602" s="23">
        <f t="shared" ref="P1602:P1665" si="152">I1602/G1602</f>
        <v>4.1911006018916597</v>
      </c>
      <c r="Q1602" s="23">
        <f t="shared" ref="Q1602:Q1665" si="153">I1602/H1602</f>
        <v>5.2524245689655196</v>
      </c>
      <c r="R1602" s="22">
        <f t="shared" ref="R1602:R1665" si="154">(J1602-I1602)/I1602</f>
        <v>1.7852572190593401</v>
      </c>
      <c r="S1602" s="22">
        <f t="shared" ref="S1602:S1665" si="155">J1602/I1602</f>
        <v>2.7852572190593401</v>
      </c>
    </row>
    <row r="1603" spans="1:19">
      <c r="A1603" s="18" t="s">
        <v>1642</v>
      </c>
      <c r="B1603" s="18" t="s">
        <v>20</v>
      </c>
      <c r="C1603" s="18" t="s">
        <v>48</v>
      </c>
      <c r="D1603" s="19">
        <v>44797</v>
      </c>
      <c r="E1603" s="20">
        <v>45398</v>
      </c>
      <c r="F1603" s="21">
        <v>49608</v>
      </c>
      <c r="G1603" s="21">
        <v>48979.199999999997</v>
      </c>
      <c r="H1603" s="21">
        <v>26320</v>
      </c>
      <c r="I1603" s="18">
        <v>5448.384</v>
      </c>
      <c r="J1603" s="18">
        <v>13175.567999999999</v>
      </c>
      <c r="K1603" s="18" t="s">
        <v>43</v>
      </c>
      <c r="L1603" s="18" t="s">
        <v>31</v>
      </c>
      <c r="M1603" s="18" t="s">
        <v>32</v>
      </c>
      <c r="N1603" s="22">
        <f t="shared" si="150"/>
        <v>0.98732462506047403</v>
      </c>
      <c r="O1603" s="22">
        <f t="shared" si="151"/>
        <v>0.53737096563439202</v>
      </c>
      <c r="P1603" s="23">
        <f t="shared" si="152"/>
        <v>0.111238729909839</v>
      </c>
      <c r="Q1603" s="23">
        <f t="shared" si="153"/>
        <v>0.20700547112462001</v>
      </c>
      <c r="R1603" s="22">
        <f t="shared" si="154"/>
        <v>1.4182524579765301</v>
      </c>
      <c r="S1603" s="22">
        <f t="shared" si="155"/>
        <v>2.4182524579765299</v>
      </c>
    </row>
    <row r="1604" spans="1:19">
      <c r="A1604" s="18" t="s">
        <v>1643</v>
      </c>
      <c r="B1604" s="18" t="s">
        <v>28</v>
      </c>
      <c r="C1604" s="18" t="s">
        <v>29</v>
      </c>
      <c r="D1604" s="19">
        <v>44953</v>
      </c>
      <c r="E1604" s="20">
        <v>45572</v>
      </c>
      <c r="F1604" s="21">
        <v>71206.399999999994</v>
      </c>
      <c r="G1604" s="21">
        <v>54833.599999999999</v>
      </c>
      <c r="H1604" s="21">
        <v>15304</v>
      </c>
      <c r="I1604" s="18">
        <v>4377.9359999999997</v>
      </c>
      <c r="J1604" s="18">
        <v>14369.392</v>
      </c>
      <c r="K1604" s="18" t="s">
        <v>65</v>
      </c>
      <c r="L1604" s="18" t="s">
        <v>35</v>
      </c>
      <c r="M1604" s="18" t="s">
        <v>32</v>
      </c>
      <c r="N1604" s="22">
        <f t="shared" si="150"/>
        <v>0.77006561207981306</v>
      </c>
      <c r="O1604" s="22">
        <f t="shared" si="151"/>
        <v>0.279098946631263</v>
      </c>
      <c r="P1604" s="23">
        <f t="shared" si="152"/>
        <v>7.9840389833970404E-2</v>
      </c>
      <c r="Q1604" s="23">
        <f t="shared" si="153"/>
        <v>0.28606481965499198</v>
      </c>
      <c r="R1604" s="22">
        <f t="shared" si="154"/>
        <v>2.2822297996133298</v>
      </c>
      <c r="S1604" s="22">
        <f t="shared" si="155"/>
        <v>3.2822297996133298</v>
      </c>
    </row>
    <row r="1605" spans="1:19">
      <c r="A1605" s="18" t="s">
        <v>1644</v>
      </c>
      <c r="B1605" s="18" t="s">
        <v>40</v>
      </c>
      <c r="C1605" s="18" t="s">
        <v>29</v>
      </c>
      <c r="D1605" s="19">
        <v>44984</v>
      </c>
      <c r="E1605" s="20">
        <v>45601</v>
      </c>
      <c r="F1605" s="21">
        <v>67259.199999999997</v>
      </c>
      <c r="G1605" s="21">
        <v>42708.800000000003</v>
      </c>
      <c r="H1605" s="21">
        <v>22745.599999999999</v>
      </c>
      <c r="I1605" s="18">
        <v>4515.6319999999996</v>
      </c>
      <c r="J1605" s="18">
        <v>17686.944</v>
      </c>
      <c r="K1605" s="18" t="s">
        <v>38</v>
      </c>
      <c r="L1605" s="18" t="s">
        <v>23</v>
      </c>
      <c r="M1605" s="18" t="s">
        <v>32</v>
      </c>
      <c r="N1605" s="22">
        <f t="shared" si="150"/>
        <v>0.63498822465922899</v>
      </c>
      <c r="O1605" s="22">
        <f t="shared" si="151"/>
        <v>0.53257408309294596</v>
      </c>
      <c r="P1605" s="23">
        <f t="shared" si="152"/>
        <v>0.105730715918031</v>
      </c>
      <c r="Q1605" s="23">
        <f t="shared" si="153"/>
        <v>0.19852771525042201</v>
      </c>
      <c r="R1605" s="22">
        <f t="shared" si="154"/>
        <v>2.91682581751569</v>
      </c>
      <c r="S1605" s="22">
        <f t="shared" si="155"/>
        <v>3.91682581751569</v>
      </c>
    </row>
    <row r="1606" spans="1:19">
      <c r="A1606" s="18" t="s">
        <v>1645</v>
      </c>
      <c r="B1606" s="18" t="s">
        <v>20</v>
      </c>
      <c r="C1606" s="18" t="s">
        <v>48</v>
      </c>
      <c r="D1606" s="19">
        <v>44777</v>
      </c>
      <c r="E1606" s="20">
        <v>45383</v>
      </c>
      <c r="F1606" s="21">
        <v>2336</v>
      </c>
      <c r="G1606" s="21">
        <v>894.4</v>
      </c>
      <c r="H1606" s="21">
        <v>81.599999999999994</v>
      </c>
      <c r="I1606" s="18">
        <v>4346.1440000000002</v>
      </c>
      <c r="J1606" s="18">
        <v>6037.2</v>
      </c>
      <c r="K1606" s="18" t="s">
        <v>38</v>
      </c>
      <c r="L1606" s="18" t="s">
        <v>44</v>
      </c>
      <c r="M1606" s="18" t="s">
        <v>32</v>
      </c>
      <c r="N1606" s="22">
        <f t="shared" si="150"/>
        <v>0.38287671232876702</v>
      </c>
      <c r="O1606" s="22">
        <f t="shared" si="151"/>
        <v>9.1234347048300496E-2</v>
      </c>
      <c r="P1606" s="23">
        <f t="shared" si="152"/>
        <v>4.8592844364937404</v>
      </c>
      <c r="Q1606" s="23">
        <f t="shared" si="153"/>
        <v>53.261568627450998</v>
      </c>
      <c r="R1606" s="22">
        <f t="shared" si="154"/>
        <v>0.38909341245941198</v>
      </c>
      <c r="S1606" s="22">
        <f t="shared" si="155"/>
        <v>1.3890934124594101</v>
      </c>
    </row>
    <row r="1607" spans="1:19">
      <c r="A1607" s="18" t="s">
        <v>1646</v>
      </c>
      <c r="B1607" s="18" t="s">
        <v>34</v>
      </c>
      <c r="C1607" s="18" t="s">
        <v>21</v>
      </c>
      <c r="D1607" s="19">
        <v>44766</v>
      </c>
      <c r="E1607" s="20">
        <v>45382</v>
      </c>
      <c r="F1607" s="21">
        <v>30918.400000000001</v>
      </c>
      <c r="G1607" s="21">
        <v>27688</v>
      </c>
      <c r="H1607" s="21">
        <v>180.8</v>
      </c>
      <c r="I1607" s="18">
        <v>6351.2160000000003</v>
      </c>
      <c r="J1607" s="18">
        <v>23689.135999999999</v>
      </c>
      <c r="K1607" s="18" t="s">
        <v>65</v>
      </c>
      <c r="L1607" s="18" t="s">
        <v>23</v>
      </c>
      <c r="M1607" s="18" t="s">
        <v>24</v>
      </c>
      <c r="N1607" s="22">
        <f t="shared" si="150"/>
        <v>0.89551852618505501</v>
      </c>
      <c r="O1607" s="22">
        <f t="shared" si="151"/>
        <v>6.5299046518347299E-3</v>
      </c>
      <c r="P1607" s="23">
        <f t="shared" si="152"/>
        <v>0.229385148800925</v>
      </c>
      <c r="Q1607" s="23">
        <f t="shared" si="153"/>
        <v>35.128407079646003</v>
      </c>
      <c r="R1607" s="22">
        <f t="shared" si="154"/>
        <v>2.7298583452365701</v>
      </c>
      <c r="S1607" s="22">
        <f t="shared" si="155"/>
        <v>3.7298583452365701</v>
      </c>
    </row>
    <row r="1608" spans="1:19">
      <c r="A1608" s="18" t="s">
        <v>1647</v>
      </c>
      <c r="B1608" s="18" t="s">
        <v>26</v>
      </c>
      <c r="C1608" s="18" t="s">
        <v>29</v>
      </c>
      <c r="D1608" s="19">
        <v>44840</v>
      </c>
      <c r="E1608" s="20">
        <v>45451</v>
      </c>
      <c r="F1608" s="21">
        <v>12697.6</v>
      </c>
      <c r="G1608" s="21">
        <v>4617.6000000000004</v>
      </c>
      <c r="H1608" s="21">
        <v>2200</v>
      </c>
      <c r="I1608" s="18">
        <v>4441.9679999999998</v>
      </c>
      <c r="J1608" s="18">
        <v>6787.424</v>
      </c>
      <c r="K1608" s="18" t="s">
        <v>65</v>
      </c>
      <c r="L1608" s="18" t="s">
        <v>23</v>
      </c>
      <c r="M1608" s="18" t="s">
        <v>32</v>
      </c>
      <c r="N1608" s="22">
        <f t="shared" si="150"/>
        <v>0.36365927419354799</v>
      </c>
      <c r="O1608" s="22">
        <f t="shared" si="151"/>
        <v>0.47643797643797597</v>
      </c>
      <c r="P1608" s="23">
        <f t="shared" si="152"/>
        <v>0.96196465696465705</v>
      </c>
      <c r="Q1608" s="23">
        <f t="shared" si="153"/>
        <v>2.0190763636363598</v>
      </c>
      <c r="R1608" s="22">
        <f t="shared" si="154"/>
        <v>0.52802181375462398</v>
      </c>
      <c r="S1608" s="22">
        <f t="shared" si="155"/>
        <v>1.52802181375462</v>
      </c>
    </row>
    <row r="1609" spans="1:19">
      <c r="A1609" s="18" t="s">
        <v>1648</v>
      </c>
      <c r="B1609" s="18" t="s">
        <v>20</v>
      </c>
      <c r="C1609" s="18" t="s">
        <v>41</v>
      </c>
      <c r="D1609" s="19">
        <v>44832</v>
      </c>
      <c r="E1609" s="20">
        <v>45446</v>
      </c>
      <c r="F1609" s="21">
        <v>71851.199999999997</v>
      </c>
      <c r="G1609" s="21">
        <v>44795.199999999997</v>
      </c>
      <c r="H1609" s="21">
        <v>10694.4</v>
      </c>
      <c r="I1609" s="18">
        <v>517.32799999999997</v>
      </c>
      <c r="J1609" s="18">
        <v>791.80799999999999</v>
      </c>
      <c r="K1609" s="18" t="s">
        <v>38</v>
      </c>
      <c r="L1609" s="18" t="s">
        <v>44</v>
      </c>
      <c r="M1609" s="18" t="s">
        <v>24</v>
      </c>
      <c r="N1609" s="22">
        <f t="shared" si="150"/>
        <v>0.62344400650232701</v>
      </c>
      <c r="O1609" s="22">
        <f t="shared" si="151"/>
        <v>0.23873986498553401</v>
      </c>
      <c r="P1609" s="23">
        <f t="shared" si="152"/>
        <v>1.15487373647176E-2</v>
      </c>
      <c r="Q1609" s="23">
        <f t="shared" si="153"/>
        <v>4.83737283064034E-2</v>
      </c>
      <c r="R1609" s="22">
        <f t="shared" si="154"/>
        <v>0.53057248012866098</v>
      </c>
      <c r="S1609" s="22">
        <f t="shared" si="155"/>
        <v>1.53057248012866</v>
      </c>
    </row>
    <row r="1610" spans="1:19">
      <c r="A1610" s="18" t="s">
        <v>1649</v>
      </c>
      <c r="B1610" s="18" t="s">
        <v>20</v>
      </c>
      <c r="C1610" s="18" t="s">
        <v>41</v>
      </c>
      <c r="D1610" s="19">
        <v>44924</v>
      </c>
      <c r="E1610" s="20">
        <v>45525</v>
      </c>
      <c r="F1610" s="21">
        <v>77587.199999999997</v>
      </c>
      <c r="G1610" s="21">
        <v>577.6</v>
      </c>
      <c r="H1610" s="21">
        <v>124.8</v>
      </c>
      <c r="I1610" s="18">
        <v>3354.1280000000002</v>
      </c>
      <c r="J1610" s="18">
        <v>12537.248</v>
      </c>
      <c r="K1610" s="18" t="s">
        <v>65</v>
      </c>
      <c r="L1610" s="18" t="s">
        <v>23</v>
      </c>
      <c r="M1610" s="18" t="s">
        <v>32</v>
      </c>
      <c r="N1610" s="22">
        <f t="shared" si="150"/>
        <v>7.4445269322774904E-3</v>
      </c>
      <c r="O1610" s="22">
        <f t="shared" si="151"/>
        <v>0.21606648199445999</v>
      </c>
      <c r="P1610" s="23">
        <f t="shared" si="152"/>
        <v>5.8070083102493104</v>
      </c>
      <c r="Q1610" s="23">
        <f t="shared" si="153"/>
        <v>26.876025641025599</v>
      </c>
      <c r="R1610" s="22">
        <f t="shared" si="154"/>
        <v>2.7378561581430398</v>
      </c>
      <c r="S1610" s="22">
        <f t="shared" si="155"/>
        <v>3.7378561581430398</v>
      </c>
    </row>
    <row r="1611" spans="1:19">
      <c r="A1611" s="18" t="s">
        <v>1650</v>
      </c>
      <c r="B1611" s="18" t="s">
        <v>40</v>
      </c>
      <c r="C1611" s="18" t="s">
        <v>21</v>
      </c>
      <c r="D1611" s="19">
        <v>44832</v>
      </c>
      <c r="E1611" s="20">
        <v>45451</v>
      </c>
      <c r="F1611" s="21">
        <v>20273.599999999999</v>
      </c>
      <c r="G1611" s="21">
        <v>7070.4</v>
      </c>
      <c r="H1611" s="21">
        <v>3416</v>
      </c>
      <c r="I1611" s="18">
        <v>499.50400000000002</v>
      </c>
      <c r="J1611" s="18">
        <v>696.27200000000005</v>
      </c>
      <c r="K1611" s="18" t="s">
        <v>43</v>
      </c>
      <c r="L1611" s="18" t="s">
        <v>50</v>
      </c>
      <c r="M1611" s="18" t="s">
        <v>32</v>
      </c>
      <c r="N1611" s="22">
        <f t="shared" si="150"/>
        <v>0.34874911214584497</v>
      </c>
      <c r="O1611" s="22">
        <f t="shared" si="151"/>
        <v>0.483140982122652</v>
      </c>
      <c r="P1611" s="23">
        <f t="shared" si="152"/>
        <v>7.0647205250056605E-2</v>
      </c>
      <c r="Q1611" s="23">
        <f t="shared" si="153"/>
        <v>0.14622482435597201</v>
      </c>
      <c r="R1611" s="22">
        <f t="shared" si="154"/>
        <v>0.393926775361158</v>
      </c>
      <c r="S1611" s="22">
        <f t="shared" si="155"/>
        <v>1.3939267753611599</v>
      </c>
    </row>
    <row r="1612" spans="1:19">
      <c r="A1612" s="18" t="s">
        <v>1651</v>
      </c>
      <c r="B1612" s="18" t="s">
        <v>34</v>
      </c>
      <c r="C1612" s="18" t="s">
        <v>29</v>
      </c>
      <c r="D1612" s="19">
        <v>44749</v>
      </c>
      <c r="E1612" s="20">
        <v>45378</v>
      </c>
      <c r="F1612" s="21">
        <v>44603.199999999997</v>
      </c>
      <c r="G1612" s="21">
        <v>26380.799999999999</v>
      </c>
      <c r="H1612" s="21">
        <v>6328</v>
      </c>
      <c r="I1612" s="18">
        <v>6766.7520000000004</v>
      </c>
      <c r="J1612" s="18">
        <v>11254.864</v>
      </c>
      <c r="K1612" s="18" t="s">
        <v>30</v>
      </c>
      <c r="L1612" s="18" t="s">
        <v>50</v>
      </c>
      <c r="M1612" s="18" t="s">
        <v>24</v>
      </c>
      <c r="N1612" s="22">
        <f t="shared" si="150"/>
        <v>0.59145532159127601</v>
      </c>
      <c r="O1612" s="22">
        <f t="shared" si="151"/>
        <v>0.23987142163998099</v>
      </c>
      <c r="P1612" s="23">
        <f t="shared" si="152"/>
        <v>0.256502911208151</v>
      </c>
      <c r="Q1612" s="23">
        <f t="shared" si="153"/>
        <v>1.0693350189633399</v>
      </c>
      <c r="R1612" s="22">
        <f t="shared" si="154"/>
        <v>0.66325941899451901</v>
      </c>
      <c r="S1612" s="22">
        <f t="shared" si="155"/>
        <v>1.66325941899452</v>
      </c>
    </row>
    <row r="1613" spans="1:19">
      <c r="A1613" s="18" t="s">
        <v>1652</v>
      </c>
      <c r="B1613" s="18" t="s">
        <v>40</v>
      </c>
      <c r="C1613" s="18" t="s">
        <v>48</v>
      </c>
      <c r="D1613" s="19">
        <v>44732</v>
      </c>
      <c r="E1613" s="20">
        <v>45348</v>
      </c>
      <c r="F1613" s="21">
        <v>69992</v>
      </c>
      <c r="G1613" s="21">
        <v>46828.800000000003</v>
      </c>
      <c r="H1613" s="21">
        <v>19833.599999999999</v>
      </c>
      <c r="I1613" s="18">
        <v>1479.5519999999999</v>
      </c>
      <c r="J1613" s="18">
        <v>4998.9120000000003</v>
      </c>
      <c r="K1613" s="18" t="s">
        <v>38</v>
      </c>
      <c r="L1613" s="18" t="s">
        <v>35</v>
      </c>
      <c r="M1613" s="18" t="s">
        <v>24</v>
      </c>
      <c r="N1613" s="22">
        <f t="shared" si="150"/>
        <v>0.669059321065265</v>
      </c>
      <c r="O1613" s="22">
        <f t="shared" si="151"/>
        <v>0.42353423534235302</v>
      </c>
      <c r="P1613" s="23">
        <f t="shared" si="152"/>
        <v>3.1594915949159502E-2</v>
      </c>
      <c r="Q1613" s="23">
        <f t="shared" si="153"/>
        <v>7.4598257502420107E-2</v>
      </c>
      <c r="R1613" s="22">
        <f t="shared" si="154"/>
        <v>2.3786659745652701</v>
      </c>
      <c r="S1613" s="22">
        <f t="shared" si="155"/>
        <v>3.3786659745652701</v>
      </c>
    </row>
    <row r="1614" spans="1:19">
      <c r="A1614" s="18" t="s">
        <v>1653</v>
      </c>
      <c r="B1614" s="18" t="s">
        <v>26</v>
      </c>
      <c r="C1614" s="18" t="s">
        <v>41</v>
      </c>
      <c r="D1614" s="19">
        <v>44966</v>
      </c>
      <c r="E1614" s="20">
        <v>45578</v>
      </c>
      <c r="F1614" s="21">
        <v>33668.800000000003</v>
      </c>
      <c r="G1614" s="21">
        <v>27934.400000000001</v>
      </c>
      <c r="H1614" s="21">
        <v>18731.2</v>
      </c>
      <c r="I1614" s="18">
        <v>5277.28</v>
      </c>
      <c r="J1614" s="18">
        <v>16333.183999999999</v>
      </c>
      <c r="K1614" s="18" t="s">
        <v>65</v>
      </c>
      <c r="L1614" s="18" t="s">
        <v>50</v>
      </c>
      <c r="M1614" s="18" t="s">
        <v>32</v>
      </c>
      <c r="N1614" s="22">
        <f t="shared" si="150"/>
        <v>0.82968207955139495</v>
      </c>
      <c r="O1614" s="22">
        <f t="shared" si="151"/>
        <v>0.67054241365484801</v>
      </c>
      <c r="P1614" s="23">
        <f t="shared" si="152"/>
        <v>0.188916891001776</v>
      </c>
      <c r="Q1614" s="23">
        <f t="shared" si="153"/>
        <v>0.28173742205518099</v>
      </c>
      <c r="R1614" s="22">
        <f t="shared" si="154"/>
        <v>2.0950004547797301</v>
      </c>
      <c r="S1614" s="22">
        <f t="shared" si="155"/>
        <v>3.0950004547797301</v>
      </c>
    </row>
    <row r="1615" spans="1:19">
      <c r="A1615" s="18" t="s">
        <v>1654</v>
      </c>
      <c r="B1615" s="18" t="s">
        <v>26</v>
      </c>
      <c r="C1615" s="18" t="s">
        <v>48</v>
      </c>
      <c r="D1615" s="19">
        <v>44842</v>
      </c>
      <c r="E1615" s="20">
        <v>45468</v>
      </c>
      <c r="F1615" s="21">
        <v>25145.599999999999</v>
      </c>
      <c r="G1615" s="21">
        <v>10184</v>
      </c>
      <c r="H1615" s="21">
        <v>7688</v>
      </c>
      <c r="I1615" s="18">
        <v>3179.6320000000001</v>
      </c>
      <c r="J1615" s="18">
        <v>8030.576</v>
      </c>
      <c r="K1615" s="18" t="s">
        <v>22</v>
      </c>
      <c r="L1615" s="18" t="s">
        <v>23</v>
      </c>
      <c r="M1615" s="18" t="s">
        <v>32</v>
      </c>
      <c r="N1615" s="22">
        <f t="shared" si="150"/>
        <v>0.40500127258844498</v>
      </c>
      <c r="O1615" s="22">
        <f t="shared" si="151"/>
        <v>0.75490966221524003</v>
      </c>
      <c r="P1615" s="23">
        <f t="shared" si="152"/>
        <v>0.31221838177533401</v>
      </c>
      <c r="Q1615" s="23">
        <f t="shared" si="153"/>
        <v>0.41358376690946902</v>
      </c>
      <c r="R1615" s="22">
        <f t="shared" si="154"/>
        <v>1.52563063901735</v>
      </c>
      <c r="S1615" s="22">
        <f t="shared" si="155"/>
        <v>2.5256306390173502</v>
      </c>
    </row>
    <row r="1616" spans="1:19">
      <c r="A1616" s="18" t="s">
        <v>1655</v>
      </c>
      <c r="B1616" s="18" t="s">
        <v>26</v>
      </c>
      <c r="C1616" s="18" t="s">
        <v>41</v>
      </c>
      <c r="D1616" s="19">
        <v>44713</v>
      </c>
      <c r="E1616" s="20">
        <v>45340</v>
      </c>
      <c r="F1616" s="21">
        <v>43032</v>
      </c>
      <c r="G1616" s="21">
        <v>31542.400000000001</v>
      </c>
      <c r="H1616" s="21">
        <v>10494.4</v>
      </c>
      <c r="I1616" s="18">
        <v>2035.9839999999999</v>
      </c>
      <c r="J1616" s="18">
        <v>6240.2719999999999</v>
      </c>
      <c r="K1616" s="18" t="s">
        <v>30</v>
      </c>
      <c r="L1616" s="18" t="s">
        <v>23</v>
      </c>
      <c r="M1616" s="18" t="s">
        <v>32</v>
      </c>
      <c r="N1616" s="22">
        <f t="shared" si="150"/>
        <v>0.73299869864287004</v>
      </c>
      <c r="O1616" s="22">
        <f t="shared" si="151"/>
        <v>0.33270772040174501</v>
      </c>
      <c r="P1616" s="23">
        <f t="shared" si="152"/>
        <v>6.4547529674343102E-2</v>
      </c>
      <c r="Q1616" s="23">
        <f t="shared" si="153"/>
        <v>0.194006708339686</v>
      </c>
      <c r="R1616" s="22">
        <f t="shared" si="154"/>
        <v>2.06499068754961</v>
      </c>
      <c r="S1616" s="22">
        <f t="shared" si="155"/>
        <v>3.06499068754961</v>
      </c>
    </row>
    <row r="1617" spans="1:19">
      <c r="A1617" s="18" t="s">
        <v>1656</v>
      </c>
      <c r="B1617" s="18" t="s">
        <v>34</v>
      </c>
      <c r="C1617" s="18" t="s">
        <v>41</v>
      </c>
      <c r="D1617" s="19">
        <v>44711</v>
      </c>
      <c r="E1617" s="20">
        <v>45331</v>
      </c>
      <c r="F1617" s="21">
        <v>42118.400000000001</v>
      </c>
      <c r="G1617" s="21">
        <v>20049.599999999999</v>
      </c>
      <c r="H1617" s="21">
        <v>9657.6</v>
      </c>
      <c r="I1617" s="18">
        <v>952.64</v>
      </c>
      <c r="J1617" s="18">
        <v>2845.2959999999998</v>
      </c>
      <c r="K1617" s="18" t="s">
        <v>43</v>
      </c>
      <c r="L1617" s="18" t="s">
        <v>44</v>
      </c>
      <c r="M1617" s="18" t="s">
        <v>32</v>
      </c>
      <c r="N1617" s="22">
        <f t="shared" si="150"/>
        <v>0.47602947880261398</v>
      </c>
      <c r="O1617" s="22">
        <f t="shared" si="151"/>
        <v>0.48168542015800803</v>
      </c>
      <c r="P1617" s="23">
        <f t="shared" si="152"/>
        <v>4.7514164871119598E-2</v>
      </c>
      <c r="Q1617" s="23">
        <f t="shared" si="153"/>
        <v>9.8641484426772702E-2</v>
      </c>
      <c r="R1617" s="22">
        <f t="shared" si="154"/>
        <v>1.98674840443399</v>
      </c>
      <c r="S1617" s="22">
        <f t="shared" si="155"/>
        <v>2.9867484044339898</v>
      </c>
    </row>
    <row r="1618" spans="1:19">
      <c r="A1618" s="18" t="s">
        <v>1657</v>
      </c>
      <c r="B1618" s="18" t="s">
        <v>40</v>
      </c>
      <c r="C1618" s="18" t="s">
        <v>29</v>
      </c>
      <c r="D1618" s="19">
        <v>44862</v>
      </c>
      <c r="E1618" s="20">
        <v>45472</v>
      </c>
      <c r="F1618" s="21">
        <v>30979.200000000001</v>
      </c>
      <c r="G1618" s="21">
        <v>13843.2</v>
      </c>
      <c r="H1618" s="21">
        <v>12118.4</v>
      </c>
      <c r="I1618" s="18">
        <v>5766.5439999999999</v>
      </c>
      <c r="J1618" s="18">
        <v>14092.432000000001</v>
      </c>
      <c r="K1618" s="18" t="s">
        <v>43</v>
      </c>
      <c r="L1618" s="18" t="s">
        <v>44</v>
      </c>
      <c r="M1618" s="18" t="s">
        <v>24</v>
      </c>
      <c r="N1618" s="22">
        <f t="shared" si="150"/>
        <v>0.44685466377440303</v>
      </c>
      <c r="O1618" s="22">
        <f t="shared" si="151"/>
        <v>0.87540453074433699</v>
      </c>
      <c r="P1618" s="23">
        <f t="shared" si="152"/>
        <v>0.41656148867313902</v>
      </c>
      <c r="Q1618" s="23">
        <f t="shared" si="153"/>
        <v>0.47585027726432499</v>
      </c>
      <c r="R1618" s="22">
        <f t="shared" si="154"/>
        <v>1.4438263195425201</v>
      </c>
      <c r="S1618" s="22">
        <f t="shared" si="155"/>
        <v>2.4438263195425201</v>
      </c>
    </row>
    <row r="1619" spans="1:19">
      <c r="A1619" s="18" t="s">
        <v>1658</v>
      </c>
      <c r="B1619" s="18" t="s">
        <v>28</v>
      </c>
      <c r="C1619" s="18" t="s">
        <v>21</v>
      </c>
      <c r="D1619" s="19">
        <v>44916</v>
      </c>
      <c r="E1619" s="20">
        <v>45526</v>
      </c>
      <c r="F1619" s="21">
        <v>78372.800000000003</v>
      </c>
      <c r="G1619" s="21">
        <v>19590.400000000001</v>
      </c>
      <c r="H1619" s="21">
        <v>15552</v>
      </c>
      <c r="I1619" s="18">
        <v>702.28800000000001</v>
      </c>
      <c r="J1619" s="18">
        <v>1053.52</v>
      </c>
      <c r="K1619" s="18" t="s">
        <v>38</v>
      </c>
      <c r="L1619" s="18" t="s">
        <v>23</v>
      </c>
      <c r="M1619" s="18" t="s">
        <v>32</v>
      </c>
      <c r="N1619" s="22">
        <f t="shared" si="150"/>
        <v>0.24996427331931501</v>
      </c>
      <c r="O1619" s="22">
        <f t="shared" si="151"/>
        <v>0.79385821626919295</v>
      </c>
      <c r="P1619" s="23">
        <f t="shared" si="152"/>
        <v>3.5848578895785702E-2</v>
      </c>
      <c r="Q1619" s="23">
        <f t="shared" si="153"/>
        <v>4.5157407407407403E-2</v>
      </c>
      <c r="R1619" s="22">
        <f t="shared" si="154"/>
        <v>0.50012530471829197</v>
      </c>
      <c r="S1619" s="22">
        <f t="shared" si="155"/>
        <v>1.5001253047182901</v>
      </c>
    </row>
    <row r="1620" spans="1:19">
      <c r="A1620" s="18" t="s">
        <v>1659</v>
      </c>
      <c r="B1620" s="18" t="s">
        <v>47</v>
      </c>
      <c r="C1620" s="18" t="s">
        <v>21</v>
      </c>
      <c r="D1620" s="19">
        <v>44968</v>
      </c>
      <c r="E1620" s="20">
        <v>45576</v>
      </c>
      <c r="F1620" s="21">
        <v>18507.2</v>
      </c>
      <c r="G1620" s="21">
        <v>6217.6</v>
      </c>
      <c r="H1620" s="21">
        <v>4894.3999999999996</v>
      </c>
      <c r="I1620" s="18">
        <v>403.80799999999999</v>
      </c>
      <c r="J1620" s="18">
        <v>1022.56</v>
      </c>
      <c r="K1620" s="18" t="s">
        <v>43</v>
      </c>
      <c r="L1620" s="18" t="s">
        <v>23</v>
      </c>
      <c r="M1620" s="18" t="s">
        <v>32</v>
      </c>
      <c r="N1620" s="22">
        <f t="shared" si="150"/>
        <v>0.33595573614593199</v>
      </c>
      <c r="O1620" s="22">
        <f t="shared" si="151"/>
        <v>0.78718476582604202</v>
      </c>
      <c r="P1620" s="23">
        <f t="shared" si="152"/>
        <v>6.4945959855892896E-2</v>
      </c>
      <c r="Q1620" s="23">
        <f t="shared" si="153"/>
        <v>8.2504086302713303E-2</v>
      </c>
      <c r="R1620" s="22">
        <f t="shared" si="154"/>
        <v>1.53229257468896</v>
      </c>
      <c r="S1620" s="22">
        <f t="shared" si="155"/>
        <v>2.53229257468896</v>
      </c>
    </row>
    <row r="1621" spans="1:19">
      <c r="A1621" s="18" t="s">
        <v>1660</v>
      </c>
      <c r="B1621" s="18" t="s">
        <v>26</v>
      </c>
      <c r="C1621" s="18" t="s">
        <v>41</v>
      </c>
      <c r="D1621" s="19">
        <v>44787</v>
      </c>
      <c r="E1621" s="20">
        <v>45401</v>
      </c>
      <c r="F1621" s="21">
        <v>32846.400000000001</v>
      </c>
      <c r="G1621" s="21">
        <v>537.6</v>
      </c>
      <c r="H1621" s="21">
        <v>422.4</v>
      </c>
      <c r="I1621" s="18">
        <v>4961.6639999999998</v>
      </c>
      <c r="J1621" s="18">
        <v>8520.2720000000008</v>
      </c>
      <c r="K1621" s="18" t="s">
        <v>65</v>
      </c>
      <c r="L1621" s="18" t="s">
        <v>35</v>
      </c>
      <c r="M1621" s="18" t="s">
        <v>32</v>
      </c>
      <c r="N1621" s="22">
        <f t="shared" si="150"/>
        <v>1.6367090457401701E-2</v>
      </c>
      <c r="O1621" s="22">
        <f t="shared" si="151"/>
        <v>0.78571428571428603</v>
      </c>
      <c r="P1621" s="23">
        <f t="shared" si="152"/>
        <v>9.2292857142857105</v>
      </c>
      <c r="Q1621" s="23">
        <f t="shared" si="153"/>
        <v>11.746363636363601</v>
      </c>
      <c r="R1621" s="22">
        <f t="shared" si="154"/>
        <v>0.71722067435440995</v>
      </c>
      <c r="S1621" s="22">
        <f t="shared" si="155"/>
        <v>1.7172206743544101</v>
      </c>
    </row>
    <row r="1622" spans="1:19">
      <c r="A1622" s="18" t="s">
        <v>1661</v>
      </c>
      <c r="B1622" s="18" t="s">
        <v>40</v>
      </c>
      <c r="C1622" s="18" t="s">
        <v>41</v>
      </c>
      <c r="D1622" s="19">
        <v>44987</v>
      </c>
      <c r="E1622" s="20">
        <v>45606</v>
      </c>
      <c r="F1622" s="21">
        <v>49864</v>
      </c>
      <c r="G1622" s="21">
        <v>4907.2</v>
      </c>
      <c r="H1622" s="21">
        <v>1955.2</v>
      </c>
      <c r="I1622" s="18">
        <v>4765.232</v>
      </c>
      <c r="J1622" s="18">
        <v>9133.9359999999997</v>
      </c>
      <c r="K1622" s="18" t="s">
        <v>65</v>
      </c>
      <c r="L1622" s="18" t="s">
        <v>31</v>
      </c>
      <c r="M1622" s="18" t="s">
        <v>32</v>
      </c>
      <c r="N1622" s="22">
        <f t="shared" si="150"/>
        <v>9.8411679768971597E-2</v>
      </c>
      <c r="O1622" s="22">
        <f t="shared" si="151"/>
        <v>0.39843495272252999</v>
      </c>
      <c r="P1622" s="23">
        <f t="shared" si="152"/>
        <v>0.97106944897293801</v>
      </c>
      <c r="Q1622" s="23">
        <f t="shared" si="153"/>
        <v>2.4372094926350201</v>
      </c>
      <c r="R1622" s="22">
        <f t="shared" si="154"/>
        <v>0.91678726240401298</v>
      </c>
      <c r="S1622" s="22">
        <f t="shared" si="155"/>
        <v>1.9167872624040101</v>
      </c>
    </row>
    <row r="1623" spans="1:19">
      <c r="A1623" s="18" t="s">
        <v>1662</v>
      </c>
      <c r="B1623" s="18" t="s">
        <v>47</v>
      </c>
      <c r="C1623" s="18" t="s">
        <v>48</v>
      </c>
      <c r="D1623" s="19">
        <v>44763</v>
      </c>
      <c r="E1623" s="20">
        <v>45366</v>
      </c>
      <c r="F1623" s="21">
        <v>44281.599999999999</v>
      </c>
      <c r="G1623" s="21">
        <v>15427.2</v>
      </c>
      <c r="H1623" s="21">
        <v>11363.2</v>
      </c>
      <c r="I1623" s="18">
        <v>1009.792</v>
      </c>
      <c r="J1623" s="18">
        <v>2564.9119999999998</v>
      </c>
      <c r="K1623" s="18" t="s">
        <v>22</v>
      </c>
      <c r="L1623" s="18" t="s">
        <v>50</v>
      </c>
      <c r="M1623" s="18" t="s">
        <v>32</v>
      </c>
      <c r="N1623" s="22">
        <f t="shared" si="150"/>
        <v>0.34838849544731898</v>
      </c>
      <c r="O1623" s="22">
        <f t="shared" si="151"/>
        <v>0.73656917651939402</v>
      </c>
      <c r="P1623" s="23">
        <f t="shared" si="152"/>
        <v>6.5455299730346403E-2</v>
      </c>
      <c r="Q1623" s="23">
        <f t="shared" si="153"/>
        <v>8.8865108420163305E-2</v>
      </c>
      <c r="R1623" s="22">
        <f t="shared" si="154"/>
        <v>1.5400399290150799</v>
      </c>
      <c r="S1623" s="22">
        <f t="shared" si="155"/>
        <v>2.5400399290150801</v>
      </c>
    </row>
    <row r="1624" spans="1:19">
      <c r="A1624" s="18" t="s">
        <v>1663</v>
      </c>
      <c r="B1624" s="18" t="s">
        <v>26</v>
      </c>
      <c r="C1624" s="18" t="s">
        <v>48</v>
      </c>
      <c r="D1624" s="19">
        <v>44985</v>
      </c>
      <c r="E1624" s="20">
        <v>45611</v>
      </c>
      <c r="F1624" s="21">
        <v>43211.199999999997</v>
      </c>
      <c r="G1624" s="21">
        <v>7808</v>
      </c>
      <c r="H1624" s="21">
        <v>5604.8</v>
      </c>
      <c r="I1624" s="18">
        <v>2667.328</v>
      </c>
      <c r="J1624" s="18">
        <v>5037.0720000000001</v>
      </c>
      <c r="K1624" s="18" t="s">
        <v>38</v>
      </c>
      <c r="L1624" s="18" t="s">
        <v>23</v>
      </c>
      <c r="M1624" s="18" t="s">
        <v>32</v>
      </c>
      <c r="N1624" s="22">
        <f t="shared" si="150"/>
        <v>0.18069389417558401</v>
      </c>
      <c r="O1624" s="22">
        <f t="shared" si="151"/>
        <v>0.71782786885245897</v>
      </c>
      <c r="P1624" s="23">
        <f t="shared" si="152"/>
        <v>0.34161475409836101</v>
      </c>
      <c r="Q1624" s="23">
        <f t="shared" si="153"/>
        <v>0.47590065658007402</v>
      </c>
      <c r="R1624" s="22">
        <f t="shared" si="154"/>
        <v>0.88843366845022398</v>
      </c>
      <c r="S1624" s="22">
        <f t="shared" si="155"/>
        <v>1.8884336684502201</v>
      </c>
    </row>
    <row r="1625" spans="1:19">
      <c r="A1625" s="18" t="s">
        <v>1664</v>
      </c>
      <c r="B1625" s="18" t="s">
        <v>40</v>
      </c>
      <c r="C1625" s="18" t="s">
        <v>48</v>
      </c>
      <c r="D1625" s="19">
        <v>44855</v>
      </c>
      <c r="E1625" s="20">
        <v>45456</v>
      </c>
      <c r="F1625" s="21">
        <v>4606.3999999999996</v>
      </c>
      <c r="G1625" s="21">
        <v>1963.2</v>
      </c>
      <c r="H1625" s="21">
        <v>1849.6</v>
      </c>
      <c r="I1625" s="18">
        <v>3078.4160000000002</v>
      </c>
      <c r="J1625" s="18">
        <v>6239.4560000000001</v>
      </c>
      <c r="K1625" s="18" t="s">
        <v>43</v>
      </c>
      <c r="L1625" s="18" t="s">
        <v>50</v>
      </c>
      <c r="M1625" s="18" t="s">
        <v>32</v>
      </c>
      <c r="N1625" s="22">
        <f t="shared" si="150"/>
        <v>0.42618964918374402</v>
      </c>
      <c r="O1625" s="22">
        <f t="shared" si="151"/>
        <v>0.94213528932355295</v>
      </c>
      <c r="P1625" s="23">
        <f t="shared" si="152"/>
        <v>1.56806030969845</v>
      </c>
      <c r="Q1625" s="23">
        <f t="shared" si="153"/>
        <v>1.6643685121107299</v>
      </c>
      <c r="R1625" s="22">
        <f t="shared" si="154"/>
        <v>1.02683977734003</v>
      </c>
      <c r="S1625" s="22">
        <f t="shared" si="155"/>
        <v>2.02683977734003</v>
      </c>
    </row>
    <row r="1626" spans="1:19">
      <c r="A1626" s="18" t="s">
        <v>1665</v>
      </c>
      <c r="B1626" s="18" t="s">
        <v>28</v>
      </c>
      <c r="C1626" s="18" t="s">
        <v>48</v>
      </c>
      <c r="D1626" s="19">
        <v>44801</v>
      </c>
      <c r="E1626" s="20">
        <v>45431</v>
      </c>
      <c r="F1626" s="21">
        <v>16584</v>
      </c>
      <c r="G1626" s="21">
        <v>16024</v>
      </c>
      <c r="H1626" s="21">
        <v>2750.4</v>
      </c>
      <c r="I1626" s="18">
        <v>441.36</v>
      </c>
      <c r="J1626" s="18">
        <v>1301.44</v>
      </c>
      <c r="K1626" s="18" t="s">
        <v>30</v>
      </c>
      <c r="L1626" s="18" t="s">
        <v>23</v>
      </c>
      <c r="M1626" s="18" t="s">
        <v>24</v>
      </c>
      <c r="N1626" s="22">
        <f t="shared" si="150"/>
        <v>0.96623251326579795</v>
      </c>
      <c r="O1626" s="22">
        <f t="shared" si="151"/>
        <v>0.17164253619570599</v>
      </c>
      <c r="P1626" s="23">
        <f t="shared" si="152"/>
        <v>2.75436844732901E-2</v>
      </c>
      <c r="Q1626" s="23">
        <f t="shared" si="153"/>
        <v>0.16047120418848199</v>
      </c>
      <c r="R1626" s="22">
        <f t="shared" si="154"/>
        <v>1.94870400580025</v>
      </c>
      <c r="S1626" s="22">
        <f t="shared" si="155"/>
        <v>2.9487040058002498</v>
      </c>
    </row>
    <row r="1627" spans="1:19">
      <c r="A1627" s="18" t="s">
        <v>1666</v>
      </c>
      <c r="B1627" s="18" t="s">
        <v>28</v>
      </c>
      <c r="C1627" s="18" t="s">
        <v>41</v>
      </c>
      <c r="D1627" s="19">
        <v>44757</v>
      </c>
      <c r="E1627" s="20">
        <v>45381</v>
      </c>
      <c r="F1627" s="21">
        <v>14875.2</v>
      </c>
      <c r="G1627" s="21">
        <v>1545.6</v>
      </c>
      <c r="H1627" s="21">
        <v>836.8</v>
      </c>
      <c r="I1627" s="18">
        <v>3307.424</v>
      </c>
      <c r="J1627" s="18">
        <v>5661.0879999999997</v>
      </c>
      <c r="K1627" s="18" t="s">
        <v>30</v>
      </c>
      <c r="L1627" s="18" t="s">
        <v>44</v>
      </c>
      <c r="M1627" s="18" t="s">
        <v>32</v>
      </c>
      <c r="N1627" s="22">
        <f t="shared" si="150"/>
        <v>0.10390448531784401</v>
      </c>
      <c r="O1627" s="22">
        <f t="shared" si="151"/>
        <v>0.54140786749482395</v>
      </c>
      <c r="P1627" s="23">
        <f t="shared" si="152"/>
        <v>2.1398964803312599</v>
      </c>
      <c r="Q1627" s="23">
        <f t="shared" si="153"/>
        <v>3.9524665391969398</v>
      </c>
      <c r="R1627" s="22">
        <f t="shared" si="154"/>
        <v>0.71163056203256703</v>
      </c>
      <c r="S1627" s="22">
        <f t="shared" si="155"/>
        <v>1.71163056203257</v>
      </c>
    </row>
    <row r="1628" spans="1:19">
      <c r="A1628" s="18" t="s">
        <v>1667</v>
      </c>
      <c r="B1628" s="18" t="s">
        <v>47</v>
      </c>
      <c r="C1628" s="18" t="s">
        <v>21</v>
      </c>
      <c r="D1628" s="19">
        <v>44877</v>
      </c>
      <c r="E1628" s="20">
        <v>45493</v>
      </c>
      <c r="F1628" s="21">
        <v>3896</v>
      </c>
      <c r="G1628" s="21">
        <v>1147.2</v>
      </c>
      <c r="H1628" s="21">
        <v>865.6</v>
      </c>
      <c r="I1628" s="18">
        <v>7206.7520000000004</v>
      </c>
      <c r="J1628" s="18">
        <v>13790.8</v>
      </c>
      <c r="K1628" s="18" t="s">
        <v>43</v>
      </c>
      <c r="L1628" s="18" t="s">
        <v>35</v>
      </c>
      <c r="M1628" s="18" t="s">
        <v>24</v>
      </c>
      <c r="N1628" s="22">
        <f t="shared" si="150"/>
        <v>0.29445585215605802</v>
      </c>
      <c r="O1628" s="22">
        <f t="shared" si="151"/>
        <v>0.75453277545327802</v>
      </c>
      <c r="P1628" s="23">
        <f t="shared" si="152"/>
        <v>6.2820362622036301</v>
      </c>
      <c r="Q1628" s="23">
        <f t="shared" si="153"/>
        <v>8.3257301293900206</v>
      </c>
      <c r="R1628" s="22">
        <f t="shared" si="154"/>
        <v>0.91359436261994298</v>
      </c>
      <c r="S1628" s="22">
        <f t="shared" si="155"/>
        <v>1.9135943626199401</v>
      </c>
    </row>
    <row r="1629" spans="1:19">
      <c r="A1629" s="18" t="s">
        <v>1668</v>
      </c>
      <c r="B1629" s="18" t="s">
        <v>20</v>
      </c>
      <c r="C1629" s="18" t="s">
        <v>29</v>
      </c>
      <c r="D1629" s="19">
        <v>44875</v>
      </c>
      <c r="E1629" s="20">
        <v>45500</v>
      </c>
      <c r="F1629" s="21">
        <v>1849.6</v>
      </c>
      <c r="G1629" s="21">
        <v>470.4</v>
      </c>
      <c r="H1629" s="21">
        <v>292.8</v>
      </c>
      <c r="I1629" s="18">
        <v>6610.4160000000002</v>
      </c>
      <c r="J1629" s="18">
        <v>13045.616</v>
      </c>
      <c r="K1629" s="18" t="s">
        <v>30</v>
      </c>
      <c r="L1629" s="18" t="s">
        <v>31</v>
      </c>
      <c r="M1629" s="18" t="s">
        <v>32</v>
      </c>
      <c r="N1629" s="22">
        <f t="shared" si="150"/>
        <v>0.254325259515571</v>
      </c>
      <c r="O1629" s="22">
        <f t="shared" si="151"/>
        <v>0.62244897959183698</v>
      </c>
      <c r="P1629" s="23">
        <f t="shared" si="152"/>
        <v>14.0527551020408</v>
      </c>
      <c r="Q1629" s="23">
        <f t="shared" si="153"/>
        <v>22.576557377049198</v>
      </c>
      <c r="R1629" s="22">
        <f t="shared" si="154"/>
        <v>0.97349395257423998</v>
      </c>
      <c r="S1629" s="22">
        <f t="shared" si="155"/>
        <v>1.9734939525742401</v>
      </c>
    </row>
    <row r="1630" spans="1:19">
      <c r="A1630" s="18" t="s">
        <v>1669</v>
      </c>
      <c r="B1630" s="18" t="s">
        <v>26</v>
      </c>
      <c r="C1630" s="18" t="s">
        <v>48</v>
      </c>
      <c r="D1630" s="19">
        <v>44705</v>
      </c>
      <c r="E1630" s="20">
        <v>45311</v>
      </c>
      <c r="F1630" s="21">
        <v>13648</v>
      </c>
      <c r="G1630" s="21">
        <v>6068.8</v>
      </c>
      <c r="H1630" s="21">
        <v>2059.1999999999998</v>
      </c>
      <c r="I1630" s="18">
        <v>7562.7359999999999</v>
      </c>
      <c r="J1630" s="18">
        <v>16255.647999999999</v>
      </c>
      <c r="K1630" s="18" t="s">
        <v>30</v>
      </c>
      <c r="L1630" s="18" t="s">
        <v>44</v>
      </c>
      <c r="M1630" s="18" t="s">
        <v>32</v>
      </c>
      <c r="N1630" s="22">
        <f t="shared" si="150"/>
        <v>0.44466588511137201</v>
      </c>
      <c r="O1630" s="22">
        <f t="shared" si="151"/>
        <v>0.339309253888742</v>
      </c>
      <c r="P1630" s="23">
        <f t="shared" si="152"/>
        <v>1.2461666227260699</v>
      </c>
      <c r="Q1630" s="23">
        <f t="shared" si="153"/>
        <v>3.6726573426573399</v>
      </c>
      <c r="R1630" s="22">
        <f t="shared" si="154"/>
        <v>1.1494400968115199</v>
      </c>
      <c r="S1630" s="22">
        <f t="shared" si="155"/>
        <v>2.1494400968115199</v>
      </c>
    </row>
    <row r="1631" spans="1:19">
      <c r="A1631" s="18" t="s">
        <v>1670</v>
      </c>
      <c r="B1631" s="18" t="s">
        <v>47</v>
      </c>
      <c r="C1631" s="18" t="s">
        <v>21</v>
      </c>
      <c r="D1631" s="19">
        <v>44743</v>
      </c>
      <c r="E1631" s="20">
        <v>45347</v>
      </c>
      <c r="F1631" s="21">
        <v>11768</v>
      </c>
      <c r="G1631" s="21">
        <v>819.2</v>
      </c>
      <c r="H1631" s="21">
        <v>772.8</v>
      </c>
      <c r="I1631" s="18">
        <v>6288.0479999999998</v>
      </c>
      <c r="J1631" s="18">
        <v>17838.736000000001</v>
      </c>
      <c r="K1631" s="18" t="s">
        <v>43</v>
      </c>
      <c r="L1631" s="18" t="s">
        <v>23</v>
      </c>
      <c r="M1631" s="18" t="s">
        <v>24</v>
      </c>
      <c r="N1631" s="22">
        <f t="shared" si="150"/>
        <v>6.9612508497620698E-2</v>
      </c>
      <c r="O1631" s="22">
        <f t="shared" si="151"/>
        <v>0.943359375</v>
      </c>
      <c r="P1631" s="23">
        <f t="shared" si="152"/>
        <v>7.6758398437500004</v>
      </c>
      <c r="Q1631" s="23">
        <f t="shared" si="153"/>
        <v>8.1367080745341607</v>
      </c>
      <c r="R1631" s="22">
        <f t="shared" si="154"/>
        <v>1.83692745348</v>
      </c>
      <c r="S1631" s="22">
        <f t="shared" si="155"/>
        <v>2.83692745348</v>
      </c>
    </row>
    <row r="1632" spans="1:19">
      <c r="A1632" s="18" t="s">
        <v>1671</v>
      </c>
      <c r="B1632" s="18" t="s">
        <v>26</v>
      </c>
      <c r="C1632" s="18" t="s">
        <v>29</v>
      </c>
      <c r="D1632" s="19">
        <v>44891</v>
      </c>
      <c r="E1632" s="20">
        <v>45519</v>
      </c>
      <c r="F1632" s="21">
        <v>51555.199999999997</v>
      </c>
      <c r="G1632" s="21">
        <v>42675.199999999997</v>
      </c>
      <c r="H1632" s="21">
        <v>307.2</v>
      </c>
      <c r="I1632" s="18">
        <v>7899.92</v>
      </c>
      <c r="J1632" s="18">
        <v>17439.28</v>
      </c>
      <c r="K1632" s="18" t="s">
        <v>30</v>
      </c>
      <c r="L1632" s="18" t="s">
        <v>31</v>
      </c>
      <c r="M1632" s="18" t="s">
        <v>32</v>
      </c>
      <c r="N1632" s="22">
        <f t="shared" si="150"/>
        <v>0.82775743280988101</v>
      </c>
      <c r="O1632" s="22">
        <f t="shared" si="151"/>
        <v>7.19856028794241E-3</v>
      </c>
      <c r="P1632" s="23">
        <f t="shared" si="152"/>
        <v>0.185117351529694</v>
      </c>
      <c r="Q1632" s="23">
        <f t="shared" si="153"/>
        <v>25.715885416666701</v>
      </c>
      <c r="R1632" s="22">
        <f t="shared" si="154"/>
        <v>1.2075261521635701</v>
      </c>
      <c r="S1632" s="22">
        <f t="shared" si="155"/>
        <v>2.2075261521635698</v>
      </c>
    </row>
    <row r="1633" spans="1:19">
      <c r="A1633" s="18" t="s">
        <v>1672</v>
      </c>
      <c r="B1633" s="18" t="s">
        <v>47</v>
      </c>
      <c r="C1633" s="18" t="s">
        <v>21</v>
      </c>
      <c r="D1633" s="19">
        <v>44970</v>
      </c>
      <c r="E1633" s="20">
        <v>45584</v>
      </c>
      <c r="F1633" s="21">
        <v>58380.800000000003</v>
      </c>
      <c r="G1633" s="21">
        <v>51592</v>
      </c>
      <c r="H1633" s="21">
        <v>44192</v>
      </c>
      <c r="I1633" s="18">
        <v>841.072</v>
      </c>
      <c r="J1633" s="18">
        <v>2580.7040000000002</v>
      </c>
      <c r="K1633" s="18" t="s">
        <v>22</v>
      </c>
      <c r="L1633" s="18" t="s">
        <v>23</v>
      </c>
      <c r="M1633" s="18" t="s">
        <v>32</v>
      </c>
      <c r="N1633" s="22">
        <f t="shared" si="150"/>
        <v>0.88371519403639598</v>
      </c>
      <c r="O1633" s="22">
        <f t="shared" si="151"/>
        <v>0.85656690959838699</v>
      </c>
      <c r="P1633" s="23">
        <f t="shared" si="152"/>
        <v>1.6302372460846599E-2</v>
      </c>
      <c r="Q1633" s="23">
        <f t="shared" si="153"/>
        <v>1.9032223026792201E-2</v>
      </c>
      <c r="R1633" s="22">
        <f t="shared" si="154"/>
        <v>2.0683508665132102</v>
      </c>
      <c r="S1633" s="22">
        <f t="shared" si="155"/>
        <v>3.0683508665132102</v>
      </c>
    </row>
    <row r="1634" spans="1:19">
      <c r="A1634" s="18" t="s">
        <v>1673</v>
      </c>
      <c r="B1634" s="18" t="s">
        <v>26</v>
      </c>
      <c r="C1634" s="18" t="s">
        <v>48</v>
      </c>
      <c r="D1634" s="19">
        <v>44714</v>
      </c>
      <c r="E1634" s="20">
        <v>45335</v>
      </c>
      <c r="F1634" s="21">
        <v>40753.599999999999</v>
      </c>
      <c r="G1634" s="21">
        <v>35568</v>
      </c>
      <c r="H1634" s="21">
        <v>7774.4</v>
      </c>
      <c r="I1634" s="18">
        <v>4587.7280000000001</v>
      </c>
      <c r="J1634" s="18">
        <v>9380.6560000000009</v>
      </c>
      <c r="K1634" s="18" t="s">
        <v>30</v>
      </c>
      <c r="L1634" s="18" t="s">
        <v>23</v>
      </c>
      <c r="M1634" s="18" t="s">
        <v>24</v>
      </c>
      <c r="N1634" s="22">
        <f t="shared" si="150"/>
        <v>0.87275725334694398</v>
      </c>
      <c r="O1634" s="22">
        <f t="shared" si="151"/>
        <v>0.218578497525866</v>
      </c>
      <c r="P1634" s="23">
        <f t="shared" si="152"/>
        <v>0.12898470535312601</v>
      </c>
      <c r="Q1634" s="23">
        <f t="shared" si="153"/>
        <v>0.59010701790491904</v>
      </c>
      <c r="R1634" s="22">
        <f t="shared" si="154"/>
        <v>1.0447280222367199</v>
      </c>
      <c r="S1634" s="22">
        <f t="shared" si="155"/>
        <v>2.0447280222367201</v>
      </c>
    </row>
    <row r="1635" spans="1:19">
      <c r="A1635" s="18" t="s">
        <v>1674</v>
      </c>
      <c r="B1635" s="18" t="s">
        <v>40</v>
      </c>
      <c r="C1635" s="18" t="s">
        <v>29</v>
      </c>
      <c r="D1635" s="19">
        <v>44887</v>
      </c>
      <c r="E1635" s="20">
        <v>45493</v>
      </c>
      <c r="F1635" s="21">
        <v>70808</v>
      </c>
      <c r="G1635" s="21">
        <v>17515.2</v>
      </c>
      <c r="H1635" s="21">
        <v>13824</v>
      </c>
      <c r="I1635" s="18">
        <v>5985.2479999999996</v>
      </c>
      <c r="J1635" s="18">
        <v>18409.856</v>
      </c>
      <c r="K1635" s="18" t="s">
        <v>65</v>
      </c>
      <c r="L1635" s="18" t="s">
        <v>31</v>
      </c>
      <c r="M1635" s="18" t="s">
        <v>32</v>
      </c>
      <c r="N1635" s="22">
        <f t="shared" si="150"/>
        <v>0.24736188001355799</v>
      </c>
      <c r="O1635" s="22">
        <f t="shared" si="151"/>
        <v>0.78925733077555504</v>
      </c>
      <c r="P1635" s="23">
        <f t="shared" si="152"/>
        <v>0.34171736548826198</v>
      </c>
      <c r="Q1635" s="23">
        <f t="shared" si="153"/>
        <v>0.432960648148148</v>
      </c>
      <c r="R1635" s="22">
        <f t="shared" si="154"/>
        <v>2.0758718769882201</v>
      </c>
      <c r="S1635" s="22">
        <f t="shared" si="155"/>
        <v>3.0758718769882201</v>
      </c>
    </row>
    <row r="1636" spans="1:19">
      <c r="A1636" s="18" t="s">
        <v>1675</v>
      </c>
      <c r="B1636" s="18" t="s">
        <v>28</v>
      </c>
      <c r="C1636" s="18" t="s">
        <v>48</v>
      </c>
      <c r="D1636" s="19">
        <v>44779</v>
      </c>
      <c r="E1636" s="20">
        <v>45382</v>
      </c>
      <c r="F1636" s="21">
        <v>23430.400000000001</v>
      </c>
      <c r="G1636" s="21">
        <v>17368</v>
      </c>
      <c r="H1636" s="21">
        <v>6318.4</v>
      </c>
      <c r="I1636" s="18">
        <v>2399.8879999999999</v>
      </c>
      <c r="J1636" s="18">
        <v>8436.16</v>
      </c>
      <c r="K1636" s="18" t="s">
        <v>43</v>
      </c>
      <c r="L1636" s="18" t="s">
        <v>35</v>
      </c>
      <c r="M1636" s="18" t="s">
        <v>32</v>
      </c>
      <c r="N1636" s="22">
        <f t="shared" si="150"/>
        <v>0.74125921879267997</v>
      </c>
      <c r="O1636" s="22">
        <f t="shared" si="151"/>
        <v>0.363795485951175</v>
      </c>
      <c r="P1636" s="23">
        <f t="shared" si="152"/>
        <v>0.13817871948410901</v>
      </c>
      <c r="Q1636" s="23">
        <f t="shared" si="153"/>
        <v>0.37982527222081502</v>
      </c>
      <c r="R1636" s="22">
        <f t="shared" si="154"/>
        <v>2.5152307107665002</v>
      </c>
      <c r="S1636" s="22">
        <f t="shared" si="155"/>
        <v>3.5152307107665002</v>
      </c>
    </row>
    <row r="1637" spans="1:19">
      <c r="A1637" s="18" t="s">
        <v>1676</v>
      </c>
      <c r="B1637" s="18" t="s">
        <v>34</v>
      </c>
      <c r="C1637" s="18" t="s">
        <v>41</v>
      </c>
      <c r="D1637" s="19">
        <v>44880</v>
      </c>
      <c r="E1637" s="20">
        <v>45493</v>
      </c>
      <c r="F1637" s="21">
        <v>72528</v>
      </c>
      <c r="G1637" s="21">
        <v>606.4</v>
      </c>
      <c r="H1637" s="21">
        <v>603.20000000000005</v>
      </c>
      <c r="I1637" s="18">
        <v>2892.1120000000001</v>
      </c>
      <c r="J1637" s="18">
        <v>4256.0640000000003</v>
      </c>
      <c r="K1637" s="18" t="s">
        <v>43</v>
      </c>
      <c r="L1637" s="18" t="s">
        <v>44</v>
      </c>
      <c r="M1637" s="18" t="s">
        <v>32</v>
      </c>
      <c r="N1637" s="22">
        <f t="shared" si="150"/>
        <v>8.3609088903595797E-3</v>
      </c>
      <c r="O1637" s="22">
        <f t="shared" si="151"/>
        <v>0.99472295514511899</v>
      </c>
      <c r="P1637" s="23">
        <f t="shared" si="152"/>
        <v>4.7693139841688703</v>
      </c>
      <c r="Q1637" s="23">
        <f t="shared" si="153"/>
        <v>4.7946153846153798</v>
      </c>
      <c r="R1637" s="22">
        <f t="shared" si="154"/>
        <v>0.47161105793966501</v>
      </c>
      <c r="S1637" s="22">
        <f t="shared" si="155"/>
        <v>1.47161105793966</v>
      </c>
    </row>
    <row r="1638" spans="1:19">
      <c r="A1638" s="18" t="s">
        <v>1677</v>
      </c>
      <c r="B1638" s="18" t="s">
        <v>34</v>
      </c>
      <c r="C1638" s="18" t="s">
        <v>41</v>
      </c>
      <c r="D1638" s="19">
        <v>44949</v>
      </c>
      <c r="E1638" s="20">
        <v>45562</v>
      </c>
      <c r="F1638" s="21">
        <v>24780.799999999999</v>
      </c>
      <c r="G1638" s="21">
        <v>14412.8</v>
      </c>
      <c r="H1638" s="21">
        <v>1958.4</v>
      </c>
      <c r="I1638" s="18">
        <v>4294.4160000000002</v>
      </c>
      <c r="J1638" s="18">
        <v>11571.312</v>
      </c>
      <c r="K1638" s="18" t="s">
        <v>22</v>
      </c>
      <c r="L1638" s="18" t="s">
        <v>50</v>
      </c>
      <c r="M1638" s="18" t="s">
        <v>24</v>
      </c>
      <c r="N1638" s="22">
        <f t="shared" si="150"/>
        <v>0.58161157024793397</v>
      </c>
      <c r="O1638" s="22">
        <f t="shared" si="151"/>
        <v>0.135879218472469</v>
      </c>
      <c r="P1638" s="23">
        <f t="shared" si="152"/>
        <v>0.29795848134991099</v>
      </c>
      <c r="Q1638" s="23">
        <f t="shared" si="153"/>
        <v>2.19281862745098</v>
      </c>
      <c r="R1638" s="22">
        <f t="shared" si="154"/>
        <v>1.6945018833759899</v>
      </c>
      <c r="S1638" s="22">
        <f t="shared" si="155"/>
        <v>2.6945018833759899</v>
      </c>
    </row>
    <row r="1639" spans="1:19">
      <c r="A1639" s="18" t="s">
        <v>1678</v>
      </c>
      <c r="B1639" s="18" t="s">
        <v>28</v>
      </c>
      <c r="C1639" s="18" t="s">
        <v>29</v>
      </c>
      <c r="D1639" s="19">
        <v>44960</v>
      </c>
      <c r="E1639" s="20">
        <v>45588</v>
      </c>
      <c r="F1639" s="21">
        <v>63934.400000000001</v>
      </c>
      <c r="G1639" s="21">
        <v>23892.799999999999</v>
      </c>
      <c r="H1639" s="21">
        <v>16137.6</v>
      </c>
      <c r="I1639" s="18">
        <v>7370.96</v>
      </c>
      <c r="J1639" s="18">
        <v>27317.392</v>
      </c>
      <c r="K1639" s="18" t="s">
        <v>43</v>
      </c>
      <c r="L1639" s="18" t="s">
        <v>44</v>
      </c>
      <c r="M1639" s="18" t="s">
        <v>32</v>
      </c>
      <c r="N1639" s="22">
        <f t="shared" si="150"/>
        <v>0.37370805075202101</v>
      </c>
      <c r="O1639" s="22">
        <f t="shared" si="151"/>
        <v>0.67541686198352602</v>
      </c>
      <c r="P1639" s="23">
        <f t="shared" si="152"/>
        <v>0.30850130583272001</v>
      </c>
      <c r="Q1639" s="23">
        <f t="shared" si="153"/>
        <v>0.45675689073963899</v>
      </c>
      <c r="R1639" s="22">
        <f t="shared" si="154"/>
        <v>2.70608333242888</v>
      </c>
      <c r="S1639" s="22">
        <f t="shared" si="155"/>
        <v>3.70608333242888</v>
      </c>
    </row>
    <row r="1640" spans="1:19">
      <c r="A1640" s="18" t="s">
        <v>1679</v>
      </c>
      <c r="B1640" s="18" t="s">
        <v>40</v>
      </c>
      <c r="C1640" s="18" t="s">
        <v>21</v>
      </c>
      <c r="D1640" s="19">
        <v>44927</v>
      </c>
      <c r="E1640" s="20">
        <v>45547</v>
      </c>
      <c r="F1640" s="21">
        <v>63510.400000000001</v>
      </c>
      <c r="G1640" s="21">
        <v>5526.4</v>
      </c>
      <c r="H1640" s="21">
        <v>1097.5999999999999</v>
      </c>
      <c r="I1640" s="18">
        <v>659.82399999999996</v>
      </c>
      <c r="J1640" s="18">
        <v>1631.5360000000001</v>
      </c>
      <c r="K1640" s="18" t="s">
        <v>65</v>
      </c>
      <c r="L1640" s="18" t="s">
        <v>23</v>
      </c>
      <c r="M1640" s="18" t="s">
        <v>32</v>
      </c>
      <c r="N1640" s="22">
        <f t="shared" si="150"/>
        <v>8.7015669874540194E-2</v>
      </c>
      <c r="O1640" s="22">
        <f t="shared" si="151"/>
        <v>0.198610306890562</v>
      </c>
      <c r="P1640" s="23">
        <f t="shared" si="152"/>
        <v>0.119394904458599</v>
      </c>
      <c r="Q1640" s="23">
        <f t="shared" si="153"/>
        <v>0.60115160349854202</v>
      </c>
      <c r="R1640" s="22">
        <f t="shared" si="154"/>
        <v>1.4726836247241699</v>
      </c>
      <c r="S1640" s="22">
        <f t="shared" si="155"/>
        <v>2.4726836247241701</v>
      </c>
    </row>
    <row r="1641" spans="1:19">
      <c r="A1641" s="18" t="s">
        <v>1680</v>
      </c>
      <c r="B1641" s="18" t="s">
        <v>20</v>
      </c>
      <c r="C1641" s="18" t="s">
        <v>21</v>
      </c>
      <c r="D1641" s="19">
        <v>44936</v>
      </c>
      <c r="E1641" s="20">
        <v>45565</v>
      </c>
      <c r="F1641" s="21">
        <v>73792</v>
      </c>
      <c r="G1641" s="21">
        <v>9720</v>
      </c>
      <c r="H1641" s="21">
        <v>5230.3999999999996</v>
      </c>
      <c r="I1641" s="18">
        <v>7267.0879999999997</v>
      </c>
      <c r="J1641" s="18">
        <v>12432.688</v>
      </c>
      <c r="K1641" s="18" t="s">
        <v>43</v>
      </c>
      <c r="L1641" s="18" t="s">
        <v>31</v>
      </c>
      <c r="M1641" s="18" t="s">
        <v>32</v>
      </c>
      <c r="N1641" s="22">
        <f t="shared" si="150"/>
        <v>0.13172159583694701</v>
      </c>
      <c r="O1641" s="22">
        <f t="shared" si="151"/>
        <v>0.53810699588477395</v>
      </c>
      <c r="P1641" s="23">
        <f t="shared" si="152"/>
        <v>0.74764279835390901</v>
      </c>
      <c r="Q1641" s="23">
        <f t="shared" si="153"/>
        <v>1.3893943101866</v>
      </c>
      <c r="R1641" s="22">
        <f t="shared" si="154"/>
        <v>0.71082117073578899</v>
      </c>
      <c r="S1641" s="22">
        <f t="shared" si="155"/>
        <v>1.7108211707357901</v>
      </c>
    </row>
    <row r="1642" spans="1:19">
      <c r="A1642" s="18" t="s">
        <v>1681</v>
      </c>
      <c r="B1642" s="18" t="s">
        <v>47</v>
      </c>
      <c r="C1642" s="18" t="s">
        <v>21</v>
      </c>
      <c r="D1642" s="19">
        <v>44794</v>
      </c>
      <c r="E1642" s="20">
        <v>45400</v>
      </c>
      <c r="F1642" s="21">
        <v>3659.2</v>
      </c>
      <c r="G1642" s="21">
        <v>2958.4</v>
      </c>
      <c r="H1642" s="21">
        <v>611.20000000000005</v>
      </c>
      <c r="I1642" s="18">
        <v>3530.72</v>
      </c>
      <c r="J1642" s="18">
        <v>5803.5680000000002</v>
      </c>
      <c r="K1642" s="18" t="s">
        <v>30</v>
      </c>
      <c r="L1642" s="18" t="s">
        <v>35</v>
      </c>
      <c r="M1642" s="18" t="s">
        <v>24</v>
      </c>
      <c r="N1642" s="22">
        <f t="shared" si="150"/>
        <v>0.80848272846523805</v>
      </c>
      <c r="O1642" s="22">
        <f t="shared" si="151"/>
        <v>0.20659816116819901</v>
      </c>
      <c r="P1642" s="23">
        <f t="shared" si="152"/>
        <v>1.19345592212006</v>
      </c>
      <c r="Q1642" s="23">
        <f t="shared" si="153"/>
        <v>5.7767015706806299</v>
      </c>
      <c r="R1642" s="22">
        <f t="shared" si="154"/>
        <v>0.64373498889744896</v>
      </c>
      <c r="S1642" s="22">
        <f t="shared" si="155"/>
        <v>1.64373498889745</v>
      </c>
    </row>
    <row r="1643" spans="1:19">
      <c r="A1643" s="18" t="s">
        <v>1682</v>
      </c>
      <c r="B1643" s="18" t="s">
        <v>40</v>
      </c>
      <c r="C1643" s="18" t="s">
        <v>41</v>
      </c>
      <c r="D1643" s="19">
        <v>44779</v>
      </c>
      <c r="E1643" s="20">
        <v>45406</v>
      </c>
      <c r="F1643" s="21">
        <v>26809.599999999999</v>
      </c>
      <c r="G1643" s="21">
        <v>14283.2</v>
      </c>
      <c r="H1643" s="21">
        <v>7848</v>
      </c>
      <c r="I1643" s="18">
        <v>3468.944</v>
      </c>
      <c r="J1643" s="18">
        <v>7830.8</v>
      </c>
      <c r="K1643" s="18" t="s">
        <v>38</v>
      </c>
      <c r="L1643" s="18" t="s">
        <v>23</v>
      </c>
      <c r="M1643" s="18" t="s">
        <v>24</v>
      </c>
      <c r="N1643" s="22">
        <f t="shared" si="150"/>
        <v>0.53276438290761496</v>
      </c>
      <c r="O1643" s="22">
        <f t="shared" si="151"/>
        <v>0.54945670437997096</v>
      </c>
      <c r="P1643" s="23">
        <f t="shared" si="152"/>
        <v>0.24286882491318501</v>
      </c>
      <c r="Q1643" s="23">
        <f t="shared" si="153"/>
        <v>0.442016309887869</v>
      </c>
      <c r="R1643" s="22">
        <f t="shared" si="154"/>
        <v>1.25740167612968</v>
      </c>
      <c r="S1643" s="22">
        <f t="shared" si="155"/>
        <v>2.25740167612968</v>
      </c>
    </row>
    <row r="1644" spans="1:19">
      <c r="A1644" s="18" t="s">
        <v>1683</v>
      </c>
      <c r="B1644" s="18" t="s">
        <v>34</v>
      </c>
      <c r="C1644" s="18" t="s">
        <v>21</v>
      </c>
      <c r="D1644" s="19">
        <v>44838</v>
      </c>
      <c r="E1644" s="20">
        <v>45452</v>
      </c>
      <c r="F1644" s="21">
        <v>57822.400000000001</v>
      </c>
      <c r="G1644" s="21">
        <v>32422.400000000001</v>
      </c>
      <c r="H1644" s="21">
        <v>7920</v>
      </c>
      <c r="I1644" s="18">
        <v>4164.4799999999996</v>
      </c>
      <c r="J1644" s="18">
        <v>14372.224</v>
      </c>
      <c r="K1644" s="18" t="s">
        <v>30</v>
      </c>
      <c r="L1644" s="18" t="s">
        <v>23</v>
      </c>
      <c r="M1644" s="18" t="s">
        <v>32</v>
      </c>
      <c r="N1644" s="22">
        <f t="shared" si="150"/>
        <v>0.56072387171753502</v>
      </c>
      <c r="O1644" s="22">
        <f t="shared" si="151"/>
        <v>0.244275562574023</v>
      </c>
      <c r="P1644" s="23">
        <f t="shared" si="152"/>
        <v>0.12844453217528601</v>
      </c>
      <c r="Q1644" s="23">
        <f t="shared" si="153"/>
        <v>0.52581818181818196</v>
      </c>
      <c r="R1644" s="22">
        <f t="shared" si="154"/>
        <v>2.45114492085446</v>
      </c>
      <c r="S1644" s="22">
        <f t="shared" si="155"/>
        <v>3.45114492085446</v>
      </c>
    </row>
    <row r="1645" spans="1:19">
      <c r="A1645" s="18" t="s">
        <v>1684</v>
      </c>
      <c r="B1645" s="18" t="s">
        <v>28</v>
      </c>
      <c r="C1645" s="18" t="s">
        <v>48</v>
      </c>
      <c r="D1645" s="19">
        <v>44777</v>
      </c>
      <c r="E1645" s="20">
        <v>45397</v>
      </c>
      <c r="F1645" s="21">
        <v>33200</v>
      </c>
      <c r="G1645" s="21">
        <v>19238.400000000001</v>
      </c>
      <c r="H1645" s="21">
        <v>8120</v>
      </c>
      <c r="I1645" s="18">
        <v>5820.6719999999996</v>
      </c>
      <c r="J1645" s="18">
        <v>17451.759999999998</v>
      </c>
      <c r="K1645" s="18" t="s">
        <v>65</v>
      </c>
      <c r="L1645" s="18" t="s">
        <v>44</v>
      </c>
      <c r="M1645" s="18" t="s">
        <v>32</v>
      </c>
      <c r="N1645" s="22">
        <f t="shared" si="150"/>
        <v>0.57946987951807205</v>
      </c>
      <c r="O1645" s="22">
        <f t="shared" si="151"/>
        <v>0.42207252162342002</v>
      </c>
      <c r="P1645" s="23">
        <f t="shared" si="152"/>
        <v>0.302554890219561</v>
      </c>
      <c r="Q1645" s="23">
        <f t="shared" si="153"/>
        <v>0.71683152709359599</v>
      </c>
      <c r="R1645" s="22">
        <f t="shared" si="154"/>
        <v>1.99823800413423</v>
      </c>
      <c r="S1645" s="22">
        <f t="shared" si="155"/>
        <v>2.99823800413423</v>
      </c>
    </row>
    <row r="1646" spans="1:19">
      <c r="A1646" s="18" t="s">
        <v>1685</v>
      </c>
      <c r="B1646" s="18" t="s">
        <v>26</v>
      </c>
      <c r="C1646" s="18" t="s">
        <v>48</v>
      </c>
      <c r="D1646" s="19">
        <v>44822</v>
      </c>
      <c r="E1646" s="20">
        <v>45438</v>
      </c>
      <c r="F1646" s="21">
        <v>60504</v>
      </c>
      <c r="G1646" s="21">
        <v>22953.599999999999</v>
      </c>
      <c r="H1646" s="21">
        <v>777.6</v>
      </c>
      <c r="I1646" s="18">
        <v>4389.3599999999997</v>
      </c>
      <c r="J1646" s="18">
        <v>11345.472</v>
      </c>
      <c r="K1646" s="18" t="s">
        <v>30</v>
      </c>
      <c r="L1646" s="18" t="s">
        <v>44</v>
      </c>
      <c r="M1646" s="18" t="s">
        <v>24</v>
      </c>
      <c r="N1646" s="22">
        <f t="shared" si="150"/>
        <v>0.379373264577549</v>
      </c>
      <c r="O1646" s="22">
        <f t="shared" si="151"/>
        <v>3.3877038895859503E-2</v>
      </c>
      <c r="P1646" s="23">
        <f t="shared" si="152"/>
        <v>0.19122751986616501</v>
      </c>
      <c r="Q1646" s="23">
        <f t="shared" si="153"/>
        <v>5.6447530864197502</v>
      </c>
      <c r="R1646" s="22">
        <f t="shared" si="154"/>
        <v>1.58476679971568</v>
      </c>
      <c r="S1646" s="22">
        <f t="shared" si="155"/>
        <v>2.58476679971568</v>
      </c>
    </row>
    <row r="1647" spans="1:19">
      <c r="A1647" s="18" t="s">
        <v>1686</v>
      </c>
      <c r="B1647" s="18" t="s">
        <v>28</v>
      </c>
      <c r="C1647" s="18" t="s">
        <v>41</v>
      </c>
      <c r="D1647" s="19">
        <v>44966</v>
      </c>
      <c r="E1647" s="20">
        <v>45568</v>
      </c>
      <c r="F1647" s="21">
        <v>50891.199999999997</v>
      </c>
      <c r="G1647" s="21">
        <v>23004.799999999999</v>
      </c>
      <c r="H1647" s="21">
        <v>388.8</v>
      </c>
      <c r="I1647" s="18">
        <v>3394.8319999999999</v>
      </c>
      <c r="J1647" s="18">
        <v>5399.0720000000001</v>
      </c>
      <c r="K1647" s="18" t="s">
        <v>30</v>
      </c>
      <c r="L1647" s="18" t="s">
        <v>44</v>
      </c>
      <c r="M1647" s="18" t="s">
        <v>24</v>
      </c>
      <c r="N1647" s="22">
        <f t="shared" si="150"/>
        <v>0.45203885937057903</v>
      </c>
      <c r="O1647" s="22">
        <f t="shared" si="151"/>
        <v>1.6900820698289101E-2</v>
      </c>
      <c r="P1647" s="23">
        <f t="shared" si="152"/>
        <v>0.14757059396299901</v>
      </c>
      <c r="Q1647" s="23">
        <f t="shared" si="153"/>
        <v>8.7315637860082305</v>
      </c>
      <c r="R1647" s="22">
        <f t="shared" si="154"/>
        <v>0.590379730130976</v>
      </c>
      <c r="S1647" s="22">
        <f t="shared" si="155"/>
        <v>1.5903797301309801</v>
      </c>
    </row>
    <row r="1648" spans="1:19">
      <c r="A1648" s="18" t="s">
        <v>1687</v>
      </c>
      <c r="B1648" s="18" t="s">
        <v>40</v>
      </c>
      <c r="C1648" s="18" t="s">
        <v>21</v>
      </c>
      <c r="D1648" s="19">
        <v>44816</v>
      </c>
      <c r="E1648" s="20">
        <v>45445</v>
      </c>
      <c r="F1648" s="21">
        <v>57899.199999999997</v>
      </c>
      <c r="G1648" s="21">
        <v>43216</v>
      </c>
      <c r="H1648" s="21">
        <v>30142.400000000001</v>
      </c>
      <c r="I1648" s="18">
        <v>572.72</v>
      </c>
      <c r="J1648" s="18">
        <v>1948.9760000000001</v>
      </c>
      <c r="K1648" s="18" t="s">
        <v>30</v>
      </c>
      <c r="L1648" s="18" t="s">
        <v>44</v>
      </c>
      <c r="M1648" s="18" t="s">
        <v>32</v>
      </c>
      <c r="N1648" s="22">
        <f t="shared" si="150"/>
        <v>0.746400641114212</v>
      </c>
      <c r="O1648" s="22">
        <f t="shared" si="151"/>
        <v>0.69748241392077004</v>
      </c>
      <c r="P1648" s="23">
        <f t="shared" si="152"/>
        <v>1.3252499074416901E-2</v>
      </c>
      <c r="Q1648" s="23">
        <f t="shared" si="153"/>
        <v>1.9000477732363699E-2</v>
      </c>
      <c r="R1648" s="22">
        <f t="shared" si="154"/>
        <v>2.4030171811705499</v>
      </c>
      <c r="S1648" s="22">
        <f t="shared" si="155"/>
        <v>3.4030171811705499</v>
      </c>
    </row>
    <row r="1649" spans="1:19">
      <c r="A1649" s="18" t="s">
        <v>1688</v>
      </c>
      <c r="B1649" s="18" t="s">
        <v>28</v>
      </c>
      <c r="C1649" s="18" t="s">
        <v>48</v>
      </c>
      <c r="D1649" s="19">
        <v>44895</v>
      </c>
      <c r="E1649" s="20">
        <v>45503</v>
      </c>
      <c r="F1649" s="21">
        <v>6188.8</v>
      </c>
      <c r="G1649" s="21">
        <v>2035.2</v>
      </c>
      <c r="H1649" s="21">
        <v>680</v>
      </c>
      <c r="I1649" s="18">
        <v>4120.3999999999996</v>
      </c>
      <c r="J1649" s="18">
        <v>11711.664000000001</v>
      </c>
      <c r="K1649" s="18" t="s">
        <v>22</v>
      </c>
      <c r="L1649" s="18" t="s">
        <v>23</v>
      </c>
      <c r="M1649" s="18" t="s">
        <v>24</v>
      </c>
      <c r="N1649" s="22">
        <f t="shared" si="150"/>
        <v>0.328852119958635</v>
      </c>
      <c r="O1649" s="22">
        <f t="shared" si="151"/>
        <v>0.33411949685534598</v>
      </c>
      <c r="P1649" s="23">
        <f t="shared" si="152"/>
        <v>2.0245676100628902</v>
      </c>
      <c r="Q1649" s="23">
        <f t="shared" si="153"/>
        <v>6.0594117647058798</v>
      </c>
      <c r="R1649" s="22">
        <f t="shared" si="154"/>
        <v>1.8423609358314701</v>
      </c>
      <c r="S1649" s="22">
        <f t="shared" si="155"/>
        <v>2.8423609358314699</v>
      </c>
    </row>
    <row r="1650" spans="1:19">
      <c r="A1650" s="18" t="s">
        <v>1689</v>
      </c>
      <c r="B1650" s="18" t="s">
        <v>47</v>
      </c>
      <c r="C1650" s="18" t="s">
        <v>29</v>
      </c>
      <c r="D1650" s="19">
        <v>44746</v>
      </c>
      <c r="E1650" s="20">
        <v>45376</v>
      </c>
      <c r="F1650" s="21">
        <v>8193.6</v>
      </c>
      <c r="G1650" s="21">
        <v>3859.2</v>
      </c>
      <c r="H1650" s="21">
        <v>790.4</v>
      </c>
      <c r="I1650" s="18">
        <v>4526.848</v>
      </c>
      <c r="J1650" s="18">
        <v>7256.2079999999996</v>
      </c>
      <c r="K1650" s="18" t="s">
        <v>43</v>
      </c>
      <c r="L1650" s="18" t="s">
        <v>50</v>
      </c>
      <c r="M1650" s="18" t="s">
        <v>32</v>
      </c>
      <c r="N1650" s="22">
        <f t="shared" si="150"/>
        <v>0.471001757469244</v>
      </c>
      <c r="O1650" s="22">
        <f t="shared" si="151"/>
        <v>0.20480928689883901</v>
      </c>
      <c r="P1650" s="23">
        <f t="shared" si="152"/>
        <v>1.17300165837479</v>
      </c>
      <c r="Q1650" s="23">
        <f t="shared" si="153"/>
        <v>5.7272874493927102</v>
      </c>
      <c r="R1650" s="22">
        <f t="shared" si="154"/>
        <v>0.60292724650794505</v>
      </c>
      <c r="S1650" s="22">
        <f t="shared" si="155"/>
        <v>1.60292724650795</v>
      </c>
    </row>
    <row r="1651" spans="1:19">
      <c r="A1651" s="18" t="s">
        <v>1690</v>
      </c>
      <c r="B1651" s="18" t="s">
        <v>47</v>
      </c>
      <c r="C1651" s="18" t="s">
        <v>41</v>
      </c>
      <c r="D1651" s="19">
        <v>44936</v>
      </c>
      <c r="E1651" s="20">
        <v>45559</v>
      </c>
      <c r="F1651" s="21">
        <v>8508.7999999999993</v>
      </c>
      <c r="G1651" s="21">
        <v>3038.4</v>
      </c>
      <c r="H1651" s="21">
        <v>712</v>
      </c>
      <c r="I1651" s="18">
        <v>5568.0479999999998</v>
      </c>
      <c r="J1651" s="18">
        <v>21454.592000000001</v>
      </c>
      <c r="K1651" s="18" t="s">
        <v>30</v>
      </c>
      <c r="L1651" s="18" t="s">
        <v>23</v>
      </c>
      <c r="M1651" s="18" t="s">
        <v>32</v>
      </c>
      <c r="N1651" s="22">
        <f t="shared" si="150"/>
        <v>0.35708913125235098</v>
      </c>
      <c r="O1651" s="22">
        <f t="shared" si="151"/>
        <v>0.23433385992627701</v>
      </c>
      <c r="P1651" s="23">
        <f t="shared" si="152"/>
        <v>1.83255924170616</v>
      </c>
      <c r="Q1651" s="23">
        <f t="shared" si="153"/>
        <v>7.82029213483146</v>
      </c>
      <c r="R1651" s="22">
        <f t="shared" si="154"/>
        <v>2.8531621853834599</v>
      </c>
      <c r="S1651" s="22">
        <f t="shared" si="155"/>
        <v>3.8531621853834599</v>
      </c>
    </row>
    <row r="1652" spans="1:19">
      <c r="A1652" s="18" t="s">
        <v>1691</v>
      </c>
      <c r="B1652" s="18" t="s">
        <v>40</v>
      </c>
      <c r="C1652" s="18" t="s">
        <v>29</v>
      </c>
      <c r="D1652" s="19">
        <v>44951</v>
      </c>
      <c r="E1652" s="20">
        <v>45567</v>
      </c>
      <c r="F1652" s="21">
        <v>43355.199999999997</v>
      </c>
      <c r="G1652" s="21">
        <v>35753.599999999999</v>
      </c>
      <c r="H1652" s="21">
        <v>2587.1999999999998</v>
      </c>
      <c r="I1652" s="18">
        <v>2725.136</v>
      </c>
      <c r="J1652" s="18">
        <v>10298.335999999999</v>
      </c>
      <c r="K1652" s="18" t="s">
        <v>38</v>
      </c>
      <c r="L1652" s="18" t="s">
        <v>31</v>
      </c>
      <c r="M1652" s="18" t="s">
        <v>32</v>
      </c>
      <c r="N1652" s="22">
        <f t="shared" si="150"/>
        <v>0.82466693729933205</v>
      </c>
      <c r="O1652" s="22">
        <f t="shared" si="151"/>
        <v>7.2361943972075501E-2</v>
      </c>
      <c r="P1652" s="23">
        <f t="shared" si="152"/>
        <v>7.6219905128434601E-2</v>
      </c>
      <c r="Q1652" s="23">
        <f t="shared" si="153"/>
        <v>1.0533147804576399</v>
      </c>
      <c r="R1652" s="22">
        <f t="shared" si="154"/>
        <v>2.7790172673950901</v>
      </c>
      <c r="S1652" s="22">
        <f t="shared" si="155"/>
        <v>3.7790172673950901</v>
      </c>
    </row>
    <row r="1653" spans="1:19">
      <c r="A1653" s="18" t="s">
        <v>1692</v>
      </c>
      <c r="B1653" s="18" t="s">
        <v>26</v>
      </c>
      <c r="C1653" s="18" t="s">
        <v>21</v>
      </c>
      <c r="D1653" s="19">
        <v>44915</v>
      </c>
      <c r="E1653" s="20">
        <v>45525</v>
      </c>
      <c r="F1653" s="21">
        <v>23230.400000000001</v>
      </c>
      <c r="G1653" s="21">
        <v>5574.4</v>
      </c>
      <c r="H1653" s="21">
        <v>3468.8</v>
      </c>
      <c r="I1653" s="18">
        <v>4507.7120000000004</v>
      </c>
      <c r="J1653" s="18">
        <v>11429.232</v>
      </c>
      <c r="K1653" s="18" t="s">
        <v>65</v>
      </c>
      <c r="L1653" s="18" t="s">
        <v>50</v>
      </c>
      <c r="M1653" s="18" t="s">
        <v>32</v>
      </c>
      <c r="N1653" s="22">
        <f t="shared" si="150"/>
        <v>0.239961429850541</v>
      </c>
      <c r="O1653" s="22">
        <f t="shared" si="151"/>
        <v>0.62227324913892101</v>
      </c>
      <c r="P1653" s="23">
        <f t="shared" si="152"/>
        <v>0.808645235361653</v>
      </c>
      <c r="Q1653" s="23">
        <f t="shared" si="153"/>
        <v>1.2995018450184499</v>
      </c>
      <c r="R1653" s="22">
        <f t="shared" si="154"/>
        <v>1.53548407706615</v>
      </c>
      <c r="S1653" s="22">
        <f t="shared" si="155"/>
        <v>2.5354840770661502</v>
      </c>
    </row>
    <row r="1654" spans="1:19">
      <c r="A1654" s="18" t="s">
        <v>1693</v>
      </c>
      <c r="B1654" s="18" t="s">
        <v>26</v>
      </c>
      <c r="C1654" s="18" t="s">
        <v>21</v>
      </c>
      <c r="D1654" s="19">
        <v>44874</v>
      </c>
      <c r="E1654" s="20">
        <v>45502</v>
      </c>
      <c r="F1654" s="21">
        <v>50784</v>
      </c>
      <c r="G1654" s="21">
        <v>33188.800000000003</v>
      </c>
      <c r="H1654" s="21">
        <v>7113.6</v>
      </c>
      <c r="I1654" s="18">
        <v>562.24</v>
      </c>
      <c r="J1654" s="18">
        <v>1411.424</v>
      </c>
      <c r="K1654" s="18" t="s">
        <v>22</v>
      </c>
      <c r="L1654" s="18" t="s">
        <v>35</v>
      </c>
      <c r="M1654" s="18" t="s">
        <v>24</v>
      </c>
      <c r="N1654" s="22">
        <f t="shared" si="150"/>
        <v>0.65352867044738505</v>
      </c>
      <c r="O1654" s="22">
        <f t="shared" si="151"/>
        <v>0.21433736682254301</v>
      </c>
      <c r="P1654" s="23">
        <f t="shared" si="152"/>
        <v>1.6940654678686801E-2</v>
      </c>
      <c r="Q1654" s="23">
        <f t="shared" si="153"/>
        <v>7.9037336932073807E-2</v>
      </c>
      <c r="R1654" s="22">
        <f t="shared" si="154"/>
        <v>1.51035856573705</v>
      </c>
      <c r="S1654" s="22">
        <f t="shared" si="155"/>
        <v>2.5103585657370502</v>
      </c>
    </row>
    <row r="1655" spans="1:19">
      <c r="A1655" s="18" t="s">
        <v>1694</v>
      </c>
      <c r="B1655" s="18" t="s">
        <v>28</v>
      </c>
      <c r="C1655" s="18" t="s">
        <v>41</v>
      </c>
      <c r="D1655" s="19">
        <v>44931</v>
      </c>
      <c r="E1655" s="20">
        <v>45546</v>
      </c>
      <c r="F1655" s="21">
        <v>5099.2</v>
      </c>
      <c r="G1655" s="21">
        <v>1105.5999999999999</v>
      </c>
      <c r="H1655" s="21">
        <v>236.8</v>
      </c>
      <c r="I1655" s="18">
        <v>4842.3519999999999</v>
      </c>
      <c r="J1655" s="18">
        <v>18081.135999999999</v>
      </c>
      <c r="K1655" s="18" t="s">
        <v>22</v>
      </c>
      <c r="L1655" s="18" t="s">
        <v>50</v>
      </c>
      <c r="M1655" s="18" t="s">
        <v>24</v>
      </c>
      <c r="N1655" s="22">
        <f t="shared" si="150"/>
        <v>0.21681832444304999</v>
      </c>
      <c r="O1655" s="22">
        <f t="shared" si="151"/>
        <v>0.21418234442836501</v>
      </c>
      <c r="P1655" s="23">
        <f t="shared" si="152"/>
        <v>4.3798408104196804</v>
      </c>
      <c r="Q1655" s="23">
        <f t="shared" si="153"/>
        <v>20.4491216216216</v>
      </c>
      <c r="R1655" s="22">
        <f t="shared" si="154"/>
        <v>2.7339573826933701</v>
      </c>
      <c r="S1655" s="22">
        <f t="shared" si="155"/>
        <v>3.7339573826933701</v>
      </c>
    </row>
    <row r="1656" spans="1:19">
      <c r="A1656" s="18" t="s">
        <v>1695</v>
      </c>
      <c r="B1656" s="18" t="s">
        <v>47</v>
      </c>
      <c r="C1656" s="18" t="s">
        <v>41</v>
      </c>
      <c r="D1656" s="19">
        <v>44817</v>
      </c>
      <c r="E1656" s="20">
        <v>45447</v>
      </c>
      <c r="F1656" s="21">
        <v>62105.599999999999</v>
      </c>
      <c r="G1656" s="21">
        <v>52003.199999999997</v>
      </c>
      <c r="H1656" s="21">
        <v>7804.8</v>
      </c>
      <c r="I1656" s="18">
        <v>5151.7439999999997</v>
      </c>
      <c r="J1656" s="18">
        <v>8544.4480000000003</v>
      </c>
      <c r="K1656" s="18" t="s">
        <v>43</v>
      </c>
      <c r="L1656" s="18" t="s">
        <v>31</v>
      </c>
      <c r="M1656" s="18" t="s">
        <v>32</v>
      </c>
      <c r="N1656" s="22">
        <f t="shared" si="150"/>
        <v>0.83733511953833495</v>
      </c>
      <c r="O1656" s="22">
        <f t="shared" si="151"/>
        <v>0.150083071810966</v>
      </c>
      <c r="P1656" s="23">
        <f t="shared" si="152"/>
        <v>9.9065903636699301E-2</v>
      </c>
      <c r="Q1656" s="23">
        <f t="shared" si="153"/>
        <v>0.66007380073800703</v>
      </c>
      <c r="R1656" s="22">
        <f t="shared" si="154"/>
        <v>0.65855446233353199</v>
      </c>
      <c r="S1656" s="22">
        <f t="shared" si="155"/>
        <v>1.65855446233353</v>
      </c>
    </row>
    <row r="1657" spans="1:19">
      <c r="A1657" s="18" t="s">
        <v>1696</v>
      </c>
      <c r="B1657" s="18" t="s">
        <v>28</v>
      </c>
      <c r="C1657" s="18" t="s">
        <v>41</v>
      </c>
      <c r="D1657" s="19">
        <v>44775</v>
      </c>
      <c r="E1657" s="20">
        <v>45396</v>
      </c>
      <c r="F1657" s="21">
        <v>63264</v>
      </c>
      <c r="G1657" s="21">
        <v>38686.400000000001</v>
      </c>
      <c r="H1657" s="21">
        <v>14379.2</v>
      </c>
      <c r="I1657" s="18">
        <v>1934.816</v>
      </c>
      <c r="J1657" s="18">
        <v>7650.9759999999997</v>
      </c>
      <c r="K1657" s="18" t="s">
        <v>22</v>
      </c>
      <c r="L1657" s="18" t="s">
        <v>35</v>
      </c>
      <c r="M1657" s="18" t="s">
        <v>24</v>
      </c>
      <c r="N1657" s="22">
        <f t="shared" si="150"/>
        <v>0.61150733434496696</v>
      </c>
      <c r="O1657" s="22">
        <f t="shared" si="151"/>
        <v>0.371686173952604</v>
      </c>
      <c r="P1657" s="23">
        <f t="shared" si="152"/>
        <v>5.00128210430539E-2</v>
      </c>
      <c r="Q1657" s="23">
        <f t="shared" si="153"/>
        <v>0.13455658172916399</v>
      </c>
      <c r="R1657" s="22">
        <f t="shared" si="154"/>
        <v>2.9543687875229501</v>
      </c>
      <c r="S1657" s="22">
        <f t="shared" si="155"/>
        <v>3.9543687875229501</v>
      </c>
    </row>
    <row r="1658" spans="1:19">
      <c r="A1658" s="18" t="s">
        <v>1697</v>
      </c>
      <c r="B1658" s="18" t="s">
        <v>20</v>
      </c>
      <c r="C1658" s="18" t="s">
        <v>21</v>
      </c>
      <c r="D1658" s="19">
        <v>44802</v>
      </c>
      <c r="E1658" s="20">
        <v>45406</v>
      </c>
      <c r="F1658" s="21">
        <v>62664</v>
      </c>
      <c r="G1658" s="21">
        <v>38736</v>
      </c>
      <c r="H1658" s="21">
        <v>26337.599999999999</v>
      </c>
      <c r="I1658" s="18">
        <v>4046.8960000000002</v>
      </c>
      <c r="J1658" s="18">
        <v>12320</v>
      </c>
      <c r="K1658" s="18" t="s">
        <v>22</v>
      </c>
      <c r="L1658" s="18" t="s">
        <v>50</v>
      </c>
      <c r="M1658" s="18" t="s">
        <v>32</v>
      </c>
      <c r="N1658" s="22">
        <f t="shared" si="150"/>
        <v>0.618153963998468</v>
      </c>
      <c r="O1658" s="22">
        <f t="shared" si="151"/>
        <v>0.679925650557621</v>
      </c>
      <c r="P1658" s="23">
        <f t="shared" si="152"/>
        <v>0.104473771168938</v>
      </c>
      <c r="Q1658" s="23">
        <f t="shared" si="153"/>
        <v>0.15365469898548101</v>
      </c>
      <c r="R1658" s="22">
        <f t="shared" si="154"/>
        <v>2.0443085268314301</v>
      </c>
      <c r="S1658" s="22">
        <f t="shared" si="155"/>
        <v>3.0443085268314301</v>
      </c>
    </row>
    <row r="1659" spans="1:19">
      <c r="A1659" s="18" t="s">
        <v>1698</v>
      </c>
      <c r="B1659" s="18" t="s">
        <v>20</v>
      </c>
      <c r="C1659" s="18" t="s">
        <v>29</v>
      </c>
      <c r="D1659" s="19">
        <v>44861</v>
      </c>
      <c r="E1659" s="20">
        <v>45479</v>
      </c>
      <c r="F1659" s="21">
        <v>53334.400000000001</v>
      </c>
      <c r="G1659" s="21">
        <v>23491.200000000001</v>
      </c>
      <c r="H1659" s="21">
        <v>11113.6</v>
      </c>
      <c r="I1659" s="18">
        <v>7099.0879999999997</v>
      </c>
      <c r="J1659" s="18">
        <v>14480.944</v>
      </c>
      <c r="K1659" s="18" t="s">
        <v>30</v>
      </c>
      <c r="L1659" s="18" t="s">
        <v>31</v>
      </c>
      <c r="M1659" s="18" t="s">
        <v>32</v>
      </c>
      <c r="N1659" s="22">
        <f t="shared" si="150"/>
        <v>0.44045119097618002</v>
      </c>
      <c r="O1659" s="22">
        <f t="shared" si="151"/>
        <v>0.47309630840484901</v>
      </c>
      <c r="P1659" s="23">
        <f t="shared" si="152"/>
        <v>0.30220201607410402</v>
      </c>
      <c r="Q1659" s="23">
        <f t="shared" si="153"/>
        <v>0.63877483443708605</v>
      </c>
      <c r="R1659" s="22">
        <f t="shared" si="154"/>
        <v>1.0398315952696999</v>
      </c>
      <c r="S1659" s="22">
        <f t="shared" si="155"/>
        <v>2.0398315952697001</v>
      </c>
    </row>
    <row r="1660" spans="1:19">
      <c r="A1660" s="18" t="s">
        <v>1699</v>
      </c>
      <c r="B1660" s="18" t="s">
        <v>40</v>
      </c>
      <c r="C1660" s="18" t="s">
        <v>48</v>
      </c>
      <c r="D1660" s="19">
        <v>44721</v>
      </c>
      <c r="E1660" s="20">
        <v>45342</v>
      </c>
      <c r="F1660" s="21">
        <v>26696</v>
      </c>
      <c r="G1660" s="21">
        <v>4764.8</v>
      </c>
      <c r="H1660" s="21">
        <v>3472</v>
      </c>
      <c r="I1660" s="18">
        <v>2321.2959999999998</v>
      </c>
      <c r="J1660" s="18">
        <v>3509.2</v>
      </c>
      <c r="K1660" s="18" t="s">
        <v>65</v>
      </c>
      <c r="L1660" s="18" t="s">
        <v>50</v>
      </c>
      <c r="M1660" s="18" t="s">
        <v>32</v>
      </c>
      <c r="N1660" s="22">
        <f t="shared" si="150"/>
        <v>0.17848366796523801</v>
      </c>
      <c r="O1660" s="22">
        <f t="shared" si="151"/>
        <v>0.728676964405641</v>
      </c>
      <c r="P1660" s="23">
        <f t="shared" si="152"/>
        <v>0.48717595701813299</v>
      </c>
      <c r="Q1660" s="23">
        <f t="shared" si="153"/>
        <v>0.66857603686635902</v>
      </c>
      <c r="R1660" s="22">
        <f t="shared" si="154"/>
        <v>0.51174171669618995</v>
      </c>
      <c r="S1660" s="22">
        <f t="shared" si="155"/>
        <v>1.51174171669619</v>
      </c>
    </row>
    <row r="1661" spans="1:19">
      <c r="A1661" s="18" t="s">
        <v>1700</v>
      </c>
      <c r="B1661" s="18" t="s">
        <v>28</v>
      </c>
      <c r="C1661" s="18" t="s">
        <v>29</v>
      </c>
      <c r="D1661" s="19">
        <v>44938</v>
      </c>
      <c r="E1661" s="20">
        <v>45550</v>
      </c>
      <c r="F1661" s="21">
        <v>45960</v>
      </c>
      <c r="G1661" s="21">
        <v>45660.800000000003</v>
      </c>
      <c r="H1661" s="21">
        <v>28369.599999999999</v>
      </c>
      <c r="I1661" s="18">
        <v>1821.0719999999999</v>
      </c>
      <c r="J1661" s="18">
        <v>3335.4720000000002</v>
      </c>
      <c r="K1661" s="18" t="s">
        <v>43</v>
      </c>
      <c r="L1661" s="18" t="s">
        <v>44</v>
      </c>
      <c r="M1661" s="18" t="s">
        <v>32</v>
      </c>
      <c r="N1661" s="22">
        <f t="shared" si="150"/>
        <v>0.99348999129677995</v>
      </c>
      <c r="O1661" s="22">
        <f t="shared" si="151"/>
        <v>0.62131193496390802</v>
      </c>
      <c r="P1661" s="23">
        <f t="shared" si="152"/>
        <v>3.9882612656808501E-2</v>
      </c>
      <c r="Q1661" s="23">
        <f t="shared" si="153"/>
        <v>6.4190964976594697E-2</v>
      </c>
      <c r="R1661" s="22">
        <f t="shared" si="154"/>
        <v>0.83159809167347598</v>
      </c>
      <c r="S1661" s="22">
        <f t="shared" si="155"/>
        <v>1.83159809167348</v>
      </c>
    </row>
    <row r="1662" spans="1:19">
      <c r="A1662" s="18" t="s">
        <v>1701</v>
      </c>
      <c r="B1662" s="18" t="s">
        <v>40</v>
      </c>
      <c r="C1662" s="18" t="s">
        <v>48</v>
      </c>
      <c r="D1662" s="19">
        <v>44725</v>
      </c>
      <c r="E1662" s="20">
        <v>45344</v>
      </c>
      <c r="F1662" s="21">
        <v>70806.399999999994</v>
      </c>
      <c r="G1662" s="21">
        <v>26464</v>
      </c>
      <c r="H1662" s="21">
        <v>17017.599999999999</v>
      </c>
      <c r="I1662" s="18">
        <v>1201.04</v>
      </c>
      <c r="J1662" s="18">
        <v>2226.16</v>
      </c>
      <c r="K1662" s="18" t="s">
        <v>30</v>
      </c>
      <c r="L1662" s="18" t="s">
        <v>50</v>
      </c>
      <c r="M1662" s="18" t="s">
        <v>32</v>
      </c>
      <c r="N1662" s="22">
        <f t="shared" si="150"/>
        <v>0.37375152528584998</v>
      </c>
      <c r="O1662" s="22">
        <f t="shared" si="151"/>
        <v>0.64304715840386895</v>
      </c>
      <c r="P1662" s="23">
        <f t="shared" si="152"/>
        <v>4.5383917775090703E-2</v>
      </c>
      <c r="Q1662" s="23">
        <f t="shared" si="153"/>
        <v>7.0576344490409906E-2</v>
      </c>
      <c r="R1662" s="22">
        <f t="shared" si="154"/>
        <v>0.85352694331579304</v>
      </c>
      <c r="S1662" s="22">
        <f t="shared" si="155"/>
        <v>1.8535269433157899</v>
      </c>
    </row>
    <row r="1663" spans="1:19">
      <c r="A1663" s="18" t="s">
        <v>1702</v>
      </c>
      <c r="B1663" s="18" t="s">
        <v>26</v>
      </c>
      <c r="C1663" s="18" t="s">
        <v>21</v>
      </c>
      <c r="D1663" s="19">
        <v>44861</v>
      </c>
      <c r="E1663" s="20">
        <v>45482</v>
      </c>
      <c r="F1663" s="21">
        <v>63123.199999999997</v>
      </c>
      <c r="G1663" s="21">
        <v>21532.799999999999</v>
      </c>
      <c r="H1663" s="21">
        <v>4040</v>
      </c>
      <c r="I1663" s="18">
        <v>1258.9280000000001</v>
      </c>
      <c r="J1663" s="18">
        <v>4186.7039999999997</v>
      </c>
      <c r="K1663" s="18" t="s">
        <v>38</v>
      </c>
      <c r="L1663" s="18" t="s">
        <v>23</v>
      </c>
      <c r="M1663" s="18" t="s">
        <v>32</v>
      </c>
      <c r="N1663" s="22">
        <f t="shared" si="150"/>
        <v>0.34112339044915302</v>
      </c>
      <c r="O1663" s="22">
        <f t="shared" si="151"/>
        <v>0.18762074602466899</v>
      </c>
      <c r="P1663" s="23">
        <f t="shared" si="152"/>
        <v>5.8465596671124997E-2</v>
      </c>
      <c r="Q1663" s="23">
        <f t="shared" si="153"/>
        <v>0.311615841584158</v>
      </c>
      <c r="R1663" s="22">
        <f t="shared" si="154"/>
        <v>2.3256103605607299</v>
      </c>
      <c r="S1663" s="22">
        <f t="shared" si="155"/>
        <v>3.3256103605607299</v>
      </c>
    </row>
    <row r="1664" spans="1:19">
      <c r="A1664" s="18" t="s">
        <v>1703</v>
      </c>
      <c r="B1664" s="18" t="s">
        <v>26</v>
      </c>
      <c r="C1664" s="18" t="s">
        <v>21</v>
      </c>
      <c r="D1664" s="19">
        <v>44718</v>
      </c>
      <c r="E1664" s="20">
        <v>45346</v>
      </c>
      <c r="F1664" s="21">
        <v>29532.799999999999</v>
      </c>
      <c r="G1664" s="21">
        <v>27443.200000000001</v>
      </c>
      <c r="H1664" s="21">
        <v>21094.400000000001</v>
      </c>
      <c r="I1664" s="18">
        <v>7202.2879999999996</v>
      </c>
      <c r="J1664" s="18">
        <v>24915.664000000001</v>
      </c>
      <c r="K1664" s="18" t="s">
        <v>65</v>
      </c>
      <c r="L1664" s="18" t="s">
        <v>44</v>
      </c>
      <c r="M1664" s="18" t="s">
        <v>32</v>
      </c>
      <c r="N1664" s="22">
        <f t="shared" si="150"/>
        <v>0.92924477191461696</v>
      </c>
      <c r="O1664" s="22">
        <f t="shared" si="151"/>
        <v>0.76865671641791</v>
      </c>
      <c r="P1664" s="23">
        <f t="shared" si="152"/>
        <v>0.26244344682835802</v>
      </c>
      <c r="Q1664" s="23">
        <f t="shared" si="153"/>
        <v>0.34143128033980602</v>
      </c>
      <c r="R1664" s="22">
        <f t="shared" si="154"/>
        <v>2.4594095654047701</v>
      </c>
      <c r="S1664" s="22">
        <f t="shared" si="155"/>
        <v>3.4594095654047701</v>
      </c>
    </row>
    <row r="1665" spans="1:19">
      <c r="A1665" s="18" t="s">
        <v>1704</v>
      </c>
      <c r="B1665" s="18" t="s">
        <v>40</v>
      </c>
      <c r="C1665" s="18" t="s">
        <v>48</v>
      </c>
      <c r="D1665" s="19">
        <v>44902</v>
      </c>
      <c r="E1665" s="20">
        <v>45515</v>
      </c>
      <c r="F1665" s="21">
        <v>3960</v>
      </c>
      <c r="G1665" s="21">
        <v>1888</v>
      </c>
      <c r="H1665" s="21">
        <v>1064</v>
      </c>
      <c r="I1665" s="18">
        <v>5894.6719999999996</v>
      </c>
      <c r="J1665" s="18">
        <v>13733.632</v>
      </c>
      <c r="K1665" s="18" t="s">
        <v>30</v>
      </c>
      <c r="L1665" s="18" t="s">
        <v>35</v>
      </c>
      <c r="M1665" s="18" t="s">
        <v>32</v>
      </c>
      <c r="N1665" s="22">
        <f t="shared" si="150"/>
        <v>0.47676767676767701</v>
      </c>
      <c r="O1665" s="22">
        <f t="shared" si="151"/>
        <v>0.56355932203389802</v>
      </c>
      <c r="P1665" s="23">
        <f t="shared" si="152"/>
        <v>3.12217796610169</v>
      </c>
      <c r="Q1665" s="23">
        <f t="shared" si="153"/>
        <v>5.5401052631578898</v>
      </c>
      <c r="R1665" s="22">
        <f t="shared" si="154"/>
        <v>1.32983819964877</v>
      </c>
      <c r="S1665" s="22">
        <f t="shared" si="155"/>
        <v>2.32983819964877</v>
      </c>
    </row>
    <row r="1666" spans="1:19">
      <c r="A1666" s="18" t="s">
        <v>1705</v>
      </c>
      <c r="B1666" s="18" t="s">
        <v>26</v>
      </c>
      <c r="C1666" s="18" t="s">
        <v>21</v>
      </c>
      <c r="D1666" s="19">
        <v>44986</v>
      </c>
      <c r="E1666" s="20">
        <v>45596</v>
      </c>
      <c r="F1666" s="21">
        <v>4976</v>
      </c>
      <c r="G1666" s="21">
        <v>636.79999999999995</v>
      </c>
      <c r="H1666" s="21">
        <v>619.20000000000005</v>
      </c>
      <c r="I1666" s="18">
        <v>6980.8</v>
      </c>
      <c r="J1666" s="18">
        <v>25840.400000000001</v>
      </c>
      <c r="K1666" s="18" t="s">
        <v>65</v>
      </c>
      <c r="L1666" s="18" t="s">
        <v>31</v>
      </c>
      <c r="M1666" s="18" t="s">
        <v>32</v>
      </c>
      <c r="N1666" s="22">
        <f t="shared" ref="N1666:N1729" si="156">G1666/F1666</f>
        <v>0.12797427652733101</v>
      </c>
      <c r="O1666" s="22">
        <f t="shared" ref="O1666:O1729" si="157">H1666/G1666</f>
        <v>0.97236180904522596</v>
      </c>
      <c r="P1666" s="23">
        <f t="shared" ref="P1666:P1729" si="158">I1666/G1666</f>
        <v>10.962311557788899</v>
      </c>
      <c r="Q1666" s="23">
        <f t="shared" ref="Q1666:Q1729" si="159">I1666/H1666</f>
        <v>11.273901808785499</v>
      </c>
      <c r="R1666" s="22">
        <f t="shared" ref="R1666:R1729" si="160">(J1666-I1666)/I1666</f>
        <v>2.70163878065551</v>
      </c>
      <c r="S1666" s="22">
        <f t="shared" ref="S1666:S1729" si="161">J1666/I1666</f>
        <v>3.70163878065551</v>
      </c>
    </row>
    <row r="1667" spans="1:19">
      <c r="A1667" s="18" t="s">
        <v>1706</v>
      </c>
      <c r="B1667" s="18" t="s">
        <v>28</v>
      </c>
      <c r="C1667" s="18" t="s">
        <v>48</v>
      </c>
      <c r="D1667" s="19">
        <v>44853</v>
      </c>
      <c r="E1667" s="20">
        <v>45483</v>
      </c>
      <c r="F1667" s="21">
        <v>47222.400000000001</v>
      </c>
      <c r="G1667" s="21">
        <v>35489.599999999999</v>
      </c>
      <c r="H1667" s="21">
        <v>3164.8</v>
      </c>
      <c r="I1667" s="18">
        <v>6799.0879999999997</v>
      </c>
      <c r="J1667" s="18">
        <v>18652.047999999999</v>
      </c>
      <c r="K1667" s="18" t="s">
        <v>30</v>
      </c>
      <c r="L1667" s="18" t="s">
        <v>44</v>
      </c>
      <c r="M1667" s="18" t="s">
        <v>32</v>
      </c>
      <c r="N1667" s="22">
        <f t="shared" si="156"/>
        <v>0.75154164125499801</v>
      </c>
      <c r="O1667" s="22">
        <f t="shared" si="157"/>
        <v>8.9175420404851005E-2</v>
      </c>
      <c r="P1667" s="23">
        <f t="shared" si="158"/>
        <v>0.19157973039989201</v>
      </c>
      <c r="Q1667" s="23">
        <f t="shared" si="159"/>
        <v>2.1483468149646101</v>
      </c>
      <c r="R1667" s="22">
        <f t="shared" si="160"/>
        <v>1.7433161624029601</v>
      </c>
      <c r="S1667" s="22">
        <f t="shared" si="161"/>
        <v>2.7433161624029601</v>
      </c>
    </row>
    <row r="1668" spans="1:19">
      <c r="A1668" s="18" t="s">
        <v>1707</v>
      </c>
      <c r="B1668" s="18" t="s">
        <v>34</v>
      </c>
      <c r="C1668" s="18" t="s">
        <v>48</v>
      </c>
      <c r="D1668" s="19">
        <v>44818</v>
      </c>
      <c r="E1668" s="20">
        <v>45426</v>
      </c>
      <c r="F1668" s="21">
        <v>74180.800000000003</v>
      </c>
      <c r="G1668" s="21">
        <v>55739.199999999997</v>
      </c>
      <c r="H1668" s="21">
        <v>38875.199999999997</v>
      </c>
      <c r="I1668" s="18">
        <v>821.85599999999999</v>
      </c>
      <c r="J1668" s="18">
        <v>2515.2800000000002</v>
      </c>
      <c r="K1668" s="18" t="s">
        <v>65</v>
      </c>
      <c r="L1668" s="18" t="s">
        <v>44</v>
      </c>
      <c r="M1668" s="18" t="s">
        <v>24</v>
      </c>
      <c r="N1668" s="22">
        <f t="shared" si="156"/>
        <v>0.75139658779630303</v>
      </c>
      <c r="O1668" s="22">
        <f t="shared" si="157"/>
        <v>0.69744811550937202</v>
      </c>
      <c r="P1668" s="23">
        <f t="shared" si="158"/>
        <v>1.47446680253753E-2</v>
      </c>
      <c r="Q1668" s="23">
        <f t="shared" si="159"/>
        <v>2.11408815903198E-2</v>
      </c>
      <c r="R1668" s="22">
        <f t="shared" si="160"/>
        <v>2.0604874819919798</v>
      </c>
      <c r="S1668" s="22">
        <f t="shared" si="161"/>
        <v>3.0604874819919798</v>
      </c>
    </row>
    <row r="1669" spans="1:19">
      <c r="A1669" s="18" t="s">
        <v>1708</v>
      </c>
      <c r="B1669" s="18" t="s">
        <v>34</v>
      </c>
      <c r="C1669" s="18" t="s">
        <v>21</v>
      </c>
      <c r="D1669" s="19">
        <v>44850</v>
      </c>
      <c r="E1669" s="20">
        <v>45466</v>
      </c>
      <c r="F1669" s="21">
        <v>78220.800000000003</v>
      </c>
      <c r="G1669" s="21">
        <v>47001.599999999999</v>
      </c>
      <c r="H1669" s="21">
        <v>32507.200000000001</v>
      </c>
      <c r="I1669" s="18">
        <v>6607.3280000000004</v>
      </c>
      <c r="J1669" s="18">
        <v>8348.848</v>
      </c>
      <c r="K1669" s="18" t="s">
        <v>65</v>
      </c>
      <c r="L1669" s="18" t="s">
        <v>50</v>
      </c>
      <c r="M1669" s="18" t="s">
        <v>32</v>
      </c>
      <c r="N1669" s="22">
        <f t="shared" si="156"/>
        <v>0.60088365243004405</v>
      </c>
      <c r="O1669" s="22">
        <f t="shared" si="157"/>
        <v>0.69161900871459703</v>
      </c>
      <c r="P1669" s="23">
        <f t="shared" si="158"/>
        <v>0.140576661220044</v>
      </c>
      <c r="Q1669" s="23">
        <f t="shared" si="159"/>
        <v>0.20325737067480401</v>
      </c>
      <c r="R1669" s="22">
        <f t="shared" si="160"/>
        <v>0.26357401963395799</v>
      </c>
      <c r="S1669" s="22">
        <f t="shared" si="161"/>
        <v>1.26357401963396</v>
      </c>
    </row>
    <row r="1670" spans="1:19">
      <c r="A1670" s="18" t="s">
        <v>1709</v>
      </c>
      <c r="B1670" s="18" t="s">
        <v>40</v>
      </c>
      <c r="C1670" s="18" t="s">
        <v>48</v>
      </c>
      <c r="D1670" s="19">
        <v>44706</v>
      </c>
      <c r="E1670" s="20">
        <v>45326</v>
      </c>
      <c r="F1670" s="21">
        <v>34596.800000000003</v>
      </c>
      <c r="G1670" s="21">
        <v>15654.4</v>
      </c>
      <c r="H1670" s="21">
        <v>7811.2</v>
      </c>
      <c r="I1670" s="18">
        <v>2911.4079999999999</v>
      </c>
      <c r="J1670" s="18">
        <v>8636.5120000000006</v>
      </c>
      <c r="K1670" s="18" t="s">
        <v>38</v>
      </c>
      <c r="L1670" s="18" t="s">
        <v>44</v>
      </c>
      <c r="M1670" s="18" t="s">
        <v>32</v>
      </c>
      <c r="N1670" s="22">
        <f t="shared" si="156"/>
        <v>0.45248115432641201</v>
      </c>
      <c r="O1670" s="22">
        <f t="shared" si="157"/>
        <v>0.49897792313981998</v>
      </c>
      <c r="P1670" s="23">
        <f t="shared" si="158"/>
        <v>0.18598017170891301</v>
      </c>
      <c r="Q1670" s="23">
        <f t="shared" si="159"/>
        <v>0.37272224498156498</v>
      </c>
      <c r="R1670" s="22">
        <f t="shared" si="160"/>
        <v>1.9664382319482501</v>
      </c>
      <c r="S1670" s="22">
        <f t="shared" si="161"/>
        <v>2.9664382319482501</v>
      </c>
    </row>
    <row r="1671" spans="1:19">
      <c r="A1671" s="18" t="s">
        <v>1710</v>
      </c>
      <c r="B1671" s="18" t="s">
        <v>26</v>
      </c>
      <c r="C1671" s="18" t="s">
        <v>48</v>
      </c>
      <c r="D1671" s="19">
        <v>44960</v>
      </c>
      <c r="E1671" s="20">
        <v>45579</v>
      </c>
      <c r="F1671" s="21">
        <v>10908.8</v>
      </c>
      <c r="G1671" s="21">
        <v>174.4</v>
      </c>
      <c r="H1671" s="21">
        <v>128</v>
      </c>
      <c r="I1671" s="18">
        <v>4955.12</v>
      </c>
      <c r="J1671" s="18">
        <v>14317.632</v>
      </c>
      <c r="K1671" s="18" t="s">
        <v>38</v>
      </c>
      <c r="L1671" s="18" t="s">
        <v>35</v>
      </c>
      <c r="M1671" s="18" t="s">
        <v>32</v>
      </c>
      <c r="N1671" s="22">
        <f t="shared" si="156"/>
        <v>1.5987092989146402E-2</v>
      </c>
      <c r="O1671" s="22">
        <f t="shared" si="157"/>
        <v>0.73394495412843996</v>
      </c>
      <c r="P1671" s="23">
        <f t="shared" si="158"/>
        <v>28.412385321100899</v>
      </c>
      <c r="Q1671" s="23">
        <f t="shared" si="159"/>
        <v>38.711874999999999</v>
      </c>
      <c r="R1671" s="22">
        <f t="shared" si="160"/>
        <v>1.88946221282229</v>
      </c>
      <c r="S1671" s="22">
        <f t="shared" si="161"/>
        <v>2.88946221282229</v>
      </c>
    </row>
    <row r="1672" spans="1:19">
      <c r="A1672" s="18" t="s">
        <v>1711</v>
      </c>
      <c r="B1672" s="18" t="s">
        <v>47</v>
      </c>
      <c r="C1672" s="18" t="s">
        <v>41</v>
      </c>
      <c r="D1672" s="19">
        <v>44862</v>
      </c>
      <c r="E1672" s="20">
        <v>45482</v>
      </c>
      <c r="F1672" s="21">
        <v>12340.8</v>
      </c>
      <c r="G1672" s="21">
        <v>9204.7999999999993</v>
      </c>
      <c r="H1672" s="21">
        <v>5411.2</v>
      </c>
      <c r="I1672" s="18">
        <v>4546.8959999999997</v>
      </c>
      <c r="J1672" s="18">
        <v>10467.696</v>
      </c>
      <c r="K1672" s="18" t="s">
        <v>43</v>
      </c>
      <c r="L1672" s="18" t="s">
        <v>50</v>
      </c>
      <c r="M1672" s="18" t="s">
        <v>24</v>
      </c>
      <c r="N1672" s="22">
        <f t="shared" si="156"/>
        <v>0.74588357318812404</v>
      </c>
      <c r="O1672" s="22">
        <f t="shared" si="157"/>
        <v>0.58786719972188395</v>
      </c>
      <c r="P1672" s="23">
        <f t="shared" si="158"/>
        <v>0.49397010255518897</v>
      </c>
      <c r="Q1672" s="23">
        <f t="shared" si="159"/>
        <v>0.84027498521584898</v>
      </c>
      <c r="R1672" s="22">
        <f t="shared" si="160"/>
        <v>1.3021630580510299</v>
      </c>
      <c r="S1672" s="22">
        <f t="shared" si="161"/>
        <v>2.3021630580510299</v>
      </c>
    </row>
    <row r="1673" spans="1:19">
      <c r="A1673" s="18" t="s">
        <v>1712</v>
      </c>
      <c r="B1673" s="18" t="s">
        <v>26</v>
      </c>
      <c r="C1673" s="18" t="s">
        <v>48</v>
      </c>
      <c r="D1673" s="19">
        <v>44743</v>
      </c>
      <c r="E1673" s="20">
        <v>45354</v>
      </c>
      <c r="F1673" s="21">
        <v>6198.4</v>
      </c>
      <c r="G1673" s="21">
        <v>6150.4</v>
      </c>
      <c r="H1673" s="21">
        <v>830.4</v>
      </c>
      <c r="I1673" s="18">
        <v>4886.0479999999998</v>
      </c>
      <c r="J1673" s="18">
        <v>18373.008000000002</v>
      </c>
      <c r="K1673" s="18" t="s">
        <v>38</v>
      </c>
      <c r="L1673" s="18" t="s">
        <v>31</v>
      </c>
      <c r="M1673" s="18" t="s">
        <v>32</v>
      </c>
      <c r="N1673" s="22">
        <f t="shared" si="156"/>
        <v>0.99225606608156902</v>
      </c>
      <c r="O1673" s="22">
        <f t="shared" si="157"/>
        <v>0.13501560874089499</v>
      </c>
      <c r="P1673" s="23">
        <f t="shared" si="158"/>
        <v>0.79442767950051996</v>
      </c>
      <c r="Q1673" s="23">
        <f t="shared" si="159"/>
        <v>5.8839691714836198</v>
      </c>
      <c r="R1673" s="22">
        <f t="shared" si="160"/>
        <v>2.7603003490755702</v>
      </c>
      <c r="S1673" s="22">
        <f t="shared" si="161"/>
        <v>3.7603003490755702</v>
      </c>
    </row>
    <row r="1674" spans="1:19">
      <c r="A1674" s="18" t="s">
        <v>1713</v>
      </c>
      <c r="B1674" s="18" t="s">
        <v>26</v>
      </c>
      <c r="C1674" s="18" t="s">
        <v>48</v>
      </c>
      <c r="D1674" s="19">
        <v>44804</v>
      </c>
      <c r="E1674" s="20">
        <v>45414</v>
      </c>
      <c r="F1674" s="21">
        <v>69540.800000000003</v>
      </c>
      <c r="G1674" s="21">
        <v>68652.800000000003</v>
      </c>
      <c r="H1674" s="21">
        <v>43988.800000000003</v>
      </c>
      <c r="I1674" s="18">
        <v>3202.08</v>
      </c>
      <c r="J1674" s="18">
        <v>5486.2079999999996</v>
      </c>
      <c r="K1674" s="18" t="s">
        <v>38</v>
      </c>
      <c r="L1674" s="18" t="s">
        <v>23</v>
      </c>
      <c r="M1674" s="18" t="s">
        <v>24</v>
      </c>
      <c r="N1674" s="22">
        <f t="shared" si="156"/>
        <v>0.98723051791178695</v>
      </c>
      <c r="O1674" s="22">
        <f t="shared" si="157"/>
        <v>0.64074298499114402</v>
      </c>
      <c r="P1674" s="23">
        <f t="shared" si="158"/>
        <v>4.6641651906404402E-2</v>
      </c>
      <c r="Q1674" s="23">
        <f t="shared" si="159"/>
        <v>7.27930746008075E-2</v>
      </c>
      <c r="R1674" s="22">
        <f t="shared" si="160"/>
        <v>0.71332633788037803</v>
      </c>
      <c r="S1674" s="22">
        <f t="shared" si="161"/>
        <v>1.71332633788038</v>
      </c>
    </row>
    <row r="1675" spans="1:19">
      <c r="A1675" s="18" t="s">
        <v>1714</v>
      </c>
      <c r="B1675" s="18" t="s">
        <v>40</v>
      </c>
      <c r="C1675" s="18" t="s">
        <v>48</v>
      </c>
      <c r="D1675" s="19">
        <v>44769</v>
      </c>
      <c r="E1675" s="20">
        <v>45379</v>
      </c>
      <c r="F1675" s="21">
        <v>38608</v>
      </c>
      <c r="G1675" s="21">
        <v>36233.599999999999</v>
      </c>
      <c r="H1675" s="21">
        <v>35643.199999999997</v>
      </c>
      <c r="I1675" s="18">
        <v>4480.576</v>
      </c>
      <c r="J1675" s="18">
        <v>10770.784</v>
      </c>
      <c r="K1675" s="18" t="s">
        <v>30</v>
      </c>
      <c r="L1675" s="18" t="s">
        <v>35</v>
      </c>
      <c r="M1675" s="18" t="s">
        <v>32</v>
      </c>
      <c r="N1675" s="22">
        <f t="shared" si="156"/>
        <v>0.93849979278905904</v>
      </c>
      <c r="O1675" s="22">
        <f t="shared" si="157"/>
        <v>0.98370573169654696</v>
      </c>
      <c r="P1675" s="23">
        <f t="shared" si="158"/>
        <v>0.123658041155171</v>
      </c>
      <c r="Q1675" s="23">
        <f t="shared" si="159"/>
        <v>0.125706333886969</v>
      </c>
      <c r="R1675" s="22">
        <f t="shared" si="160"/>
        <v>1.40388378637032</v>
      </c>
      <c r="S1675" s="22">
        <f t="shared" si="161"/>
        <v>2.40388378637032</v>
      </c>
    </row>
    <row r="1676" spans="1:19">
      <c r="A1676" s="18" t="s">
        <v>1715</v>
      </c>
      <c r="B1676" s="18" t="s">
        <v>34</v>
      </c>
      <c r="C1676" s="18" t="s">
        <v>48</v>
      </c>
      <c r="D1676" s="19">
        <v>44867</v>
      </c>
      <c r="E1676" s="20">
        <v>45493</v>
      </c>
      <c r="F1676" s="21">
        <v>48003.199999999997</v>
      </c>
      <c r="G1676" s="21">
        <v>38550.400000000001</v>
      </c>
      <c r="H1676" s="21">
        <v>32363.200000000001</v>
      </c>
      <c r="I1676" s="18">
        <v>757.26400000000001</v>
      </c>
      <c r="J1676" s="18">
        <v>2365.2159999999999</v>
      </c>
      <c r="K1676" s="18" t="s">
        <v>38</v>
      </c>
      <c r="L1676" s="18" t="s">
        <v>35</v>
      </c>
      <c r="M1676" s="18" t="s">
        <v>32</v>
      </c>
      <c r="N1676" s="22">
        <f t="shared" si="156"/>
        <v>0.80307979468035495</v>
      </c>
      <c r="O1676" s="22">
        <f t="shared" si="157"/>
        <v>0.83950361085747505</v>
      </c>
      <c r="P1676" s="23">
        <f t="shared" si="158"/>
        <v>1.96434797044907E-2</v>
      </c>
      <c r="Q1676" s="23">
        <f t="shared" si="159"/>
        <v>2.3398922232659301E-2</v>
      </c>
      <c r="R1676" s="22">
        <f t="shared" si="160"/>
        <v>2.1233704494073402</v>
      </c>
      <c r="S1676" s="22">
        <f t="shared" si="161"/>
        <v>3.1233704494073402</v>
      </c>
    </row>
    <row r="1677" spans="1:19">
      <c r="A1677" s="18" t="s">
        <v>1716</v>
      </c>
      <c r="B1677" s="18" t="s">
        <v>28</v>
      </c>
      <c r="C1677" s="18" t="s">
        <v>21</v>
      </c>
      <c r="D1677" s="19">
        <v>44814</v>
      </c>
      <c r="E1677" s="20">
        <v>45428</v>
      </c>
      <c r="F1677" s="21">
        <v>79273.600000000006</v>
      </c>
      <c r="G1677" s="21">
        <v>24907.200000000001</v>
      </c>
      <c r="H1677" s="21">
        <v>12739.2</v>
      </c>
      <c r="I1677" s="18">
        <v>6696.2879999999996</v>
      </c>
      <c r="J1677" s="18">
        <v>17435.84</v>
      </c>
      <c r="K1677" s="18" t="s">
        <v>38</v>
      </c>
      <c r="L1677" s="18" t="s">
        <v>23</v>
      </c>
      <c r="M1677" s="18" t="s">
        <v>24</v>
      </c>
      <c r="N1677" s="22">
        <f t="shared" si="156"/>
        <v>0.31419287127114198</v>
      </c>
      <c r="O1677" s="22">
        <f t="shared" si="157"/>
        <v>0.511466563885142</v>
      </c>
      <c r="P1677" s="23">
        <f t="shared" si="158"/>
        <v>0.26884948930429797</v>
      </c>
      <c r="Q1677" s="23">
        <f t="shared" si="159"/>
        <v>0.52564431047475502</v>
      </c>
      <c r="R1677" s="22">
        <f t="shared" si="160"/>
        <v>1.60380676577829</v>
      </c>
      <c r="S1677" s="22">
        <f t="shared" si="161"/>
        <v>2.6038067657782902</v>
      </c>
    </row>
    <row r="1678" spans="1:19">
      <c r="A1678" s="18" t="s">
        <v>1717</v>
      </c>
      <c r="B1678" s="18" t="s">
        <v>26</v>
      </c>
      <c r="C1678" s="18" t="s">
        <v>21</v>
      </c>
      <c r="D1678" s="19">
        <v>44905</v>
      </c>
      <c r="E1678" s="20">
        <v>45506</v>
      </c>
      <c r="F1678" s="21">
        <v>47734.400000000001</v>
      </c>
      <c r="G1678" s="21">
        <v>25070.400000000001</v>
      </c>
      <c r="H1678" s="21">
        <v>4174.3999999999996</v>
      </c>
      <c r="I1678" s="18">
        <v>1078.432</v>
      </c>
      <c r="J1678" s="18">
        <v>3552.8159999999998</v>
      </c>
      <c r="K1678" s="18" t="s">
        <v>22</v>
      </c>
      <c r="L1678" s="18" t="s">
        <v>23</v>
      </c>
      <c r="M1678" s="18" t="s">
        <v>32</v>
      </c>
      <c r="N1678" s="22">
        <f t="shared" si="156"/>
        <v>0.52520614064490201</v>
      </c>
      <c r="O1678" s="22">
        <f t="shared" si="157"/>
        <v>0.16650711596145301</v>
      </c>
      <c r="P1678" s="23">
        <f t="shared" si="158"/>
        <v>4.3016146531367698E-2</v>
      </c>
      <c r="Q1678" s="23">
        <f t="shared" si="159"/>
        <v>0.25834419317746299</v>
      </c>
      <c r="R1678" s="22">
        <f t="shared" si="160"/>
        <v>2.2944274650603802</v>
      </c>
      <c r="S1678" s="22">
        <f t="shared" si="161"/>
        <v>3.2944274650603802</v>
      </c>
    </row>
    <row r="1679" spans="1:19">
      <c r="A1679" s="18" t="s">
        <v>1718</v>
      </c>
      <c r="B1679" s="18" t="s">
        <v>40</v>
      </c>
      <c r="C1679" s="18" t="s">
        <v>41</v>
      </c>
      <c r="D1679" s="19">
        <v>44748</v>
      </c>
      <c r="E1679" s="20">
        <v>45369</v>
      </c>
      <c r="F1679" s="21">
        <v>50265.599999999999</v>
      </c>
      <c r="G1679" s="21">
        <v>5716.8</v>
      </c>
      <c r="H1679" s="21">
        <v>916.8</v>
      </c>
      <c r="I1679" s="18">
        <v>4500.9279999999999</v>
      </c>
      <c r="J1679" s="18">
        <v>13437.904</v>
      </c>
      <c r="K1679" s="18" t="s">
        <v>22</v>
      </c>
      <c r="L1679" s="18" t="s">
        <v>35</v>
      </c>
      <c r="M1679" s="18" t="s">
        <v>32</v>
      </c>
      <c r="N1679" s="22">
        <f t="shared" si="156"/>
        <v>0.113731856378915</v>
      </c>
      <c r="O1679" s="22">
        <f t="shared" si="157"/>
        <v>0.16036943744752299</v>
      </c>
      <c r="P1679" s="23">
        <f t="shared" si="158"/>
        <v>0.78731598096837396</v>
      </c>
      <c r="Q1679" s="23">
        <f t="shared" si="159"/>
        <v>4.9093891797556699</v>
      </c>
      <c r="R1679" s="22">
        <f t="shared" si="160"/>
        <v>1.98558519487537</v>
      </c>
      <c r="S1679" s="22">
        <f t="shared" si="161"/>
        <v>2.98558519487537</v>
      </c>
    </row>
    <row r="1680" spans="1:19">
      <c r="A1680" s="18" t="s">
        <v>1719</v>
      </c>
      <c r="B1680" s="18" t="s">
        <v>40</v>
      </c>
      <c r="C1680" s="18" t="s">
        <v>41</v>
      </c>
      <c r="D1680" s="19">
        <v>44872</v>
      </c>
      <c r="E1680" s="20">
        <v>45482</v>
      </c>
      <c r="F1680" s="21">
        <v>41360</v>
      </c>
      <c r="G1680" s="21">
        <v>6363.2</v>
      </c>
      <c r="H1680" s="21">
        <v>3913.6</v>
      </c>
      <c r="I1680" s="18">
        <v>7174</v>
      </c>
      <c r="J1680" s="18">
        <v>21952.784</v>
      </c>
      <c r="K1680" s="18" t="s">
        <v>38</v>
      </c>
      <c r="L1680" s="18" t="s">
        <v>31</v>
      </c>
      <c r="M1680" s="18" t="s">
        <v>32</v>
      </c>
      <c r="N1680" s="22">
        <f t="shared" si="156"/>
        <v>0.15384912959381</v>
      </c>
      <c r="O1680" s="22">
        <f t="shared" si="157"/>
        <v>0.61503645964294695</v>
      </c>
      <c r="P1680" s="23">
        <f t="shared" si="158"/>
        <v>1.12742016595424</v>
      </c>
      <c r="Q1680" s="23">
        <f t="shared" si="159"/>
        <v>1.83309484873262</v>
      </c>
      <c r="R1680" s="22">
        <f t="shared" si="160"/>
        <v>2.0600479509339298</v>
      </c>
      <c r="S1680" s="22">
        <f t="shared" si="161"/>
        <v>3.0600479509339298</v>
      </c>
    </row>
    <row r="1681" spans="1:19">
      <c r="A1681" s="18" t="s">
        <v>1720</v>
      </c>
      <c r="B1681" s="18" t="s">
        <v>47</v>
      </c>
      <c r="C1681" s="18" t="s">
        <v>48</v>
      </c>
      <c r="D1681" s="19">
        <v>44811</v>
      </c>
      <c r="E1681" s="20">
        <v>45437</v>
      </c>
      <c r="F1681" s="21">
        <v>67382.399999999994</v>
      </c>
      <c r="G1681" s="21">
        <v>59096</v>
      </c>
      <c r="H1681" s="21">
        <v>56532.800000000003</v>
      </c>
      <c r="I1681" s="18">
        <v>7973.1040000000003</v>
      </c>
      <c r="J1681" s="18">
        <v>27155.072</v>
      </c>
      <c r="K1681" s="18" t="s">
        <v>43</v>
      </c>
      <c r="L1681" s="18" t="s">
        <v>44</v>
      </c>
      <c r="M1681" s="18" t="s">
        <v>32</v>
      </c>
      <c r="N1681" s="22">
        <f t="shared" si="156"/>
        <v>0.87702426746450102</v>
      </c>
      <c r="O1681" s="22">
        <f t="shared" si="157"/>
        <v>0.95662650602409605</v>
      </c>
      <c r="P1681" s="23">
        <f t="shared" si="158"/>
        <v>0.13491782861784199</v>
      </c>
      <c r="Q1681" s="23">
        <f t="shared" si="159"/>
        <v>0.14103500976424299</v>
      </c>
      <c r="R1681" s="22">
        <f t="shared" si="160"/>
        <v>2.4058344153042501</v>
      </c>
      <c r="S1681" s="22">
        <f t="shared" si="161"/>
        <v>3.4058344153042501</v>
      </c>
    </row>
    <row r="1682" spans="1:19">
      <c r="A1682" s="18" t="s">
        <v>1721</v>
      </c>
      <c r="B1682" s="18" t="s">
        <v>20</v>
      </c>
      <c r="C1682" s="18" t="s">
        <v>41</v>
      </c>
      <c r="D1682" s="19">
        <v>44744</v>
      </c>
      <c r="E1682" s="20">
        <v>45356</v>
      </c>
      <c r="F1682" s="21">
        <v>24523.200000000001</v>
      </c>
      <c r="G1682" s="21">
        <v>16720</v>
      </c>
      <c r="H1682" s="21">
        <v>1249.5999999999999</v>
      </c>
      <c r="I1682" s="18">
        <v>6455.1360000000004</v>
      </c>
      <c r="J1682" s="18">
        <v>15002.016</v>
      </c>
      <c r="K1682" s="18" t="s">
        <v>43</v>
      </c>
      <c r="L1682" s="18" t="s">
        <v>50</v>
      </c>
      <c r="M1682" s="18" t="s">
        <v>32</v>
      </c>
      <c r="N1682" s="22">
        <f t="shared" si="156"/>
        <v>0.68180335355907895</v>
      </c>
      <c r="O1682" s="22">
        <f t="shared" si="157"/>
        <v>7.4736842105263199E-2</v>
      </c>
      <c r="P1682" s="23">
        <f t="shared" si="158"/>
        <v>0.38607272727272701</v>
      </c>
      <c r="Q1682" s="23">
        <f t="shared" si="159"/>
        <v>5.1657618437900101</v>
      </c>
      <c r="R1682" s="22">
        <f t="shared" si="160"/>
        <v>1.3240433663984801</v>
      </c>
      <c r="S1682" s="22">
        <f t="shared" si="161"/>
        <v>2.3240433663984801</v>
      </c>
    </row>
    <row r="1683" spans="1:19">
      <c r="A1683" s="18" t="s">
        <v>1722</v>
      </c>
      <c r="B1683" s="18" t="s">
        <v>40</v>
      </c>
      <c r="C1683" s="18" t="s">
        <v>29</v>
      </c>
      <c r="D1683" s="19">
        <v>44871</v>
      </c>
      <c r="E1683" s="20">
        <v>45473</v>
      </c>
      <c r="F1683" s="21">
        <v>68619.199999999997</v>
      </c>
      <c r="G1683" s="21">
        <v>53718.400000000001</v>
      </c>
      <c r="H1683" s="21">
        <v>52259.199999999997</v>
      </c>
      <c r="I1683" s="18">
        <v>4346.9759999999997</v>
      </c>
      <c r="J1683" s="18">
        <v>15301.888000000001</v>
      </c>
      <c r="K1683" s="18" t="s">
        <v>22</v>
      </c>
      <c r="L1683" s="18" t="s">
        <v>31</v>
      </c>
      <c r="M1683" s="18" t="s">
        <v>32</v>
      </c>
      <c r="N1683" s="22">
        <f t="shared" si="156"/>
        <v>0.78284794926201395</v>
      </c>
      <c r="O1683" s="22">
        <f t="shared" si="157"/>
        <v>0.97283612319056401</v>
      </c>
      <c r="P1683" s="23">
        <f t="shared" si="158"/>
        <v>8.0921546434741198E-2</v>
      </c>
      <c r="Q1683" s="23">
        <f t="shared" si="159"/>
        <v>8.3181066682995505E-2</v>
      </c>
      <c r="R1683" s="22">
        <f t="shared" si="160"/>
        <v>2.5201224943501002</v>
      </c>
      <c r="S1683" s="22">
        <f t="shared" si="161"/>
        <v>3.5201224943501002</v>
      </c>
    </row>
    <row r="1684" spans="1:19">
      <c r="A1684" s="18" t="s">
        <v>1723</v>
      </c>
      <c r="B1684" s="18" t="s">
        <v>20</v>
      </c>
      <c r="C1684" s="18" t="s">
        <v>29</v>
      </c>
      <c r="D1684" s="19">
        <v>44713</v>
      </c>
      <c r="E1684" s="20">
        <v>45320</v>
      </c>
      <c r="F1684" s="21">
        <v>31768</v>
      </c>
      <c r="G1684" s="21">
        <v>11419.2</v>
      </c>
      <c r="H1684" s="21">
        <v>10081.6</v>
      </c>
      <c r="I1684" s="18">
        <v>2617.8560000000002</v>
      </c>
      <c r="J1684" s="18">
        <v>7838.5919999999996</v>
      </c>
      <c r="K1684" s="18" t="s">
        <v>65</v>
      </c>
      <c r="L1684" s="18" t="s">
        <v>31</v>
      </c>
      <c r="M1684" s="18" t="s">
        <v>32</v>
      </c>
      <c r="N1684" s="22">
        <f t="shared" si="156"/>
        <v>0.359456056408965</v>
      </c>
      <c r="O1684" s="22">
        <f t="shared" si="157"/>
        <v>0.88286394843771898</v>
      </c>
      <c r="P1684" s="23">
        <f t="shared" si="158"/>
        <v>0.22925038531595901</v>
      </c>
      <c r="Q1684" s="23">
        <f t="shared" si="159"/>
        <v>0.25966671956832199</v>
      </c>
      <c r="R1684" s="22">
        <f t="shared" si="160"/>
        <v>1.99427928808918</v>
      </c>
      <c r="S1684" s="22">
        <f t="shared" si="161"/>
        <v>2.9942792880891802</v>
      </c>
    </row>
    <row r="1685" spans="1:19">
      <c r="A1685" s="18" t="s">
        <v>1724</v>
      </c>
      <c r="B1685" s="18" t="s">
        <v>20</v>
      </c>
      <c r="C1685" s="18" t="s">
        <v>41</v>
      </c>
      <c r="D1685" s="19">
        <v>44946</v>
      </c>
      <c r="E1685" s="20">
        <v>45567</v>
      </c>
      <c r="F1685" s="21">
        <v>72550.399999999994</v>
      </c>
      <c r="G1685" s="21">
        <v>35017.599999999999</v>
      </c>
      <c r="H1685" s="21">
        <v>11256</v>
      </c>
      <c r="I1685" s="18">
        <v>1187.088</v>
      </c>
      <c r="J1685" s="18">
        <v>3198</v>
      </c>
      <c r="K1685" s="18" t="s">
        <v>30</v>
      </c>
      <c r="L1685" s="18" t="s">
        <v>23</v>
      </c>
      <c r="M1685" s="18" t="s">
        <v>24</v>
      </c>
      <c r="N1685" s="22">
        <f t="shared" si="156"/>
        <v>0.482665843330981</v>
      </c>
      <c r="O1685" s="22">
        <f t="shared" si="157"/>
        <v>0.32143836242346702</v>
      </c>
      <c r="P1685" s="23">
        <f t="shared" si="158"/>
        <v>3.3899753266928602E-2</v>
      </c>
      <c r="Q1685" s="23">
        <f t="shared" si="159"/>
        <v>0.105462686567164</v>
      </c>
      <c r="R1685" s="22">
        <f t="shared" si="160"/>
        <v>1.6939873033844199</v>
      </c>
      <c r="S1685" s="22">
        <f t="shared" si="161"/>
        <v>2.6939873033844202</v>
      </c>
    </row>
    <row r="1686" spans="1:19">
      <c r="A1686" s="18" t="s">
        <v>1725</v>
      </c>
      <c r="B1686" s="18" t="s">
        <v>40</v>
      </c>
      <c r="C1686" s="18" t="s">
        <v>48</v>
      </c>
      <c r="D1686" s="19">
        <v>44986</v>
      </c>
      <c r="E1686" s="20">
        <v>45615</v>
      </c>
      <c r="F1686" s="21">
        <v>17844.8</v>
      </c>
      <c r="G1686" s="21">
        <v>289.60000000000002</v>
      </c>
      <c r="H1686" s="21">
        <v>73.599999999999994</v>
      </c>
      <c r="I1686" s="18">
        <v>6203.616</v>
      </c>
      <c r="J1686" s="18">
        <v>13991.168</v>
      </c>
      <c r="K1686" s="18" t="s">
        <v>38</v>
      </c>
      <c r="L1686" s="18" t="s">
        <v>50</v>
      </c>
      <c r="M1686" s="18" t="s">
        <v>24</v>
      </c>
      <c r="N1686" s="22">
        <f t="shared" si="156"/>
        <v>1.62288173585582E-2</v>
      </c>
      <c r="O1686" s="22">
        <f t="shared" si="157"/>
        <v>0.25414364640884002</v>
      </c>
      <c r="P1686" s="23">
        <f t="shared" si="158"/>
        <v>21.421325966850802</v>
      </c>
      <c r="Q1686" s="23">
        <f t="shared" si="159"/>
        <v>84.288260869565207</v>
      </c>
      <c r="R1686" s="22">
        <f t="shared" si="160"/>
        <v>1.2553246364700801</v>
      </c>
      <c r="S1686" s="22">
        <f t="shared" si="161"/>
        <v>2.2553246364700801</v>
      </c>
    </row>
    <row r="1687" spans="1:19">
      <c r="A1687" s="18" t="s">
        <v>1726</v>
      </c>
      <c r="B1687" s="18" t="s">
        <v>40</v>
      </c>
      <c r="C1687" s="18" t="s">
        <v>21</v>
      </c>
      <c r="D1687" s="19">
        <v>44808</v>
      </c>
      <c r="E1687" s="20">
        <v>45424</v>
      </c>
      <c r="F1687" s="21">
        <v>10296</v>
      </c>
      <c r="G1687" s="21">
        <v>4081.6</v>
      </c>
      <c r="H1687" s="21">
        <v>2001.6</v>
      </c>
      <c r="I1687" s="18">
        <v>4680.4799999999996</v>
      </c>
      <c r="J1687" s="18">
        <v>8753.5679999999993</v>
      </c>
      <c r="K1687" s="18" t="s">
        <v>30</v>
      </c>
      <c r="L1687" s="18" t="s">
        <v>31</v>
      </c>
      <c r="M1687" s="18" t="s">
        <v>32</v>
      </c>
      <c r="N1687" s="22">
        <f t="shared" si="156"/>
        <v>0.39642579642579601</v>
      </c>
      <c r="O1687" s="22">
        <f t="shared" si="157"/>
        <v>0.49039592316738501</v>
      </c>
      <c r="P1687" s="23">
        <f t="shared" si="158"/>
        <v>1.14672677381419</v>
      </c>
      <c r="Q1687" s="23">
        <f t="shared" si="159"/>
        <v>2.3383693045563501</v>
      </c>
      <c r="R1687" s="22">
        <f t="shared" si="160"/>
        <v>0.87022869449287299</v>
      </c>
      <c r="S1687" s="22">
        <f t="shared" si="161"/>
        <v>1.8702286944928701</v>
      </c>
    </row>
    <row r="1688" spans="1:19">
      <c r="A1688" s="18" t="s">
        <v>1727</v>
      </c>
      <c r="B1688" s="18" t="s">
        <v>28</v>
      </c>
      <c r="C1688" s="18" t="s">
        <v>48</v>
      </c>
      <c r="D1688" s="19">
        <v>44737</v>
      </c>
      <c r="E1688" s="20">
        <v>45360</v>
      </c>
      <c r="F1688" s="21">
        <v>19830.400000000001</v>
      </c>
      <c r="G1688" s="21">
        <v>9244.7999999999993</v>
      </c>
      <c r="H1688" s="21">
        <v>779.2</v>
      </c>
      <c r="I1688" s="18">
        <v>6888.0159999999996</v>
      </c>
      <c r="J1688" s="18">
        <v>15418.784</v>
      </c>
      <c r="K1688" s="18" t="s">
        <v>22</v>
      </c>
      <c r="L1688" s="18" t="s">
        <v>23</v>
      </c>
      <c r="M1688" s="18" t="s">
        <v>24</v>
      </c>
      <c r="N1688" s="22">
        <f t="shared" si="156"/>
        <v>0.46619331934807201</v>
      </c>
      <c r="O1688" s="22">
        <f t="shared" si="157"/>
        <v>8.4285219799238503E-2</v>
      </c>
      <c r="P1688" s="23">
        <f t="shared" si="158"/>
        <v>0.74506922810661103</v>
      </c>
      <c r="Q1688" s="23">
        <f t="shared" si="159"/>
        <v>8.8398562628336705</v>
      </c>
      <c r="R1688" s="22">
        <f t="shared" si="160"/>
        <v>1.2384942195256201</v>
      </c>
      <c r="S1688" s="22">
        <f t="shared" si="161"/>
        <v>2.2384942195256201</v>
      </c>
    </row>
    <row r="1689" spans="1:19">
      <c r="A1689" s="18" t="s">
        <v>1728</v>
      </c>
      <c r="B1689" s="18" t="s">
        <v>47</v>
      </c>
      <c r="C1689" s="18" t="s">
        <v>41</v>
      </c>
      <c r="D1689" s="19">
        <v>44814</v>
      </c>
      <c r="E1689" s="20">
        <v>45444</v>
      </c>
      <c r="F1689" s="21">
        <v>67467.199999999997</v>
      </c>
      <c r="G1689" s="21">
        <v>47897.599999999999</v>
      </c>
      <c r="H1689" s="21">
        <v>23144</v>
      </c>
      <c r="I1689" s="18">
        <v>6584.0479999999998</v>
      </c>
      <c r="J1689" s="18">
        <v>10424.272000000001</v>
      </c>
      <c r="K1689" s="18" t="s">
        <v>43</v>
      </c>
      <c r="L1689" s="18" t="s">
        <v>35</v>
      </c>
      <c r="M1689" s="18" t="s">
        <v>32</v>
      </c>
      <c r="N1689" s="22">
        <f t="shared" si="156"/>
        <v>0.70993905186520301</v>
      </c>
      <c r="O1689" s="22">
        <f t="shared" si="157"/>
        <v>0.48319748797434497</v>
      </c>
      <c r="P1689" s="23">
        <f t="shared" si="158"/>
        <v>0.13746091662212701</v>
      </c>
      <c r="Q1689" s="23">
        <f t="shared" si="159"/>
        <v>0.28448185274801202</v>
      </c>
      <c r="R1689" s="22">
        <f t="shared" si="160"/>
        <v>0.58326184742274101</v>
      </c>
      <c r="S1689" s="22">
        <f t="shared" si="161"/>
        <v>1.58326184742274</v>
      </c>
    </row>
    <row r="1690" spans="1:19">
      <c r="A1690" s="18" t="s">
        <v>1729</v>
      </c>
      <c r="B1690" s="18" t="s">
        <v>47</v>
      </c>
      <c r="C1690" s="18" t="s">
        <v>48</v>
      </c>
      <c r="D1690" s="19">
        <v>44882</v>
      </c>
      <c r="E1690" s="20">
        <v>45485</v>
      </c>
      <c r="F1690" s="21">
        <v>14505.6</v>
      </c>
      <c r="G1690" s="21">
        <v>4030.4</v>
      </c>
      <c r="H1690" s="21">
        <v>2606.4</v>
      </c>
      <c r="I1690" s="18">
        <v>538.89599999999996</v>
      </c>
      <c r="J1690" s="18">
        <v>1136.7840000000001</v>
      </c>
      <c r="K1690" s="18" t="s">
        <v>30</v>
      </c>
      <c r="L1690" s="18" t="s">
        <v>23</v>
      </c>
      <c r="M1690" s="18" t="s">
        <v>32</v>
      </c>
      <c r="N1690" s="22">
        <f t="shared" si="156"/>
        <v>0.27785131259651402</v>
      </c>
      <c r="O1690" s="22">
        <f t="shared" si="157"/>
        <v>0.64668519253672097</v>
      </c>
      <c r="P1690" s="23">
        <f t="shared" si="158"/>
        <v>0.133707820563716</v>
      </c>
      <c r="Q1690" s="23">
        <f t="shared" si="159"/>
        <v>0.206758747697974</v>
      </c>
      <c r="R1690" s="22">
        <f t="shared" si="160"/>
        <v>1.1094682461922201</v>
      </c>
      <c r="S1690" s="22">
        <f t="shared" si="161"/>
        <v>2.1094682461922201</v>
      </c>
    </row>
    <row r="1691" spans="1:19">
      <c r="A1691" s="18" t="s">
        <v>1730</v>
      </c>
      <c r="B1691" s="18" t="s">
        <v>34</v>
      </c>
      <c r="C1691" s="18" t="s">
        <v>48</v>
      </c>
      <c r="D1691" s="19">
        <v>44891</v>
      </c>
      <c r="E1691" s="20">
        <v>45495</v>
      </c>
      <c r="F1691" s="21">
        <v>6996.8</v>
      </c>
      <c r="G1691" s="21">
        <v>939.2</v>
      </c>
      <c r="H1691" s="21">
        <v>606.4</v>
      </c>
      <c r="I1691" s="18">
        <v>4608.7520000000004</v>
      </c>
      <c r="J1691" s="18">
        <v>12113.056</v>
      </c>
      <c r="K1691" s="18" t="s">
        <v>38</v>
      </c>
      <c r="L1691" s="18" t="s">
        <v>31</v>
      </c>
      <c r="M1691" s="18" t="s">
        <v>32</v>
      </c>
      <c r="N1691" s="22">
        <f t="shared" si="156"/>
        <v>0.134232792133547</v>
      </c>
      <c r="O1691" s="22">
        <f t="shared" si="157"/>
        <v>0.64565587734241903</v>
      </c>
      <c r="P1691" s="23">
        <f t="shared" si="158"/>
        <v>4.9071039182282803</v>
      </c>
      <c r="Q1691" s="23">
        <f t="shared" si="159"/>
        <v>7.6001846965699196</v>
      </c>
      <c r="R1691" s="22">
        <f t="shared" si="160"/>
        <v>1.6282724694233901</v>
      </c>
      <c r="S1691" s="22">
        <f t="shared" si="161"/>
        <v>2.6282724694233899</v>
      </c>
    </row>
    <row r="1692" spans="1:19">
      <c r="A1692" s="18" t="s">
        <v>1731</v>
      </c>
      <c r="B1692" s="18" t="s">
        <v>34</v>
      </c>
      <c r="C1692" s="18" t="s">
        <v>48</v>
      </c>
      <c r="D1692" s="19">
        <v>44979</v>
      </c>
      <c r="E1692" s="20">
        <v>45603</v>
      </c>
      <c r="F1692" s="21">
        <v>45027.199999999997</v>
      </c>
      <c r="G1692" s="21">
        <v>19446.400000000001</v>
      </c>
      <c r="H1692" s="21">
        <v>8491.2000000000007</v>
      </c>
      <c r="I1692" s="18">
        <v>6607.616</v>
      </c>
      <c r="J1692" s="18">
        <v>19835.968000000001</v>
      </c>
      <c r="K1692" s="18" t="s">
        <v>65</v>
      </c>
      <c r="L1692" s="18" t="s">
        <v>23</v>
      </c>
      <c r="M1692" s="18" t="s">
        <v>32</v>
      </c>
      <c r="N1692" s="22">
        <f t="shared" si="156"/>
        <v>0.43188117404590998</v>
      </c>
      <c r="O1692" s="22">
        <f t="shared" si="157"/>
        <v>0.43664637156491698</v>
      </c>
      <c r="P1692" s="23">
        <f t="shared" si="158"/>
        <v>0.33978607865723198</v>
      </c>
      <c r="Q1692" s="23">
        <f t="shared" si="159"/>
        <v>0.77817222536272801</v>
      </c>
      <c r="R1692" s="22">
        <f t="shared" si="160"/>
        <v>2.0019855875402</v>
      </c>
      <c r="S1692" s="22">
        <f t="shared" si="161"/>
        <v>3.0019855875402</v>
      </c>
    </row>
    <row r="1693" spans="1:19">
      <c r="A1693" s="18" t="s">
        <v>1732</v>
      </c>
      <c r="B1693" s="18" t="s">
        <v>28</v>
      </c>
      <c r="C1693" s="18" t="s">
        <v>29</v>
      </c>
      <c r="D1693" s="19">
        <v>44793</v>
      </c>
      <c r="E1693" s="20">
        <v>45401</v>
      </c>
      <c r="F1693" s="21">
        <v>72072</v>
      </c>
      <c r="G1693" s="21">
        <v>24825.599999999999</v>
      </c>
      <c r="H1693" s="21">
        <v>23646.400000000001</v>
      </c>
      <c r="I1693" s="18">
        <v>4597.0559999999996</v>
      </c>
      <c r="J1693" s="18">
        <v>14937.712</v>
      </c>
      <c r="K1693" s="18" t="s">
        <v>65</v>
      </c>
      <c r="L1693" s="18" t="s">
        <v>44</v>
      </c>
      <c r="M1693" s="18" t="s">
        <v>24</v>
      </c>
      <c r="N1693" s="22">
        <f t="shared" si="156"/>
        <v>0.34445554445554399</v>
      </c>
      <c r="O1693" s="22">
        <f t="shared" si="157"/>
        <v>0.95250064449600402</v>
      </c>
      <c r="P1693" s="23">
        <f t="shared" si="158"/>
        <v>0.18517401392111399</v>
      </c>
      <c r="Q1693" s="23">
        <f t="shared" si="159"/>
        <v>0.194408282021788</v>
      </c>
      <c r="R1693" s="22">
        <f t="shared" si="160"/>
        <v>2.2494083169750398</v>
      </c>
      <c r="S1693" s="22">
        <f t="shared" si="161"/>
        <v>3.2494083169750398</v>
      </c>
    </row>
    <row r="1694" spans="1:19">
      <c r="A1694" s="18" t="s">
        <v>1733</v>
      </c>
      <c r="B1694" s="18" t="s">
        <v>28</v>
      </c>
      <c r="C1694" s="18" t="s">
        <v>41</v>
      </c>
      <c r="D1694" s="19">
        <v>44838</v>
      </c>
      <c r="E1694" s="20">
        <v>45459</v>
      </c>
      <c r="F1694" s="21">
        <v>28408</v>
      </c>
      <c r="G1694" s="21">
        <v>4552</v>
      </c>
      <c r="H1694" s="21">
        <v>1675.2</v>
      </c>
      <c r="I1694" s="18">
        <v>4290.3680000000004</v>
      </c>
      <c r="J1694" s="18">
        <v>13784.976000000001</v>
      </c>
      <c r="K1694" s="18" t="s">
        <v>30</v>
      </c>
      <c r="L1694" s="18" t="s">
        <v>35</v>
      </c>
      <c r="M1694" s="18" t="s">
        <v>32</v>
      </c>
      <c r="N1694" s="22">
        <f t="shared" si="156"/>
        <v>0.16023655308363799</v>
      </c>
      <c r="O1694" s="22">
        <f t="shared" si="157"/>
        <v>0.36801405975395401</v>
      </c>
      <c r="P1694" s="23">
        <f t="shared" si="158"/>
        <v>0.94252372583479804</v>
      </c>
      <c r="Q1694" s="23">
        <f t="shared" si="159"/>
        <v>2.5611079274116499</v>
      </c>
      <c r="R1694" s="22">
        <f t="shared" si="160"/>
        <v>2.21300550442293</v>
      </c>
      <c r="S1694" s="22">
        <f t="shared" si="161"/>
        <v>3.21300550442293</v>
      </c>
    </row>
    <row r="1695" spans="1:19">
      <c r="A1695" s="18" t="s">
        <v>1734</v>
      </c>
      <c r="B1695" s="18" t="s">
        <v>28</v>
      </c>
      <c r="C1695" s="18" t="s">
        <v>29</v>
      </c>
      <c r="D1695" s="19">
        <v>44883</v>
      </c>
      <c r="E1695" s="20">
        <v>45500</v>
      </c>
      <c r="F1695" s="21">
        <v>4811.2</v>
      </c>
      <c r="G1695" s="21">
        <v>950.4</v>
      </c>
      <c r="H1695" s="21">
        <v>265.60000000000002</v>
      </c>
      <c r="I1695" s="18">
        <v>3125.0079999999998</v>
      </c>
      <c r="J1695" s="18">
        <v>8670.0959999999995</v>
      </c>
      <c r="K1695" s="18" t="s">
        <v>43</v>
      </c>
      <c r="L1695" s="18" t="s">
        <v>35</v>
      </c>
      <c r="M1695" s="18" t="s">
        <v>32</v>
      </c>
      <c r="N1695" s="22">
        <f t="shared" si="156"/>
        <v>0.19753907549052199</v>
      </c>
      <c r="O1695" s="22">
        <f t="shared" si="157"/>
        <v>0.27946127946127902</v>
      </c>
      <c r="P1695" s="23">
        <f t="shared" si="158"/>
        <v>3.2880976430976401</v>
      </c>
      <c r="Q1695" s="23">
        <f t="shared" si="159"/>
        <v>11.765843373494</v>
      </c>
      <c r="R1695" s="22">
        <f t="shared" si="160"/>
        <v>1.7744236174755399</v>
      </c>
      <c r="S1695" s="22">
        <f t="shared" si="161"/>
        <v>2.7744236174755401</v>
      </c>
    </row>
    <row r="1696" spans="1:19">
      <c r="A1696" s="18" t="s">
        <v>1735</v>
      </c>
      <c r="B1696" s="18" t="s">
        <v>20</v>
      </c>
      <c r="C1696" s="18" t="s">
        <v>29</v>
      </c>
      <c r="D1696" s="19">
        <v>44760</v>
      </c>
      <c r="E1696" s="20">
        <v>45377</v>
      </c>
      <c r="F1696" s="21">
        <v>60635.199999999997</v>
      </c>
      <c r="G1696" s="21">
        <v>2070.4</v>
      </c>
      <c r="H1696" s="21">
        <v>1176</v>
      </c>
      <c r="I1696" s="18">
        <v>6523.12</v>
      </c>
      <c r="J1696" s="18">
        <v>15655.312</v>
      </c>
      <c r="K1696" s="18" t="s">
        <v>65</v>
      </c>
      <c r="L1696" s="18" t="s">
        <v>44</v>
      </c>
      <c r="M1696" s="18" t="s">
        <v>32</v>
      </c>
      <c r="N1696" s="22">
        <f t="shared" si="156"/>
        <v>3.4145182996015502E-2</v>
      </c>
      <c r="O1696" s="22">
        <f t="shared" si="157"/>
        <v>0.56800618238021605</v>
      </c>
      <c r="P1696" s="23">
        <f t="shared" si="158"/>
        <v>3.15065687789799</v>
      </c>
      <c r="Q1696" s="23">
        <f t="shared" si="159"/>
        <v>5.5468707482993196</v>
      </c>
      <c r="R1696" s="22">
        <f t="shared" si="160"/>
        <v>1.3999730190460999</v>
      </c>
      <c r="S1696" s="22">
        <f t="shared" si="161"/>
        <v>2.3999730190460999</v>
      </c>
    </row>
    <row r="1697" spans="1:19">
      <c r="A1697" s="18" t="s">
        <v>1736</v>
      </c>
      <c r="B1697" s="18" t="s">
        <v>28</v>
      </c>
      <c r="C1697" s="18" t="s">
        <v>29</v>
      </c>
      <c r="D1697" s="19">
        <v>44956</v>
      </c>
      <c r="E1697" s="20">
        <v>45569</v>
      </c>
      <c r="F1697" s="21">
        <v>34560</v>
      </c>
      <c r="G1697" s="21">
        <v>17140.8</v>
      </c>
      <c r="H1697" s="21">
        <v>3246.4</v>
      </c>
      <c r="I1697" s="18">
        <v>2984.0639999999999</v>
      </c>
      <c r="J1697" s="18">
        <v>7881.7280000000001</v>
      </c>
      <c r="K1697" s="18" t="s">
        <v>30</v>
      </c>
      <c r="L1697" s="18" t="s">
        <v>35</v>
      </c>
      <c r="M1697" s="18" t="s">
        <v>24</v>
      </c>
      <c r="N1697" s="22">
        <f t="shared" si="156"/>
        <v>0.49597222222222198</v>
      </c>
      <c r="O1697" s="22">
        <f t="shared" si="157"/>
        <v>0.18939606086063701</v>
      </c>
      <c r="P1697" s="23">
        <f t="shared" si="158"/>
        <v>0.17409129095491499</v>
      </c>
      <c r="Q1697" s="23">
        <f t="shared" si="159"/>
        <v>0.91919172005914196</v>
      </c>
      <c r="R1697" s="22">
        <f t="shared" si="160"/>
        <v>1.6412731094239299</v>
      </c>
      <c r="S1697" s="22">
        <f t="shared" si="161"/>
        <v>2.6412731094239299</v>
      </c>
    </row>
    <row r="1698" spans="1:19">
      <c r="A1698" s="18" t="s">
        <v>1737</v>
      </c>
      <c r="B1698" s="18" t="s">
        <v>40</v>
      </c>
      <c r="C1698" s="18" t="s">
        <v>48</v>
      </c>
      <c r="D1698" s="19">
        <v>44915</v>
      </c>
      <c r="E1698" s="20">
        <v>45539</v>
      </c>
      <c r="F1698" s="21">
        <v>51342.400000000001</v>
      </c>
      <c r="G1698" s="21">
        <v>34262.400000000001</v>
      </c>
      <c r="H1698" s="21">
        <v>34000</v>
      </c>
      <c r="I1698" s="18">
        <v>7923.2960000000003</v>
      </c>
      <c r="J1698" s="18">
        <v>26921.248</v>
      </c>
      <c r="K1698" s="18" t="s">
        <v>43</v>
      </c>
      <c r="L1698" s="18" t="s">
        <v>31</v>
      </c>
      <c r="M1698" s="18" t="s">
        <v>32</v>
      </c>
      <c r="N1698" s="22">
        <f t="shared" si="156"/>
        <v>0.66733148430926503</v>
      </c>
      <c r="O1698" s="22">
        <f t="shared" si="157"/>
        <v>0.99234145885869096</v>
      </c>
      <c r="P1698" s="23">
        <f t="shared" si="158"/>
        <v>0.23125338563556599</v>
      </c>
      <c r="Q1698" s="23">
        <f t="shared" si="159"/>
        <v>0.23303811764705901</v>
      </c>
      <c r="R1698" s="22">
        <f t="shared" si="160"/>
        <v>2.3977334684959399</v>
      </c>
      <c r="S1698" s="22">
        <f t="shared" si="161"/>
        <v>3.3977334684959399</v>
      </c>
    </row>
    <row r="1699" spans="1:19">
      <c r="A1699" s="18" t="s">
        <v>1738</v>
      </c>
      <c r="B1699" s="18" t="s">
        <v>40</v>
      </c>
      <c r="C1699" s="18" t="s">
        <v>41</v>
      </c>
      <c r="D1699" s="19">
        <v>44832</v>
      </c>
      <c r="E1699" s="20">
        <v>45457</v>
      </c>
      <c r="F1699" s="21">
        <v>52526.400000000001</v>
      </c>
      <c r="G1699" s="21">
        <v>34547.199999999997</v>
      </c>
      <c r="H1699" s="21">
        <v>33584</v>
      </c>
      <c r="I1699" s="18">
        <v>2633.0079999999998</v>
      </c>
      <c r="J1699" s="18">
        <v>5851.68</v>
      </c>
      <c r="K1699" s="18" t="s">
        <v>38</v>
      </c>
      <c r="L1699" s="18" t="s">
        <v>50</v>
      </c>
      <c r="M1699" s="18" t="s">
        <v>32</v>
      </c>
      <c r="N1699" s="22">
        <f t="shared" si="156"/>
        <v>0.65771117000213197</v>
      </c>
      <c r="O1699" s="22">
        <f t="shared" si="157"/>
        <v>0.97211930344572095</v>
      </c>
      <c r="P1699" s="23">
        <f t="shared" si="158"/>
        <v>7.6214801778436495E-2</v>
      </c>
      <c r="Q1699" s="23">
        <f t="shared" si="159"/>
        <v>7.8400666984278194E-2</v>
      </c>
      <c r="R1699" s="22">
        <f t="shared" si="160"/>
        <v>1.2224315307815199</v>
      </c>
      <c r="S1699" s="22">
        <f t="shared" si="161"/>
        <v>2.2224315307815199</v>
      </c>
    </row>
    <row r="1700" spans="1:19">
      <c r="A1700" s="18" t="s">
        <v>1739</v>
      </c>
      <c r="B1700" s="18" t="s">
        <v>26</v>
      </c>
      <c r="C1700" s="18" t="s">
        <v>48</v>
      </c>
      <c r="D1700" s="19">
        <v>44820</v>
      </c>
      <c r="E1700" s="20">
        <v>45439</v>
      </c>
      <c r="F1700" s="21">
        <v>36873.599999999999</v>
      </c>
      <c r="G1700" s="21">
        <v>10601.6</v>
      </c>
      <c r="H1700" s="21">
        <v>10264</v>
      </c>
      <c r="I1700" s="18">
        <v>3055.7280000000001</v>
      </c>
      <c r="J1700" s="18">
        <v>9845.7279999999992</v>
      </c>
      <c r="K1700" s="18" t="s">
        <v>30</v>
      </c>
      <c r="L1700" s="18" t="s">
        <v>35</v>
      </c>
      <c r="M1700" s="18" t="s">
        <v>24</v>
      </c>
      <c r="N1700" s="22">
        <f t="shared" si="156"/>
        <v>0.28751193265642599</v>
      </c>
      <c r="O1700" s="22">
        <f t="shared" si="157"/>
        <v>0.96815575007545995</v>
      </c>
      <c r="P1700" s="23">
        <f t="shared" si="158"/>
        <v>0.28823271958949598</v>
      </c>
      <c r="Q1700" s="23">
        <f t="shared" si="159"/>
        <v>0.29771317225253302</v>
      </c>
      <c r="R1700" s="22">
        <f t="shared" si="160"/>
        <v>2.2220564133980498</v>
      </c>
      <c r="S1700" s="22">
        <f t="shared" si="161"/>
        <v>3.2220564133980498</v>
      </c>
    </row>
    <row r="1701" spans="1:19">
      <c r="A1701" s="18" t="s">
        <v>1740</v>
      </c>
      <c r="B1701" s="18" t="s">
        <v>26</v>
      </c>
      <c r="C1701" s="18" t="s">
        <v>29</v>
      </c>
      <c r="D1701" s="19">
        <v>44894</v>
      </c>
      <c r="E1701" s="20">
        <v>45519</v>
      </c>
      <c r="F1701" s="21">
        <v>18208</v>
      </c>
      <c r="G1701" s="21">
        <v>15894.4</v>
      </c>
      <c r="H1701" s="21">
        <v>11665.6</v>
      </c>
      <c r="I1701" s="18">
        <v>3142.6239999999998</v>
      </c>
      <c r="J1701" s="18">
        <v>7044.3680000000004</v>
      </c>
      <c r="K1701" s="18" t="s">
        <v>38</v>
      </c>
      <c r="L1701" s="18" t="s">
        <v>35</v>
      </c>
      <c r="M1701" s="18" t="s">
        <v>32</v>
      </c>
      <c r="N1701" s="22">
        <f t="shared" si="156"/>
        <v>0.87293497363796102</v>
      </c>
      <c r="O1701" s="22">
        <f t="shared" si="157"/>
        <v>0.733944030601973</v>
      </c>
      <c r="P1701" s="23">
        <f t="shared" si="158"/>
        <v>0.19771894503724599</v>
      </c>
      <c r="Q1701" s="23">
        <f t="shared" si="159"/>
        <v>0.26939240159100297</v>
      </c>
      <c r="R1701" s="22">
        <f t="shared" si="160"/>
        <v>1.24155610088894</v>
      </c>
      <c r="S1701" s="22">
        <f t="shared" si="161"/>
        <v>2.24155610088894</v>
      </c>
    </row>
    <row r="1702" spans="1:19">
      <c r="A1702" s="18" t="s">
        <v>1741</v>
      </c>
      <c r="B1702" s="18" t="s">
        <v>26</v>
      </c>
      <c r="C1702" s="18" t="s">
        <v>29</v>
      </c>
      <c r="D1702" s="19">
        <v>44947</v>
      </c>
      <c r="E1702" s="20">
        <v>45573</v>
      </c>
      <c r="F1702" s="21">
        <v>2817.6</v>
      </c>
      <c r="G1702" s="21">
        <v>2332.8000000000002</v>
      </c>
      <c r="H1702" s="21">
        <v>1025.5999999999999</v>
      </c>
      <c r="I1702" s="18">
        <v>1368.2560000000001</v>
      </c>
      <c r="J1702" s="18">
        <v>3207.9360000000001</v>
      </c>
      <c r="K1702" s="18" t="s">
        <v>43</v>
      </c>
      <c r="L1702" s="18" t="s">
        <v>31</v>
      </c>
      <c r="M1702" s="18" t="s">
        <v>32</v>
      </c>
      <c r="N1702" s="22">
        <f t="shared" si="156"/>
        <v>0.82793867120954001</v>
      </c>
      <c r="O1702" s="22">
        <f t="shared" si="157"/>
        <v>0.43964334705075397</v>
      </c>
      <c r="P1702" s="23">
        <f t="shared" si="158"/>
        <v>0.58652949245541797</v>
      </c>
      <c r="Q1702" s="23">
        <f t="shared" si="159"/>
        <v>1.33410296411856</v>
      </c>
      <c r="R1702" s="22">
        <f t="shared" si="160"/>
        <v>1.34454371111839</v>
      </c>
      <c r="S1702" s="22">
        <f t="shared" si="161"/>
        <v>2.3445437111183902</v>
      </c>
    </row>
    <row r="1703" spans="1:19">
      <c r="A1703" s="18" t="s">
        <v>1742</v>
      </c>
      <c r="B1703" s="18" t="s">
        <v>26</v>
      </c>
      <c r="C1703" s="18" t="s">
        <v>41</v>
      </c>
      <c r="D1703" s="19">
        <v>44777</v>
      </c>
      <c r="E1703" s="20">
        <v>45397</v>
      </c>
      <c r="F1703" s="21">
        <v>75132.800000000003</v>
      </c>
      <c r="G1703" s="21">
        <v>38001.599999999999</v>
      </c>
      <c r="H1703" s="21">
        <v>19924.8</v>
      </c>
      <c r="I1703" s="18">
        <v>4191.3119999999999</v>
      </c>
      <c r="J1703" s="18">
        <v>12081.183999999999</v>
      </c>
      <c r="K1703" s="18" t="s">
        <v>30</v>
      </c>
      <c r="L1703" s="18" t="s">
        <v>35</v>
      </c>
      <c r="M1703" s="18" t="s">
        <v>32</v>
      </c>
      <c r="N1703" s="22">
        <f t="shared" si="156"/>
        <v>0.50579241023893695</v>
      </c>
      <c r="O1703" s="22">
        <f t="shared" si="157"/>
        <v>0.52431476569407598</v>
      </c>
      <c r="P1703" s="23">
        <f t="shared" si="158"/>
        <v>0.11029304029304</v>
      </c>
      <c r="Q1703" s="23">
        <f t="shared" si="159"/>
        <v>0.21035654059262801</v>
      </c>
      <c r="R1703" s="22">
        <f t="shared" si="160"/>
        <v>1.8824349034383501</v>
      </c>
      <c r="S1703" s="22">
        <f t="shared" si="161"/>
        <v>2.8824349034383498</v>
      </c>
    </row>
    <row r="1704" spans="1:19">
      <c r="A1704" s="18" t="s">
        <v>1743</v>
      </c>
      <c r="B1704" s="18" t="s">
        <v>47</v>
      </c>
      <c r="C1704" s="18" t="s">
        <v>48</v>
      </c>
      <c r="D1704" s="19">
        <v>44845</v>
      </c>
      <c r="E1704" s="20">
        <v>45475</v>
      </c>
      <c r="F1704" s="21">
        <v>1870.4</v>
      </c>
      <c r="G1704" s="21">
        <v>731.2</v>
      </c>
      <c r="H1704" s="21">
        <v>464</v>
      </c>
      <c r="I1704" s="18">
        <v>4602.72</v>
      </c>
      <c r="J1704" s="18">
        <v>13721.376</v>
      </c>
      <c r="K1704" s="18" t="s">
        <v>38</v>
      </c>
      <c r="L1704" s="18" t="s">
        <v>44</v>
      </c>
      <c r="M1704" s="18" t="s">
        <v>32</v>
      </c>
      <c r="N1704" s="22">
        <f t="shared" si="156"/>
        <v>0.39093242087254099</v>
      </c>
      <c r="O1704" s="22">
        <f t="shared" si="157"/>
        <v>0.63457330415754898</v>
      </c>
      <c r="P1704" s="23">
        <f t="shared" si="158"/>
        <v>6.2947483588621402</v>
      </c>
      <c r="Q1704" s="23">
        <f t="shared" si="159"/>
        <v>9.9196551724137905</v>
      </c>
      <c r="R1704" s="22">
        <f t="shared" si="160"/>
        <v>1.98114506205027</v>
      </c>
      <c r="S1704" s="22">
        <f t="shared" si="161"/>
        <v>2.98114506205027</v>
      </c>
    </row>
    <row r="1705" spans="1:19">
      <c r="A1705" s="18" t="s">
        <v>1744</v>
      </c>
      <c r="B1705" s="18" t="s">
        <v>34</v>
      </c>
      <c r="C1705" s="18" t="s">
        <v>41</v>
      </c>
      <c r="D1705" s="19">
        <v>44892</v>
      </c>
      <c r="E1705" s="20">
        <v>45508</v>
      </c>
      <c r="F1705" s="21">
        <v>58686.400000000001</v>
      </c>
      <c r="G1705" s="21">
        <v>28105.599999999999</v>
      </c>
      <c r="H1705" s="21">
        <v>19235.2</v>
      </c>
      <c r="I1705" s="18">
        <v>817.05600000000004</v>
      </c>
      <c r="J1705" s="18">
        <v>1472.72</v>
      </c>
      <c r="K1705" s="18" t="s">
        <v>22</v>
      </c>
      <c r="L1705" s="18" t="s">
        <v>50</v>
      </c>
      <c r="M1705" s="18" t="s">
        <v>24</v>
      </c>
      <c r="N1705" s="22">
        <f t="shared" si="156"/>
        <v>0.47891163881239901</v>
      </c>
      <c r="O1705" s="22">
        <f t="shared" si="157"/>
        <v>0.68439029944210406</v>
      </c>
      <c r="P1705" s="23">
        <f t="shared" si="158"/>
        <v>2.9070932483206201E-2</v>
      </c>
      <c r="Q1705" s="23">
        <f t="shared" si="159"/>
        <v>4.2477125270337701E-2</v>
      </c>
      <c r="R1705" s="22">
        <f t="shared" si="160"/>
        <v>0.802471311635922</v>
      </c>
      <c r="S1705" s="22">
        <f t="shared" si="161"/>
        <v>1.8024713116359199</v>
      </c>
    </row>
    <row r="1706" spans="1:19">
      <c r="A1706" s="18" t="s">
        <v>1745</v>
      </c>
      <c r="B1706" s="18" t="s">
        <v>28</v>
      </c>
      <c r="C1706" s="18" t="s">
        <v>21</v>
      </c>
      <c r="D1706" s="19">
        <v>44900</v>
      </c>
      <c r="E1706" s="20">
        <v>45528</v>
      </c>
      <c r="F1706" s="21">
        <v>43704</v>
      </c>
      <c r="G1706" s="21">
        <v>19001.599999999999</v>
      </c>
      <c r="H1706" s="21">
        <v>10046.4</v>
      </c>
      <c r="I1706" s="18">
        <v>5690.9279999999999</v>
      </c>
      <c r="J1706" s="18">
        <v>12431.536</v>
      </c>
      <c r="K1706" s="18" t="s">
        <v>38</v>
      </c>
      <c r="L1706" s="18" t="s">
        <v>31</v>
      </c>
      <c r="M1706" s="18" t="s">
        <v>32</v>
      </c>
      <c r="N1706" s="22">
        <f t="shared" si="156"/>
        <v>0.43477942522423602</v>
      </c>
      <c r="O1706" s="22">
        <f t="shared" si="157"/>
        <v>0.52871337150555697</v>
      </c>
      <c r="P1706" s="23">
        <f t="shared" si="158"/>
        <v>0.29949730549006398</v>
      </c>
      <c r="Q1706" s="23">
        <f t="shared" si="159"/>
        <v>0.56646440516005703</v>
      </c>
      <c r="R1706" s="22">
        <f t="shared" si="160"/>
        <v>1.1844479494381199</v>
      </c>
      <c r="S1706" s="22">
        <f t="shared" si="161"/>
        <v>2.1844479494381202</v>
      </c>
    </row>
    <row r="1707" spans="1:19">
      <c r="A1707" s="18" t="s">
        <v>1746</v>
      </c>
      <c r="B1707" s="18" t="s">
        <v>47</v>
      </c>
      <c r="C1707" s="18" t="s">
        <v>48</v>
      </c>
      <c r="D1707" s="19">
        <v>44723</v>
      </c>
      <c r="E1707" s="20">
        <v>45351</v>
      </c>
      <c r="F1707" s="21">
        <v>75504</v>
      </c>
      <c r="G1707" s="21">
        <v>28070.400000000001</v>
      </c>
      <c r="H1707" s="21">
        <v>20596.8</v>
      </c>
      <c r="I1707" s="18">
        <v>5136.2879999999996</v>
      </c>
      <c r="J1707" s="18">
        <v>8092.1440000000002</v>
      </c>
      <c r="K1707" s="18" t="s">
        <v>65</v>
      </c>
      <c r="L1707" s="18" t="s">
        <v>23</v>
      </c>
      <c r="M1707" s="18" t="s">
        <v>32</v>
      </c>
      <c r="N1707" s="22">
        <f t="shared" si="156"/>
        <v>0.37177368086459001</v>
      </c>
      <c r="O1707" s="22">
        <f t="shared" si="157"/>
        <v>0.73375512995895997</v>
      </c>
      <c r="P1707" s="23">
        <f t="shared" si="158"/>
        <v>0.182978796169631</v>
      </c>
      <c r="Q1707" s="23">
        <f t="shared" si="159"/>
        <v>0.249373106501981</v>
      </c>
      <c r="R1707" s="22">
        <f t="shared" si="160"/>
        <v>0.57548486377710895</v>
      </c>
      <c r="S1707" s="22">
        <f t="shared" si="161"/>
        <v>1.5754848637771099</v>
      </c>
    </row>
    <row r="1708" spans="1:19">
      <c r="A1708" s="18" t="s">
        <v>1747</v>
      </c>
      <c r="B1708" s="18" t="s">
        <v>34</v>
      </c>
      <c r="C1708" s="18" t="s">
        <v>41</v>
      </c>
      <c r="D1708" s="19">
        <v>44987</v>
      </c>
      <c r="E1708" s="20">
        <v>45590</v>
      </c>
      <c r="F1708" s="21">
        <v>51027.199999999997</v>
      </c>
      <c r="G1708" s="21">
        <v>21955.200000000001</v>
      </c>
      <c r="H1708" s="21">
        <v>4078.4</v>
      </c>
      <c r="I1708" s="18">
        <v>1308.336</v>
      </c>
      <c r="J1708" s="18">
        <v>2516.8960000000002</v>
      </c>
      <c r="K1708" s="18" t="s">
        <v>38</v>
      </c>
      <c r="L1708" s="18" t="s">
        <v>35</v>
      </c>
      <c r="M1708" s="18" t="s">
        <v>24</v>
      </c>
      <c r="N1708" s="22">
        <f t="shared" si="156"/>
        <v>0.43026464317070101</v>
      </c>
      <c r="O1708" s="22">
        <f t="shared" si="157"/>
        <v>0.18576009328086299</v>
      </c>
      <c r="P1708" s="23">
        <f t="shared" si="158"/>
        <v>5.9591167468299101E-2</v>
      </c>
      <c r="Q1708" s="23">
        <f t="shared" si="159"/>
        <v>0.32079639074146699</v>
      </c>
      <c r="R1708" s="22">
        <f t="shared" si="160"/>
        <v>0.92373824460994702</v>
      </c>
      <c r="S1708" s="22">
        <f t="shared" si="161"/>
        <v>1.92373824460995</v>
      </c>
    </row>
    <row r="1709" spans="1:19">
      <c r="A1709" s="18" t="s">
        <v>1748</v>
      </c>
      <c r="B1709" s="18" t="s">
        <v>20</v>
      </c>
      <c r="C1709" s="18" t="s">
        <v>48</v>
      </c>
      <c r="D1709" s="19">
        <v>44712</v>
      </c>
      <c r="E1709" s="20">
        <v>45338</v>
      </c>
      <c r="F1709" s="21">
        <v>65571.199999999997</v>
      </c>
      <c r="G1709" s="21">
        <v>64182.400000000001</v>
      </c>
      <c r="H1709" s="21">
        <v>54620.800000000003</v>
      </c>
      <c r="I1709" s="18">
        <v>6725.7280000000001</v>
      </c>
      <c r="J1709" s="18">
        <v>24305.455999999998</v>
      </c>
      <c r="K1709" s="18" t="s">
        <v>65</v>
      </c>
      <c r="L1709" s="18" t="s">
        <v>50</v>
      </c>
      <c r="M1709" s="18" t="s">
        <v>32</v>
      </c>
      <c r="N1709" s="22">
        <f t="shared" si="156"/>
        <v>0.97881996974281404</v>
      </c>
      <c r="O1709" s="22">
        <f t="shared" si="157"/>
        <v>0.85102457994715097</v>
      </c>
      <c r="P1709" s="23">
        <f t="shared" si="158"/>
        <v>0.104790846088647</v>
      </c>
      <c r="Q1709" s="23">
        <f t="shared" si="159"/>
        <v>0.12313492295975199</v>
      </c>
      <c r="R1709" s="22">
        <f t="shared" si="160"/>
        <v>2.6138029964934599</v>
      </c>
      <c r="S1709" s="22">
        <f t="shared" si="161"/>
        <v>3.6138029964934599</v>
      </c>
    </row>
    <row r="1710" spans="1:19">
      <c r="A1710" s="18" t="s">
        <v>1749</v>
      </c>
      <c r="B1710" s="18" t="s">
        <v>34</v>
      </c>
      <c r="C1710" s="18" t="s">
        <v>41</v>
      </c>
      <c r="D1710" s="19">
        <v>44969</v>
      </c>
      <c r="E1710" s="20">
        <v>45589</v>
      </c>
      <c r="F1710" s="21">
        <v>18625.599999999999</v>
      </c>
      <c r="G1710" s="21">
        <v>9286.4</v>
      </c>
      <c r="H1710" s="21">
        <v>4867.2</v>
      </c>
      <c r="I1710" s="18">
        <v>7334.6239999999998</v>
      </c>
      <c r="J1710" s="18">
        <v>27857.295999999998</v>
      </c>
      <c r="K1710" s="18" t="s">
        <v>22</v>
      </c>
      <c r="L1710" s="18" t="s">
        <v>44</v>
      </c>
      <c r="M1710" s="18" t="s">
        <v>32</v>
      </c>
      <c r="N1710" s="22">
        <f t="shared" si="156"/>
        <v>0.49858259599690802</v>
      </c>
      <c r="O1710" s="22">
        <f t="shared" si="157"/>
        <v>0.52412129565816701</v>
      </c>
      <c r="P1710" s="23">
        <f t="shared" si="158"/>
        <v>0.78982425913163301</v>
      </c>
      <c r="Q1710" s="23">
        <f t="shared" si="159"/>
        <v>1.50694937541091</v>
      </c>
      <c r="R1710" s="22">
        <f t="shared" si="160"/>
        <v>2.7980537243626902</v>
      </c>
      <c r="S1710" s="22">
        <f t="shared" si="161"/>
        <v>3.7980537243626902</v>
      </c>
    </row>
    <row r="1711" spans="1:19">
      <c r="A1711" s="18" t="s">
        <v>1750</v>
      </c>
      <c r="B1711" s="18" t="s">
        <v>47</v>
      </c>
      <c r="C1711" s="18" t="s">
        <v>41</v>
      </c>
      <c r="D1711" s="19">
        <v>44822</v>
      </c>
      <c r="E1711" s="20">
        <v>45441</v>
      </c>
      <c r="F1711" s="21">
        <v>5219.2</v>
      </c>
      <c r="G1711" s="21">
        <v>2088</v>
      </c>
      <c r="H1711" s="21">
        <v>1264</v>
      </c>
      <c r="I1711" s="18">
        <v>1514.1759999999999</v>
      </c>
      <c r="J1711" s="18">
        <v>1995.0239999999999</v>
      </c>
      <c r="K1711" s="18" t="s">
        <v>65</v>
      </c>
      <c r="L1711" s="18" t="s">
        <v>50</v>
      </c>
      <c r="M1711" s="18" t="s">
        <v>32</v>
      </c>
      <c r="N1711" s="22">
        <f t="shared" si="156"/>
        <v>0.400061312078479</v>
      </c>
      <c r="O1711" s="22">
        <f t="shared" si="157"/>
        <v>0.60536398467432995</v>
      </c>
      <c r="P1711" s="23">
        <f t="shared" si="158"/>
        <v>0.72518007662835204</v>
      </c>
      <c r="Q1711" s="23">
        <f t="shared" si="159"/>
        <v>1.1979240506329101</v>
      </c>
      <c r="R1711" s="22">
        <f t="shared" si="160"/>
        <v>0.31756414049621701</v>
      </c>
      <c r="S1711" s="22">
        <f t="shared" si="161"/>
        <v>1.3175641404962199</v>
      </c>
    </row>
    <row r="1712" spans="1:19">
      <c r="A1712" s="18" t="s">
        <v>1751</v>
      </c>
      <c r="B1712" s="18" t="s">
        <v>26</v>
      </c>
      <c r="C1712" s="18" t="s">
        <v>21</v>
      </c>
      <c r="D1712" s="19">
        <v>44907</v>
      </c>
      <c r="E1712" s="20">
        <v>45516</v>
      </c>
      <c r="F1712" s="21">
        <v>54462.400000000001</v>
      </c>
      <c r="G1712" s="21">
        <v>28401.599999999999</v>
      </c>
      <c r="H1712" s="21">
        <v>24272</v>
      </c>
      <c r="I1712" s="18">
        <v>3699.232</v>
      </c>
      <c r="J1712" s="18">
        <v>9526.08</v>
      </c>
      <c r="K1712" s="18" t="s">
        <v>30</v>
      </c>
      <c r="L1712" s="18" t="s">
        <v>44</v>
      </c>
      <c r="M1712" s="18" t="s">
        <v>32</v>
      </c>
      <c r="N1712" s="22">
        <f t="shared" si="156"/>
        <v>0.52149005552454497</v>
      </c>
      <c r="O1712" s="22">
        <f t="shared" si="157"/>
        <v>0.85459974085967005</v>
      </c>
      <c r="P1712" s="23">
        <f t="shared" si="158"/>
        <v>0.130247310010704</v>
      </c>
      <c r="Q1712" s="23">
        <f t="shared" si="159"/>
        <v>0.152407382992749</v>
      </c>
      <c r="R1712" s="22">
        <f t="shared" si="160"/>
        <v>1.57515073399019</v>
      </c>
      <c r="S1712" s="22">
        <f t="shared" si="161"/>
        <v>2.5751507339901898</v>
      </c>
    </row>
    <row r="1713" spans="1:19">
      <c r="A1713" s="18" t="s">
        <v>1752</v>
      </c>
      <c r="B1713" s="18" t="s">
        <v>28</v>
      </c>
      <c r="C1713" s="18" t="s">
        <v>48</v>
      </c>
      <c r="D1713" s="19">
        <v>44766</v>
      </c>
      <c r="E1713" s="20">
        <v>45392</v>
      </c>
      <c r="F1713" s="21">
        <v>58248</v>
      </c>
      <c r="G1713" s="21">
        <v>29742.400000000001</v>
      </c>
      <c r="H1713" s="21">
        <v>1472</v>
      </c>
      <c r="I1713" s="18">
        <v>6260.7359999999999</v>
      </c>
      <c r="J1713" s="18">
        <v>18110.240000000002</v>
      </c>
      <c r="K1713" s="18" t="s">
        <v>43</v>
      </c>
      <c r="L1713" s="18" t="s">
        <v>23</v>
      </c>
      <c r="M1713" s="18" t="s">
        <v>32</v>
      </c>
      <c r="N1713" s="22">
        <f t="shared" si="156"/>
        <v>0.51061667353385498</v>
      </c>
      <c r="O1713" s="22">
        <f t="shared" si="157"/>
        <v>4.9491634837807302E-2</v>
      </c>
      <c r="P1713" s="23">
        <f t="shared" si="158"/>
        <v>0.210498682016246</v>
      </c>
      <c r="Q1713" s="23">
        <f t="shared" si="159"/>
        <v>4.2532173913043501</v>
      </c>
      <c r="R1713" s="22">
        <f t="shared" si="160"/>
        <v>1.89266948806019</v>
      </c>
      <c r="S1713" s="22">
        <f t="shared" si="161"/>
        <v>2.8926694880601902</v>
      </c>
    </row>
    <row r="1714" spans="1:19">
      <c r="A1714" s="18" t="s">
        <v>1753</v>
      </c>
      <c r="B1714" s="18" t="s">
        <v>34</v>
      </c>
      <c r="C1714" s="18" t="s">
        <v>48</v>
      </c>
      <c r="D1714" s="19">
        <v>44832</v>
      </c>
      <c r="E1714" s="20">
        <v>45445</v>
      </c>
      <c r="F1714" s="21">
        <v>34331.199999999997</v>
      </c>
      <c r="G1714" s="21">
        <v>29451.200000000001</v>
      </c>
      <c r="H1714" s="21">
        <v>17473.599999999999</v>
      </c>
      <c r="I1714" s="18">
        <v>5564.4639999999999</v>
      </c>
      <c r="J1714" s="18">
        <v>14999.856</v>
      </c>
      <c r="K1714" s="18" t="s">
        <v>22</v>
      </c>
      <c r="L1714" s="18" t="s">
        <v>44</v>
      </c>
      <c r="M1714" s="18" t="s">
        <v>32</v>
      </c>
      <c r="N1714" s="22">
        <f t="shared" si="156"/>
        <v>0.85785524537447</v>
      </c>
      <c r="O1714" s="22">
        <f t="shared" si="157"/>
        <v>0.59330689411636905</v>
      </c>
      <c r="P1714" s="23">
        <f t="shared" si="158"/>
        <v>0.18893844732981999</v>
      </c>
      <c r="Q1714" s="23">
        <f t="shared" si="159"/>
        <v>0.31844977566156901</v>
      </c>
      <c r="R1714" s="22">
        <f t="shared" si="160"/>
        <v>1.6956515488284201</v>
      </c>
      <c r="S1714" s="22">
        <f t="shared" si="161"/>
        <v>2.6956515488284198</v>
      </c>
    </row>
    <row r="1715" spans="1:19">
      <c r="A1715" s="18" t="s">
        <v>1754</v>
      </c>
      <c r="B1715" s="18" t="s">
        <v>28</v>
      </c>
      <c r="C1715" s="18" t="s">
        <v>29</v>
      </c>
      <c r="D1715" s="19">
        <v>44896</v>
      </c>
      <c r="E1715" s="20">
        <v>45513</v>
      </c>
      <c r="F1715" s="21">
        <v>15742.4</v>
      </c>
      <c r="G1715" s="21">
        <v>12169.6</v>
      </c>
      <c r="H1715" s="21">
        <v>7080</v>
      </c>
      <c r="I1715" s="18">
        <v>1879.8879999999999</v>
      </c>
      <c r="J1715" s="18">
        <v>4308.0479999999998</v>
      </c>
      <c r="K1715" s="18" t="s">
        <v>43</v>
      </c>
      <c r="L1715" s="18" t="s">
        <v>31</v>
      </c>
      <c r="M1715" s="18" t="s">
        <v>32</v>
      </c>
      <c r="N1715" s="22">
        <f t="shared" si="156"/>
        <v>0.77304604126435605</v>
      </c>
      <c r="O1715" s="22">
        <f t="shared" si="157"/>
        <v>0.58177754404417603</v>
      </c>
      <c r="P1715" s="23">
        <f t="shared" si="158"/>
        <v>0.154474099395214</v>
      </c>
      <c r="Q1715" s="23">
        <f t="shared" si="159"/>
        <v>0.26552090395480199</v>
      </c>
      <c r="R1715" s="22">
        <f t="shared" si="160"/>
        <v>1.2916514175312599</v>
      </c>
      <c r="S1715" s="22">
        <f t="shared" si="161"/>
        <v>2.2916514175312601</v>
      </c>
    </row>
    <row r="1716" spans="1:19">
      <c r="A1716" s="18" t="s">
        <v>1755</v>
      </c>
      <c r="B1716" s="18" t="s">
        <v>26</v>
      </c>
      <c r="C1716" s="18" t="s">
        <v>48</v>
      </c>
      <c r="D1716" s="19">
        <v>44868</v>
      </c>
      <c r="E1716" s="20">
        <v>45478</v>
      </c>
      <c r="F1716" s="21">
        <v>16020.8</v>
      </c>
      <c r="G1716" s="21">
        <v>11568</v>
      </c>
      <c r="H1716" s="21">
        <v>3460.8</v>
      </c>
      <c r="I1716" s="18">
        <v>4217.9040000000005</v>
      </c>
      <c r="J1716" s="18">
        <v>12158.992</v>
      </c>
      <c r="K1716" s="18" t="s">
        <v>38</v>
      </c>
      <c r="L1716" s="18" t="s">
        <v>23</v>
      </c>
      <c r="M1716" s="18" t="s">
        <v>24</v>
      </c>
      <c r="N1716" s="22">
        <f t="shared" si="156"/>
        <v>0.72206132028363101</v>
      </c>
      <c r="O1716" s="22">
        <f t="shared" si="157"/>
        <v>0.29917012448132801</v>
      </c>
      <c r="P1716" s="23">
        <f t="shared" si="158"/>
        <v>0.36461825726141101</v>
      </c>
      <c r="Q1716" s="23">
        <f t="shared" si="159"/>
        <v>1.21876560332871</v>
      </c>
      <c r="R1716" s="22">
        <f t="shared" si="160"/>
        <v>1.88270951638539</v>
      </c>
      <c r="S1716" s="22">
        <f t="shared" si="161"/>
        <v>2.8827095163853902</v>
      </c>
    </row>
    <row r="1717" spans="1:19">
      <c r="A1717" s="18" t="s">
        <v>1756</v>
      </c>
      <c r="B1717" s="18" t="s">
        <v>26</v>
      </c>
      <c r="C1717" s="18" t="s">
        <v>21</v>
      </c>
      <c r="D1717" s="19">
        <v>44947</v>
      </c>
      <c r="E1717" s="20">
        <v>45557</v>
      </c>
      <c r="F1717" s="21">
        <v>22638.400000000001</v>
      </c>
      <c r="G1717" s="21">
        <v>3017.6</v>
      </c>
      <c r="H1717" s="21">
        <v>1900.8</v>
      </c>
      <c r="I1717" s="18">
        <v>5142.0159999999996</v>
      </c>
      <c r="J1717" s="18">
        <v>17616.831999999999</v>
      </c>
      <c r="K1717" s="18" t="s">
        <v>43</v>
      </c>
      <c r="L1717" s="18" t="s">
        <v>50</v>
      </c>
      <c r="M1717" s="18" t="s">
        <v>32</v>
      </c>
      <c r="N1717" s="22">
        <f t="shared" si="156"/>
        <v>0.133295639267793</v>
      </c>
      <c r="O1717" s="22">
        <f t="shared" si="157"/>
        <v>0.62990455991516403</v>
      </c>
      <c r="P1717" s="23">
        <f t="shared" si="158"/>
        <v>1.7040084835631</v>
      </c>
      <c r="Q1717" s="23">
        <f t="shared" si="159"/>
        <v>2.7051851851851798</v>
      </c>
      <c r="R1717" s="22">
        <f t="shared" si="160"/>
        <v>2.4260554615154799</v>
      </c>
      <c r="S1717" s="22">
        <f t="shared" si="161"/>
        <v>3.4260554615154799</v>
      </c>
    </row>
    <row r="1718" spans="1:19">
      <c r="A1718" s="18" t="s">
        <v>1757</v>
      </c>
      <c r="B1718" s="18" t="s">
        <v>40</v>
      </c>
      <c r="C1718" s="18" t="s">
        <v>48</v>
      </c>
      <c r="D1718" s="19">
        <v>44801</v>
      </c>
      <c r="E1718" s="20">
        <v>45409</v>
      </c>
      <c r="F1718" s="21">
        <v>19112</v>
      </c>
      <c r="G1718" s="21">
        <v>16316.8</v>
      </c>
      <c r="H1718" s="21">
        <v>3588.8</v>
      </c>
      <c r="I1718" s="18">
        <v>1078.144</v>
      </c>
      <c r="J1718" s="18">
        <v>1619.904</v>
      </c>
      <c r="K1718" s="18" t="s">
        <v>30</v>
      </c>
      <c r="L1718" s="18" t="s">
        <v>44</v>
      </c>
      <c r="M1718" s="18" t="s">
        <v>32</v>
      </c>
      <c r="N1718" s="22">
        <f t="shared" si="156"/>
        <v>0.85374633737965699</v>
      </c>
      <c r="O1718" s="22">
        <f t="shared" si="157"/>
        <v>0.21994508727201401</v>
      </c>
      <c r="P1718" s="23">
        <f t="shared" si="158"/>
        <v>6.6075701117866203E-2</v>
      </c>
      <c r="Q1718" s="23">
        <f t="shared" si="159"/>
        <v>0.30041908158716002</v>
      </c>
      <c r="R1718" s="22">
        <f t="shared" si="160"/>
        <v>0.50249317345363897</v>
      </c>
      <c r="S1718" s="22">
        <f t="shared" si="161"/>
        <v>1.50249317345364</v>
      </c>
    </row>
    <row r="1719" spans="1:19">
      <c r="A1719" s="18" t="s">
        <v>1758</v>
      </c>
      <c r="B1719" s="18" t="s">
        <v>47</v>
      </c>
      <c r="C1719" s="18" t="s">
        <v>29</v>
      </c>
      <c r="D1719" s="19">
        <v>44836</v>
      </c>
      <c r="E1719" s="20">
        <v>45455</v>
      </c>
      <c r="F1719" s="21">
        <v>71025.600000000006</v>
      </c>
      <c r="G1719" s="21">
        <v>18451.2</v>
      </c>
      <c r="H1719" s="21">
        <v>10249.6</v>
      </c>
      <c r="I1719" s="18">
        <v>1024.7840000000001</v>
      </c>
      <c r="J1719" s="18">
        <v>1898.4639999999999</v>
      </c>
      <c r="K1719" s="18" t="s">
        <v>43</v>
      </c>
      <c r="L1719" s="18" t="s">
        <v>23</v>
      </c>
      <c r="M1719" s="18" t="s">
        <v>32</v>
      </c>
      <c r="N1719" s="22">
        <f t="shared" si="156"/>
        <v>0.25978238832195699</v>
      </c>
      <c r="O1719" s="22">
        <f t="shared" si="157"/>
        <v>0.55549774540409302</v>
      </c>
      <c r="P1719" s="23">
        <f t="shared" si="158"/>
        <v>5.5540235865418001E-2</v>
      </c>
      <c r="Q1719" s="23">
        <f t="shared" si="159"/>
        <v>9.9982828598189202E-2</v>
      </c>
      <c r="R1719" s="22">
        <f t="shared" si="160"/>
        <v>0.85255039110680897</v>
      </c>
      <c r="S1719" s="22">
        <f t="shared" si="161"/>
        <v>1.85255039110681</v>
      </c>
    </row>
    <row r="1720" spans="1:19">
      <c r="A1720" s="18" t="s">
        <v>1759</v>
      </c>
      <c r="B1720" s="18" t="s">
        <v>34</v>
      </c>
      <c r="C1720" s="18" t="s">
        <v>21</v>
      </c>
      <c r="D1720" s="19">
        <v>44715</v>
      </c>
      <c r="E1720" s="20">
        <v>45319</v>
      </c>
      <c r="F1720" s="21">
        <v>19795.2</v>
      </c>
      <c r="G1720" s="21">
        <v>16971.2</v>
      </c>
      <c r="H1720" s="21">
        <v>7041.6</v>
      </c>
      <c r="I1720" s="18">
        <v>4237.2</v>
      </c>
      <c r="J1720" s="18">
        <v>12824.096</v>
      </c>
      <c r="K1720" s="18" t="s">
        <v>43</v>
      </c>
      <c r="L1720" s="18" t="s">
        <v>23</v>
      </c>
      <c r="M1720" s="18" t="s">
        <v>24</v>
      </c>
      <c r="N1720" s="22">
        <f t="shared" si="156"/>
        <v>0.85733915292596197</v>
      </c>
      <c r="O1720" s="22">
        <f t="shared" si="157"/>
        <v>0.41491467898557599</v>
      </c>
      <c r="P1720" s="23">
        <f t="shared" si="158"/>
        <v>0.249670029225983</v>
      </c>
      <c r="Q1720" s="23">
        <f t="shared" si="159"/>
        <v>0.60173824130879305</v>
      </c>
      <c r="R1720" s="22">
        <f t="shared" si="160"/>
        <v>2.0265496082318499</v>
      </c>
      <c r="S1720" s="22">
        <f t="shared" si="161"/>
        <v>3.0265496082318499</v>
      </c>
    </row>
    <row r="1721" spans="1:19">
      <c r="A1721" s="18" t="s">
        <v>1760</v>
      </c>
      <c r="B1721" s="18" t="s">
        <v>34</v>
      </c>
      <c r="C1721" s="18" t="s">
        <v>48</v>
      </c>
      <c r="D1721" s="19">
        <v>44763</v>
      </c>
      <c r="E1721" s="20">
        <v>45374</v>
      </c>
      <c r="F1721" s="21">
        <v>36089.599999999999</v>
      </c>
      <c r="G1721" s="21">
        <v>2548.8000000000002</v>
      </c>
      <c r="H1721" s="21">
        <v>36.799999999999997</v>
      </c>
      <c r="I1721" s="18">
        <v>6078.72</v>
      </c>
      <c r="J1721" s="18">
        <v>11743.248</v>
      </c>
      <c r="K1721" s="18" t="s">
        <v>30</v>
      </c>
      <c r="L1721" s="18" t="s">
        <v>44</v>
      </c>
      <c r="M1721" s="18" t="s">
        <v>24</v>
      </c>
      <c r="N1721" s="22">
        <f t="shared" si="156"/>
        <v>7.0624224153218701E-2</v>
      </c>
      <c r="O1721" s="22">
        <f t="shared" si="157"/>
        <v>1.44381669805399E-2</v>
      </c>
      <c r="P1721" s="23">
        <f t="shared" si="158"/>
        <v>2.3849340866289999</v>
      </c>
      <c r="Q1721" s="23">
        <f t="shared" si="159"/>
        <v>165.18260869565199</v>
      </c>
      <c r="R1721" s="22">
        <f t="shared" si="160"/>
        <v>0.93186197094125101</v>
      </c>
      <c r="S1721" s="22">
        <f t="shared" si="161"/>
        <v>1.9318619709412499</v>
      </c>
    </row>
    <row r="1722" spans="1:19">
      <c r="A1722" s="18" t="s">
        <v>1761</v>
      </c>
      <c r="B1722" s="18" t="s">
        <v>28</v>
      </c>
      <c r="C1722" s="18" t="s">
        <v>48</v>
      </c>
      <c r="D1722" s="19">
        <v>44823</v>
      </c>
      <c r="E1722" s="20">
        <v>45426</v>
      </c>
      <c r="F1722" s="21">
        <v>75854.399999999994</v>
      </c>
      <c r="G1722" s="21">
        <v>68204.800000000003</v>
      </c>
      <c r="H1722" s="21">
        <v>66776</v>
      </c>
      <c r="I1722" s="18">
        <v>5679.4560000000001</v>
      </c>
      <c r="J1722" s="18">
        <v>11702.432000000001</v>
      </c>
      <c r="K1722" s="18" t="s">
        <v>43</v>
      </c>
      <c r="L1722" s="18" t="s">
        <v>31</v>
      </c>
      <c r="M1722" s="18" t="s">
        <v>24</v>
      </c>
      <c r="N1722" s="22">
        <f t="shared" si="156"/>
        <v>0.89915416903963397</v>
      </c>
      <c r="O1722" s="22">
        <f t="shared" si="157"/>
        <v>0.97905132776578796</v>
      </c>
      <c r="P1722" s="23">
        <f t="shared" si="158"/>
        <v>8.3270620249601204E-2</v>
      </c>
      <c r="Q1722" s="23">
        <f t="shared" si="159"/>
        <v>8.5052354139211694E-2</v>
      </c>
      <c r="R1722" s="22">
        <f t="shared" si="160"/>
        <v>1.06048466613704</v>
      </c>
      <c r="S1722" s="22">
        <f t="shared" si="161"/>
        <v>2.06048466613704</v>
      </c>
    </row>
    <row r="1723" spans="1:19">
      <c r="A1723" s="18" t="s">
        <v>1762</v>
      </c>
      <c r="B1723" s="18" t="s">
        <v>20</v>
      </c>
      <c r="C1723" s="18" t="s">
        <v>41</v>
      </c>
      <c r="D1723" s="19">
        <v>44861</v>
      </c>
      <c r="E1723" s="20">
        <v>45472</v>
      </c>
      <c r="F1723" s="21">
        <v>59851.199999999997</v>
      </c>
      <c r="G1723" s="21">
        <v>39635.199999999997</v>
      </c>
      <c r="H1723" s="21">
        <v>6224</v>
      </c>
      <c r="I1723" s="18">
        <v>1036.08</v>
      </c>
      <c r="J1723" s="18">
        <v>1886.64</v>
      </c>
      <c r="K1723" s="18" t="s">
        <v>65</v>
      </c>
      <c r="L1723" s="18" t="s">
        <v>31</v>
      </c>
      <c r="M1723" s="18" t="s">
        <v>32</v>
      </c>
      <c r="N1723" s="22">
        <f t="shared" si="156"/>
        <v>0.66222899457320805</v>
      </c>
      <c r="O1723" s="22">
        <f t="shared" si="157"/>
        <v>0.15703213305344699</v>
      </c>
      <c r="P1723" s="23">
        <f t="shared" si="158"/>
        <v>2.6140400452123399E-2</v>
      </c>
      <c r="Q1723" s="23">
        <f t="shared" si="159"/>
        <v>0.16646529562981999</v>
      </c>
      <c r="R1723" s="22">
        <f t="shared" si="160"/>
        <v>0.82094046791753505</v>
      </c>
      <c r="S1723" s="22">
        <f t="shared" si="161"/>
        <v>1.8209404679175401</v>
      </c>
    </row>
    <row r="1724" spans="1:19">
      <c r="A1724" s="18" t="s">
        <v>1763</v>
      </c>
      <c r="B1724" s="18" t="s">
        <v>34</v>
      </c>
      <c r="C1724" s="18" t="s">
        <v>41</v>
      </c>
      <c r="D1724" s="19">
        <v>44969</v>
      </c>
      <c r="E1724" s="20">
        <v>45585</v>
      </c>
      <c r="F1724" s="21">
        <v>64577.599999999999</v>
      </c>
      <c r="G1724" s="21">
        <v>20798.400000000001</v>
      </c>
      <c r="H1724" s="21">
        <v>16404.8</v>
      </c>
      <c r="I1724" s="18">
        <v>7106.64</v>
      </c>
      <c r="J1724" s="18">
        <v>13493.407999999999</v>
      </c>
      <c r="K1724" s="18" t="s">
        <v>43</v>
      </c>
      <c r="L1724" s="18" t="s">
        <v>50</v>
      </c>
      <c r="M1724" s="18" t="s">
        <v>32</v>
      </c>
      <c r="N1724" s="22">
        <f t="shared" si="156"/>
        <v>0.32206833329203899</v>
      </c>
      <c r="O1724" s="22">
        <f t="shared" si="157"/>
        <v>0.78875298099853797</v>
      </c>
      <c r="P1724" s="23">
        <f t="shared" si="158"/>
        <v>0.34169166858989197</v>
      </c>
      <c r="Q1724" s="23">
        <f t="shared" si="159"/>
        <v>0.43320491563444902</v>
      </c>
      <c r="R1724" s="22">
        <f t="shared" si="160"/>
        <v>0.89870431033512299</v>
      </c>
      <c r="S1724" s="22">
        <f t="shared" si="161"/>
        <v>1.89870431033512</v>
      </c>
    </row>
    <row r="1725" spans="1:19">
      <c r="A1725" s="18" t="s">
        <v>1764</v>
      </c>
      <c r="B1725" s="18" t="s">
        <v>47</v>
      </c>
      <c r="C1725" s="18" t="s">
        <v>41</v>
      </c>
      <c r="D1725" s="19">
        <v>44766</v>
      </c>
      <c r="E1725" s="20">
        <v>45395</v>
      </c>
      <c r="F1725" s="21">
        <v>48307.199999999997</v>
      </c>
      <c r="G1725" s="21">
        <v>9854.4</v>
      </c>
      <c r="H1725" s="21">
        <v>3619.2</v>
      </c>
      <c r="I1725" s="18">
        <v>4891.7280000000001</v>
      </c>
      <c r="J1725" s="18">
        <v>11742.255999999999</v>
      </c>
      <c r="K1725" s="18" t="s">
        <v>30</v>
      </c>
      <c r="L1725" s="18" t="s">
        <v>23</v>
      </c>
      <c r="M1725" s="18" t="s">
        <v>32</v>
      </c>
      <c r="N1725" s="22">
        <f t="shared" si="156"/>
        <v>0.203994435612083</v>
      </c>
      <c r="O1725" s="22">
        <f t="shared" si="157"/>
        <v>0.36726741354115899</v>
      </c>
      <c r="P1725" s="23">
        <f t="shared" si="158"/>
        <v>0.49640038967364802</v>
      </c>
      <c r="Q1725" s="23">
        <f t="shared" si="159"/>
        <v>1.35160477453581</v>
      </c>
      <c r="R1725" s="22">
        <f t="shared" si="160"/>
        <v>1.4004310951058601</v>
      </c>
      <c r="S1725" s="22">
        <f t="shared" si="161"/>
        <v>2.4004310951058598</v>
      </c>
    </row>
    <row r="1726" spans="1:19">
      <c r="A1726" s="18" t="s">
        <v>1765</v>
      </c>
      <c r="B1726" s="18" t="s">
        <v>20</v>
      </c>
      <c r="C1726" s="18" t="s">
        <v>41</v>
      </c>
      <c r="D1726" s="19">
        <v>44774</v>
      </c>
      <c r="E1726" s="20">
        <v>45397</v>
      </c>
      <c r="F1726" s="21">
        <v>59907.199999999997</v>
      </c>
      <c r="G1726" s="21">
        <v>24232</v>
      </c>
      <c r="H1726" s="21">
        <v>22009.599999999999</v>
      </c>
      <c r="I1726" s="18">
        <v>360.56</v>
      </c>
      <c r="J1726" s="18">
        <v>737.32799999999997</v>
      </c>
      <c r="K1726" s="18" t="s">
        <v>22</v>
      </c>
      <c r="L1726" s="18" t="s">
        <v>44</v>
      </c>
      <c r="M1726" s="18" t="s">
        <v>32</v>
      </c>
      <c r="N1726" s="22">
        <f t="shared" si="156"/>
        <v>0.40449228139522497</v>
      </c>
      <c r="O1726" s="22">
        <f t="shared" si="157"/>
        <v>0.90828656322218504</v>
      </c>
      <c r="P1726" s="23">
        <f t="shared" si="158"/>
        <v>1.48794981842192E-2</v>
      </c>
      <c r="Q1726" s="23">
        <f t="shared" si="159"/>
        <v>1.63819424251236E-2</v>
      </c>
      <c r="R1726" s="22">
        <f t="shared" si="160"/>
        <v>1.04495229642778</v>
      </c>
      <c r="S1726" s="22">
        <f t="shared" si="161"/>
        <v>2.04495229642778</v>
      </c>
    </row>
    <row r="1727" spans="1:19">
      <c r="A1727" s="18" t="s">
        <v>1766</v>
      </c>
      <c r="B1727" s="18" t="s">
        <v>28</v>
      </c>
      <c r="C1727" s="18" t="s">
        <v>21</v>
      </c>
      <c r="D1727" s="19">
        <v>44973</v>
      </c>
      <c r="E1727" s="20">
        <v>45584</v>
      </c>
      <c r="F1727" s="21">
        <v>78358.399999999994</v>
      </c>
      <c r="G1727" s="21">
        <v>37526.400000000001</v>
      </c>
      <c r="H1727" s="21">
        <v>31902.400000000001</v>
      </c>
      <c r="I1727" s="18">
        <v>956.12800000000004</v>
      </c>
      <c r="J1727" s="18">
        <v>2533.424</v>
      </c>
      <c r="K1727" s="18" t="s">
        <v>22</v>
      </c>
      <c r="L1727" s="18" t="s">
        <v>35</v>
      </c>
      <c r="M1727" s="18" t="s">
        <v>32</v>
      </c>
      <c r="N1727" s="22">
        <f t="shared" si="156"/>
        <v>0.47890717523583898</v>
      </c>
      <c r="O1727" s="22">
        <f t="shared" si="157"/>
        <v>0.850132173616441</v>
      </c>
      <c r="P1727" s="23">
        <f t="shared" si="158"/>
        <v>2.5478809584719E-2</v>
      </c>
      <c r="Q1727" s="23">
        <f t="shared" si="159"/>
        <v>2.99704097497367E-2</v>
      </c>
      <c r="R1727" s="22">
        <f t="shared" si="160"/>
        <v>1.649670337026</v>
      </c>
      <c r="S1727" s="22">
        <f t="shared" si="161"/>
        <v>2.649670337026</v>
      </c>
    </row>
    <row r="1728" spans="1:19">
      <c r="A1728" s="18" t="s">
        <v>1767</v>
      </c>
      <c r="B1728" s="18" t="s">
        <v>40</v>
      </c>
      <c r="C1728" s="18" t="s">
        <v>21</v>
      </c>
      <c r="D1728" s="19">
        <v>44695</v>
      </c>
      <c r="E1728" s="20">
        <v>45308</v>
      </c>
      <c r="F1728" s="21">
        <v>20648</v>
      </c>
      <c r="G1728" s="21">
        <v>13732.8</v>
      </c>
      <c r="H1728" s="21">
        <v>5584</v>
      </c>
      <c r="I1728" s="18">
        <v>1445.4559999999999</v>
      </c>
      <c r="J1728" s="18">
        <v>3467.248</v>
      </c>
      <c r="K1728" s="18" t="s">
        <v>38</v>
      </c>
      <c r="L1728" s="18" t="s">
        <v>50</v>
      </c>
      <c r="M1728" s="18" t="s">
        <v>32</v>
      </c>
      <c r="N1728" s="22">
        <f t="shared" si="156"/>
        <v>0.66509104998062796</v>
      </c>
      <c r="O1728" s="22">
        <f t="shared" si="157"/>
        <v>0.40661773272748503</v>
      </c>
      <c r="P1728" s="23">
        <f t="shared" si="158"/>
        <v>0.105255738086916</v>
      </c>
      <c r="Q1728" s="23">
        <f t="shared" si="159"/>
        <v>0.25885673352435501</v>
      </c>
      <c r="R1728" s="22">
        <f t="shared" si="160"/>
        <v>1.39872261763762</v>
      </c>
      <c r="S1728" s="22">
        <f t="shared" si="161"/>
        <v>2.39872261763762</v>
      </c>
    </row>
    <row r="1729" spans="1:19">
      <c r="A1729" s="18" t="s">
        <v>1768</v>
      </c>
      <c r="B1729" s="18" t="s">
        <v>34</v>
      </c>
      <c r="C1729" s="18" t="s">
        <v>21</v>
      </c>
      <c r="D1729" s="19">
        <v>44784</v>
      </c>
      <c r="E1729" s="20">
        <v>45411</v>
      </c>
      <c r="F1729" s="21">
        <v>47372.800000000003</v>
      </c>
      <c r="G1729" s="21">
        <v>11432</v>
      </c>
      <c r="H1729" s="21">
        <v>5240</v>
      </c>
      <c r="I1729" s="18">
        <v>2804.288</v>
      </c>
      <c r="J1729" s="18">
        <v>10374.912</v>
      </c>
      <c r="K1729" s="18" t="s">
        <v>22</v>
      </c>
      <c r="L1729" s="18" t="s">
        <v>31</v>
      </c>
      <c r="M1729" s="18" t="s">
        <v>32</v>
      </c>
      <c r="N1729" s="22">
        <f t="shared" si="156"/>
        <v>0.24131991353688201</v>
      </c>
      <c r="O1729" s="22">
        <f t="shared" si="157"/>
        <v>0.45836249125262402</v>
      </c>
      <c r="P1729" s="23">
        <f t="shared" si="158"/>
        <v>0.245301609517145</v>
      </c>
      <c r="Q1729" s="23">
        <f t="shared" si="159"/>
        <v>0.53516946564885504</v>
      </c>
      <c r="R1729" s="22">
        <f t="shared" si="160"/>
        <v>2.69965994933473</v>
      </c>
      <c r="S1729" s="22">
        <f t="shared" si="161"/>
        <v>3.69965994933473</v>
      </c>
    </row>
    <row r="1730" spans="1:19">
      <c r="A1730" s="18" t="s">
        <v>1769</v>
      </c>
      <c r="B1730" s="18" t="s">
        <v>26</v>
      </c>
      <c r="C1730" s="18" t="s">
        <v>41</v>
      </c>
      <c r="D1730" s="19">
        <v>44803</v>
      </c>
      <c r="E1730" s="20">
        <v>45409</v>
      </c>
      <c r="F1730" s="21">
        <v>65665.600000000006</v>
      </c>
      <c r="G1730" s="21">
        <v>46137.599999999999</v>
      </c>
      <c r="H1730" s="21">
        <v>37148.800000000003</v>
      </c>
      <c r="I1730" s="18">
        <v>1886.752</v>
      </c>
      <c r="J1730" s="18">
        <v>3575.6320000000001</v>
      </c>
      <c r="K1730" s="18" t="s">
        <v>38</v>
      </c>
      <c r="L1730" s="18" t="s">
        <v>44</v>
      </c>
      <c r="M1730" s="18" t="s">
        <v>24</v>
      </c>
      <c r="N1730" s="22">
        <f t="shared" ref="N1730:N1793" si="162">G1730/F1730</f>
        <v>0.70261445871202</v>
      </c>
      <c r="O1730" s="22">
        <f t="shared" ref="O1730:O1793" si="163">H1730/G1730</f>
        <v>0.80517408794562395</v>
      </c>
      <c r="P1730" s="23">
        <f t="shared" ref="P1730:P1793" si="164">I1730/G1730</f>
        <v>4.08940213621862E-2</v>
      </c>
      <c r="Q1730" s="23">
        <f t="shared" ref="Q1730:Q1793" si="165">I1730/H1730</f>
        <v>5.0789042983891801E-2</v>
      </c>
      <c r="R1730" s="22">
        <f t="shared" ref="R1730:R1793" si="166">(J1730-I1730)/I1730</f>
        <v>0.895125591492682</v>
      </c>
      <c r="S1730" s="22">
        <f t="shared" ref="S1730:S1793" si="167">J1730/I1730</f>
        <v>1.8951255914926799</v>
      </c>
    </row>
    <row r="1731" spans="1:19">
      <c r="A1731" s="18" t="s">
        <v>1770</v>
      </c>
      <c r="B1731" s="18" t="s">
        <v>26</v>
      </c>
      <c r="C1731" s="18" t="s">
        <v>48</v>
      </c>
      <c r="D1731" s="19">
        <v>44933</v>
      </c>
      <c r="E1731" s="20">
        <v>45561</v>
      </c>
      <c r="F1731" s="21">
        <v>3812.8</v>
      </c>
      <c r="G1731" s="21">
        <v>3464</v>
      </c>
      <c r="H1731" s="21">
        <v>1585.6</v>
      </c>
      <c r="I1731" s="18">
        <v>4928.192</v>
      </c>
      <c r="J1731" s="18">
        <v>10624.992</v>
      </c>
      <c r="K1731" s="18" t="s">
        <v>65</v>
      </c>
      <c r="L1731" s="18" t="s">
        <v>23</v>
      </c>
      <c r="M1731" s="18" t="s">
        <v>32</v>
      </c>
      <c r="N1731" s="22">
        <f t="shared" si="162"/>
        <v>0.90851867394041097</v>
      </c>
      <c r="O1731" s="22">
        <f t="shared" si="163"/>
        <v>0.457736720554273</v>
      </c>
      <c r="P1731" s="23">
        <f t="shared" si="164"/>
        <v>1.42268822170901</v>
      </c>
      <c r="Q1731" s="23">
        <f t="shared" si="165"/>
        <v>3.1080928355196802</v>
      </c>
      <c r="R1731" s="22">
        <f t="shared" si="166"/>
        <v>1.15596145604717</v>
      </c>
      <c r="S1731" s="22">
        <f t="shared" si="167"/>
        <v>2.1559614560471698</v>
      </c>
    </row>
    <row r="1732" spans="1:19">
      <c r="A1732" s="18" t="s">
        <v>1771</v>
      </c>
      <c r="B1732" s="18" t="s">
        <v>40</v>
      </c>
      <c r="C1732" s="18" t="s">
        <v>21</v>
      </c>
      <c r="D1732" s="19">
        <v>44811</v>
      </c>
      <c r="E1732" s="20">
        <v>45430</v>
      </c>
      <c r="F1732" s="21">
        <v>48878.400000000001</v>
      </c>
      <c r="G1732" s="21">
        <v>17740.8</v>
      </c>
      <c r="H1732" s="21">
        <v>13051.2</v>
      </c>
      <c r="I1732" s="18">
        <v>805.58399999999995</v>
      </c>
      <c r="J1732" s="18">
        <v>2230.5120000000002</v>
      </c>
      <c r="K1732" s="18" t="s">
        <v>43</v>
      </c>
      <c r="L1732" s="18" t="s">
        <v>35</v>
      </c>
      <c r="M1732" s="18" t="s">
        <v>32</v>
      </c>
      <c r="N1732" s="22">
        <f t="shared" si="162"/>
        <v>0.36295787096140603</v>
      </c>
      <c r="O1732" s="22">
        <f t="shared" si="163"/>
        <v>0.73566017316017296</v>
      </c>
      <c r="P1732" s="23">
        <f t="shared" si="164"/>
        <v>4.5408549783549801E-2</v>
      </c>
      <c r="Q1732" s="23">
        <f t="shared" si="165"/>
        <v>6.1724898859874901E-2</v>
      </c>
      <c r="R1732" s="22">
        <f t="shared" si="166"/>
        <v>1.7688136805100401</v>
      </c>
      <c r="S1732" s="22">
        <f t="shared" si="167"/>
        <v>2.7688136805100401</v>
      </c>
    </row>
    <row r="1733" spans="1:19">
      <c r="A1733" s="18" t="s">
        <v>1772</v>
      </c>
      <c r="B1733" s="18" t="s">
        <v>47</v>
      </c>
      <c r="C1733" s="18" t="s">
        <v>29</v>
      </c>
      <c r="D1733" s="19">
        <v>44842</v>
      </c>
      <c r="E1733" s="20">
        <v>45470</v>
      </c>
      <c r="F1733" s="21">
        <v>55635.199999999997</v>
      </c>
      <c r="G1733" s="21">
        <v>44566.400000000001</v>
      </c>
      <c r="H1733" s="21">
        <v>1168</v>
      </c>
      <c r="I1733" s="18">
        <v>7421.7920000000004</v>
      </c>
      <c r="J1733" s="18">
        <v>11932.752</v>
      </c>
      <c r="K1733" s="18" t="s">
        <v>38</v>
      </c>
      <c r="L1733" s="18" t="s">
        <v>44</v>
      </c>
      <c r="M1733" s="18" t="s">
        <v>32</v>
      </c>
      <c r="N1733" s="22">
        <f t="shared" si="162"/>
        <v>0.80104681927987997</v>
      </c>
      <c r="O1733" s="22">
        <f t="shared" si="163"/>
        <v>2.62080850147196E-2</v>
      </c>
      <c r="P1733" s="23">
        <f t="shared" si="164"/>
        <v>0.16653335248079301</v>
      </c>
      <c r="Q1733" s="23">
        <f t="shared" si="165"/>
        <v>6.3542739726027397</v>
      </c>
      <c r="R1733" s="22">
        <f t="shared" si="166"/>
        <v>0.60779930237872504</v>
      </c>
      <c r="S1733" s="22">
        <f t="shared" si="167"/>
        <v>1.60779930237872</v>
      </c>
    </row>
    <row r="1734" spans="1:19">
      <c r="A1734" s="18" t="s">
        <v>1773</v>
      </c>
      <c r="B1734" s="18" t="s">
        <v>20</v>
      </c>
      <c r="C1734" s="18" t="s">
        <v>29</v>
      </c>
      <c r="D1734" s="19">
        <v>44734</v>
      </c>
      <c r="E1734" s="20">
        <v>45336</v>
      </c>
      <c r="F1734" s="21">
        <v>72004.800000000003</v>
      </c>
      <c r="G1734" s="21">
        <v>56595.199999999997</v>
      </c>
      <c r="H1734" s="21">
        <v>26542.400000000001</v>
      </c>
      <c r="I1734" s="18">
        <v>5628.64</v>
      </c>
      <c r="J1734" s="18">
        <v>10995.647999999999</v>
      </c>
      <c r="K1734" s="18" t="s">
        <v>22</v>
      </c>
      <c r="L1734" s="18" t="s">
        <v>23</v>
      </c>
      <c r="M1734" s="18" t="s">
        <v>24</v>
      </c>
      <c r="N1734" s="22">
        <f t="shared" si="162"/>
        <v>0.78599204497477904</v>
      </c>
      <c r="O1734" s="22">
        <f t="shared" si="163"/>
        <v>0.46898676919597398</v>
      </c>
      <c r="P1734" s="23">
        <f t="shared" si="164"/>
        <v>9.9454370688680294E-2</v>
      </c>
      <c r="Q1734" s="23">
        <f t="shared" si="165"/>
        <v>0.21206220989812499</v>
      </c>
      <c r="R1734" s="22">
        <f t="shared" si="166"/>
        <v>0.95351772364194498</v>
      </c>
      <c r="S1734" s="22">
        <f t="shared" si="167"/>
        <v>1.9535177236419501</v>
      </c>
    </row>
    <row r="1735" spans="1:19">
      <c r="A1735" s="18" t="s">
        <v>1774</v>
      </c>
      <c r="B1735" s="18" t="s">
        <v>40</v>
      </c>
      <c r="C1735" s="18" t="s">
        <v>21</v>
      </c>
      <c r="D1735" s="19">
        <v>44835</v>
      </c>
      <c r="E1735" s="20">
        <v>45449</v>
      </c>
      <c r="F1735" s="21">
        <v>10771.2</v>
      </c>
      <c r="G1735" s="21">
        <v>8961.6</v>
      </c>
      <c r="H1735" s="21">
        <v>8894.4</v>
      </c>
      <c r="I1735" s="18">
        <v>7640.1120000000001</v>
      </c>
      <c r="J1735" s="18">
        <v>22202.128000000001</v>
      </c>
      <c r="K1735" s="18" t="s">
        <v>22</v>
      </c>
      <c r="L1735" s="18" t="s">
        <v>23</v>
      </c>
      <c r="M1735" s="18" t="s">
        <v>32</v>
      </c>
      <c r="N1735" s="22">
        <f t="shared" si="162"/>
        <v>0.831996434937611</v>
      </c>
      <c r="O1735" s="22">
        <f t="shared" si="163"/>
        <v>0.99250133904659898</v>
      </c>
      <c r="P1735" s="23">
        <f t="shared" si="164"/>
        <v>0.85253883235136596</v>
      </c>
      <c r="Q1735" s="23">
        <f t="shared" si="165"/>
        <v>0.85898003237992404</v>
      </c>
      <c r="R1735" s="22">
        <f t="shared" si="166"/>
        <v>1.9059950953598599</v>
      </c>
      <c r="S1735" s="22">
        <f t="shared" si="167"/>
        <v>2.9059950953598599</v>
      </c>
    </row>
    <row r="1736" spans="1:19">
      <c r="A1736" s="18" t="s">
        <v>1775</v>
      </c>
      <c r="B1736" s="18" t="s">
        <v>40</v>
      </c>
      <c r="C1736" s="18" t="s">
        <v>48</v>
      </c>
      <c r="D1736" s="19">
        <v>44823</v>
      </c>
      <c r="E1736" s="20">
        <v>45452</v>
      </c>
      <c r="F1736" s="21">
        <v>26776</v>
      </c>
      <c r="G1736" s="21">
        <v>3118.4</v>
      </c>
      <c r="H1736" s="21">
        <v>2608</v>
      </c>
      <c r="I1736" s="18">
        <v>4137.4880000000003</v>
      </c>
      <c r="J1736" s="18">
        <v>15608.575999999999</v>
      </c>
      <c r="K1736" s="18" t="s">
        <v>22</v>
      </c>
      <c r="L1736" s="18" t="s">
        <v>44</v>
      </c>
      <c r="M1736" s="18" t="s">
        <v>32</v>
      </c>
      <c r="N1736" s="22">
        <f t="shared" si="162"/>
        <v>0.116462503734688</v>
      </c>
      <c r="O1736" s="22">
        <f t="shared" si="163"/>
        <v>0.83632632119035399</v>
      </c>
      <c r="P1736" s="23">
        <f t="shared" si="164"/>
        <v>1.3267983581323799</v>
      </c>
      <c r="Q1736" s="23">
        <f t="shared" si="165"/>
        <v>1.58646012269939</v>
      </c>
      <c r="R1736" s="22">
        <f t="shared" si="166"/>
        <v>2.7724764398108199</v>
      </c>
      <c r="S1736" s="22">
        <f t="shared" si="167"/>
        <v>3.7724764398108199</v>
      </c>
    </row>
    <row r="1737" spans="1:19">
      <c r="A1737" s="18" t="s">
        <v>1776</v>
      </c>
      <c r="B1737" s="18" t="s">
        <v>47</v>
      </c>
      <c r="C1737" s="18" t="s">
        <v>41</v>
      </c>
      <c r="D1737" s="19">
        <v>44821</v>
      </c>
      <c r="E1737" s="20">
        <v>45438</v>
      </c>
      <c r="F1737" s="21">
        <v>36206.400000000001</v>
      </c>
      <c r="G1737" s="21">
        <v>6347.2</v>
      </c>
      <c r="H1737" s="21">
        <v>6278.4</v>
      </c>
      <c r="I1737" s="18">
        <v>1142.752</v>
      </c>
      <c r="J1737" s="18">
        <v>2761.84</v>
      </c>
      <c r="K1737" s="18" t="s">
        <v>65</v>
      </c>
      <c r="L1737" s="18" t="s">
        <v>35</v>
      </c>
      <c r="M1737" s="18" t="s">
        <v>32</v>
      </c>
      <c r="N1737" s="22">
        <f t="shared" si="162"/>
        <v>0.175306023244509</v>
      </c>
      <c r="O1737" s="22">
        <f t="shared" si="163"/>
        <v>0.989160574741618</v>
      </c>
      <c r="P1737" s="23">
        <f t="shared" si="164"/>
        <v>0.180040332745147</v>
      </c>
      <c r="Q1737" s="23">
        <f t="shared" si="165"/>
        <v>0.18201325178389399</v>
      </c>
      <c r="R1737" s="22">
        <f t="shared" si="166"/>
        <v>1.4168323485760701</v>
      </c>
      <c r="S1737" s="22">
        <f t="shared" si="167"/>
        <v>2.4168323485760701</v>
      </c>
    </row>
    <row r="1738" spans="1:19">
      <c r="A1738" s="18" t="s">
        <v>1777</v>
      </c>
      <c r="B1738" s="18" t="s">
        <v>20</v>
      </c>
      <c r="C1738" s="18" t="s">
        <v>21</v>
      </c>
      <c r="D1738" s="19">
        <v>44847</v>
      </c>
      <c r="E1738" s="20">
        <v>45458</v>
      </c>
      <c r="F1738" s="21">
        <v>8579.2000000000007</v>
      </c>
      <c r="G1738" s="21">
        <v>5552</v>
      </c>
      <c r="H1738" s="21">
        <v>2516.8000000000002</v>
      </c>
      <c r="I1738" s="18">
        <v>181.04</v>
      </c>
      <c r="J1738" s="18">
        <v>237.72800000000001</v>
      </c>
      <c r="K1738" s="18" t="s">
        <v>65</v>
      </c>
      <c r="L1738" s="18" t="s">
        <v>50</v>
      </c>
      <c r="M1738" s="18" t="s">
        <v>32</v>
      </c>
      <c r="N1738" s="22">
        <f t="shared" si="162"/>
        <v>0.64714658709436801</v>
      </c>
      <c r="O1738" s="22">
        <f t="shared" si="163"/>
        <v>0.45331412103746399</v>
      </c>
      <c r="P1738" s="23">
        <f t="shared" si="164"/>
        <v>3.2608069164265098E-2</v>
      </c>
      <c r="Q1738" s="23">
        <f t="shared" si="165"/>
        <v>7.19326128417037E-2</v>
      </c>
      <c r="R1738" s="22">
        <f t="shared" si="166"/>
        <v>0.31312417145382199</v>
      </c>
      <c r="S1738" s="22">
        <f t="shared" si="167"/>
        <v>1.31312417145382</v>
      </c>
    </row>
    <row r="1739" spans="1:19">
      <c r="A1739" s="18" t="s">
        <v>1778</v>
      </c>
      <c r="B1739" s="18" t="s">
        <v>26</v>
      </c>
      <c r="C1739" s="18" t="s">
        <v>21</v>
      </c>
      <c r="D1739" s="19">
        <v>44854</v>
      </c>
      <c r="E1739" s="20">
        <v>45465</v>
      </c>
      <c r="F1739" s="21">
        <v>58828.800000000003</v>
      </c>
      <c r="G1739" s="21">
        <v>2160</v>
      </c>
      <c r="H1739" s="21">
        <v>1056</v>
      </c>
      <c r="I1739" s="18">
        <v>2620.8000000000002</v>
      </c>
      <c r="J1739" s="18">
        <v>8271.52</v>
      </c>
      <c r="K1739" s="18" t="s">
        <v>30</v>
      </c>
      <c r="L1739" s="18" t="s">
        <v>31</v>
      </c>
      <c r="M1739" s="18" t="s">
        <v>32</v>
      </c>
      <c r="N1739" s="22">
        <f t="shared" si="162"/>
        <v>3.6716710182767599E-2</v>
      </c>
      <c r="O1739" s="22">
        <f t="shared" si="163"/>
        <v>0.48888888888888898</v>
      </c>
      <c r="P1739" s="23">
        <f t="shared" si="164"/>
        <v>1.21333333333333</v>
      </c>
      <c r="Q1739" s="23">
        <f t="shared" si="165"/>
        <v>2.4818181818181801</v>
      </c>
      <c r="R1739" s="22">
        <f t="shared" si="166"/>
        <v>2.15610500610501</v>
      </c>
      <c r="S1739" s="22">
        <f t="shared" si="167"/>
        <v>3.15610500610501</v>
      </c>
    </row>
    <row r="1740" spans="1:19">
      <c r="A1740" s="18" t="s">
        <v>1779</v>
      </c>
      <c r="B1740" s="18" t="s">
        <v>26</v>
      </c>
      <c r="C1740" s="18" t="s">
        <v>21</v>
      </c>
      <c r="D1740" s="19">
        <v>44740</v>
      </c>
      <c r="E1740" s="20">
        <v>45364</v>
      </c>
      <c r="F1740" s="21">
        <v>28771.200000000001</v>
      </c>
      <c r="G1740" s="21">
        <v>11433.6</v>
      </c>
      <c r="H1740" s="21">
        <v>8329.6</v>
      </c>
      <c r="I1740" s="18">
        <v>4257.1840000000002</v>
      </c>
      <c r="J1740" s="18">
        <v>8279.0879999999997</v>
      </c>
      <c r="K1740" s="18" t="s">
        <v>38</v>
      </c>
      <c r="L1740" s="18" t="s">
        <v>31</v>
      </c>
      <c r="M1740" s="18" t="s">
        <v>32</v>
      </c>
      <c r="N1740" s="22">
        <f t="shared" si="162"/>
        <v>0.39739739739739699</v>
      </c>
      <c r="O1740" s="22">
        <f t="shared" si="163"/>
        <v>0.72851945144136598</v>
      </c>
      <c r="P1740" s="23">
        <f t="shared" si="164"/>
        <v>0.37233977050097999</v>
      </c>
      <c r="Q1740" s="23">
        <f t="shared" si="165"/>
        <v>0.511091048789858</v>
      </c>
      <c r="R1740" s="22">
        <f t="shared" si="166"/>
        <v>0.94473342002600802</v>
      </c>
      <c r="S1740" s="22">
        <f t="shared" si="167"/>
        <v>1.94473342002601</v>
      </c>
    </row>
    <row r="1741" spans="1:19">
      <c r="A1741" s="18" t="s">
        <v>1780</v>
      </c>
      <c r="B1741" s="18" t="s">
        <v>20</v>
      </c>
      <c r="C1741" s="18" t="s">
        <v>48</v>
      </c>
      <c r="D1741" s="19">
        <v>44816</v>
      </c>
      <c r="E1741" s="20">
        <v>45420</v>
      </c>
      <c r="F1741" s="21">
        <v>36014.400000000001</v>
      </c>
      <c r="G1741" s="21">
        <v>26163.200000000001</v>
      </c>
      <c r="H1741" s="21">
        <v>20571.2</v>
      </c>
      <c r="I1741" s="18">
        <v>2449.2959999999998</v>
      </c>
      <c r="J1741" s="18">
        <v>4328.6719999999996</v>
      </c>
      <c r="K1741" s="18" t="s">
        <v>38</v>
      </c>
      <c r="L1741" s="18" t="s">
        <v>44</v>
      </c>
      <c r="M1741" s="18" t="s">
        <v>24</v>
      </c>
      <c r="N1741" s="22">
        <f t="shared" si="162"/>
        <v>0.72646496956772799</v>
      </c>
      <c r="O1741" s="22">
        <f t="shared" si="163"/>
        <v>0.78626467710371795</v>
      </c>
      <c r="P1741" s="23">
        <f t="shared" si="164"/>
        <v>9.3616071428571396E-2</v>
      </c>
      <c r="Q1741" s="23">
        <f t="shared" si="165"/>
        <v>0.119064322936922</v>
      </c>
      <c r="R1741" s="22">
        <f t="shared" si="166"/>
        <v>0.76731272986196797</v>
      </c>
      <c r="S1741" s="22">
        <f t="shared" si="167"/>
        <v>1.76731272986197</v>
      </c>
    </row>
    <row r="1742" spans="1:19">
      <c r="A1742" s="18" t="s">
        <v>1781</v>
      </c>
      <c r="B1742" s="18" t="s">
        <v>26</v>
      </c>
      <c r="C1742" s="18" t="s">
        <v>29</v>
      </c>
      <c r="D1742" s="19">
        <v>44842</v>
      </c>
      <c r="E1742" s="20">
        <v>45471</v>
      </c>
      <c r="F1742" s="21">
        <v>41856</v>
      </c>
      <c r="G1742" s="21">
        <v>16296</v>
      </c>
      <c r="H1742" s="21">
        <v>11036.8</v>
      </c>
      <c r="I1742" s="18">
        <v>1542.2239999999999</v>
      </c>
      <c r="J1742" s="18">
        <v>6114.24</v>
      </c>
      <c r="K1742" s="18" t="s">
        <v>22</v>
      </c>
      <c r="L1742" s="18" t="s">
        <v>35</v>
      </c>
      <c r="M1742" s="18" t="s">
        <v>32</v>
      </c>
      <c r="N1742" s="22">
        <f t="shared" si="162"/>
        <v>0.389334862385321</v>
      </c>
      <c r="O1742" s="22">
        <f t="shared" si="163"/>
        <v>0.67727049582719701</v>
      </c>
      <c r="P1742" s="23">
        <f t="shared" si="164"/>
        <v>9.4638193421698602E-2</v>
      </c>
      <c r="Q1742" s="23">
        <f t="shared" si="165"/>
        <v>0.13973470571180099</v>
      </c>
      <c r="R1742" s="22">
        <f t="shared" si="166"/>
        <v>2.9645602714002601</v>
      </c>
      <c r="S1742" s="22">
        <f t="shared" si="167"/>
        <v>3.9645602714002601</v>
      </c>
    </row>
    <row r="1743" spans="1:19">
      <c r="A1743" s="18" t="s">
        <v>1782</v>
      </c>
      <c r="B1743" s="18" t="s">
        <v>34</v>
      </c>
      <c r="C1743" s="18" t="s">
        <v>29</v>
      </c>
      <c r="D1743" s="19">
        <v>44873</v>
      </c>
      <c r="E1743" s="20">
        <v>45479</v>
      </c>
      <c r="F1743" s="21">
        <v>56617.599999999999</v>
      </c>
      <c r="G1743" s="21">
        <v>17065.599999999999</v>
      </c>
      <c r="H1743" s="21">
        <v>13875.2</v>
      </c>
      <c r="I1743" s="18">
        <v>4277.5200000000004</v>
      </c>
      <c r="J1743" s="18">
        <v>9106.4480000000003</v>
      </c>
      <c r="K1743" s="18" t="s">
        <v>30</v>
      </c>
      <c r="L1743" s="18" t="s">
        <v>50</v>
      </c>
      <c r="M1743" s="18" t="s">
        <v>24</v>
      </c>
      <c r="N1743" s="22">
        <f t="shared" si="162"/>
        <v>0.301418640140168</v>
      </c>
      <c r="O1743" s="22">
        <f t="shared" si="163"/>
        <v>0.81305081567598003</v>
      </c>
      <c r="P1743" s="23">
        <f t="shared" si="164"/>
        <v>0.25065160322520202</v>
      </c>
      <c r="Q1743" s="23">
        <f t="shared" si="165"/>
        <v>0.30828528597785998</v>
      </c>
      <c r="R1743" s="22">
        <f t="shared" si="166"/>
        <v>1.1289083394116199</v>
      </c>
      <c r="S1743" s="22">
        <f t="shared" si="167"/>
        <v>2.1289083394116202</v>
      </c>
    </row>
    <row r="1744" spans="1:19">
      <c r="A1744" s="18" t="s">
        <v>1783</v>
      </c>
      <c r="B1744" s="18" t="s">
        <v>28</v>
      </c>
      <c r="C1744" s="18" t="s">
        <v>21</v>
      </c>
      <c r="D1744" s="19">
        <v>44982</v>
      </c>
      <c r="E1744" s="20">
        <v>45591</v>
      </c>
      <c r="F1744" s="21">
        <v>9380.7999999999993</v>
      </c>
      <c r="G1744" s="21">
        <v>4931.2</v>
      </c>
      <c r="H1744" s="21">
        <v>1022.4</v>
      </c>
      <c r="I1744" s="18">
        <v>4082.1759999999999</v>
      </c>
      <c r="J1744" s="18">
        <v>6266.192</v>
      </c>
      <c r="K1744" s="18" t="s">
        <v>43</v>
      </c>
      <c r="L1744" s="18" t="s">
        <v>44</v>
      </c>
      <c r="M1744" s="18" t="s">
        <v>24</v>
      </c>
      <c r="N1744" s="22">
        <f t="shared" si="162"/>
        <v>0.52566945249872099</v>
      </c>
      <c r="O1744" s="22">
        <f t="shared" si="163"/>
        <v>0.20733290071382199</v>
      </c>
      <c r="P1744" s="23">
        <f t="shared" si="164"/>
        <v>0.82782608695652204</v>
      </c>
      <c r="Q1744" s="23">
        <f t="shared" si="165"/>
        <v>3.9927386541471002</v>
      </c>
      <c r="R1744" s="22">
        <f t="shared" si="166"/>
        <v>0.535012699109495</v>
      </c>
      <c r="S1744" s="22">
        <f t="shared" si="167"/>
        <v>1.5350126991094899</v>
      </c>
    </row>
    <row r="1745" spans="1:19">
      <c r="A1745" s="18" t="s">
        <v>1784</v>
      </c>
      <c r="B1745" s="18" t="s">
        <v>26</v>
      </c>
      <c r="C1745" s="18" t="s">
        <v>21</v>
      </c>
      <c r="D1745" s="19">
        <v>44940</v>
      </c>
      <c r="E1745" s="20">
        <v>45562</v>
      </c>
      <c r="F1745" s="21">
        <v>48761.599999999999</v>
      </c>
      <c r="G1745" s="21">
        <v>13364.8</v>
      </c>
      <c r="H1745" s="21">
        <v>1761.6</v>
      </c>
      <c r="I1745" s="18">
        <v>2031.152</v>
      </c>
      <c r="J1745" s="18">
        <v>2881.7440000000001</v>
      </c>
      <c r="K1745" s="18" t="s">
        <v>38</v>
      </c>
      <c r="L1745" s="18" t="s">
        <v>23</v>
      </c>
      <c r="M1745" s="18" t="s">
        <v>32</v>
      </c>
      <c r="N1745" s="22">
        <f t="shared" si="162"/>
        <v>0.27408452552828499</v>
      </c>
      <c r="O1745" s="22">
        <f t="shared" si="163"/>
        <v>0.13180893092302201</v>
      </c>
      <c r="P1745" s="23">
        <f t="shared" si="164"/>
        <v>0.151977732551179</v>
      </c>
      <c r="Q1745" s="23">
        <f t="shared" si="165"/>
        <v>1.1530154405086299</v>
      </c>
      <c r="R1745" s="22">
        <f t="shared" si="166"/>
        <v>0.418773188811079</v>
      </c>
      <c r="S1745" s="22">
        <f t="shared" si="167"/>
        <v>1.4187731888110799</v>
      </c>
    </row>
    <row r="1746" spans="1:19">
      <c r="A1746" s="18" t="s">
        <v>1785</v>
      </c>
      <c r="B1746" s="18" t="s">
        <v>47</v>
      </c>
      <c r="C1746" s="18" t="s">
        <v>21</v>
      </c>
      <c r="D1746" s="19">
        <v>44729</v>
      </c>
      <c r="E1746" s="20">
        <v>45338</v>
      </c>
      <c r="F1746" s="21">
        <v>62392</v>
      </c>
      <c r="G1746" s="21">
        <v>46654.400000000001</v>
      </c>
      <c r="H1746" s="21">
        <v>23726.400000000001</v>
      </c>
      <c r="I1746" s="18">
        <v>3813.84</v>
      </c>
      <c r="J1746" s="18">
        <v>5618.6719999999996</v>
      </c>
      <c r="K1746" s="18" t="s">
        <v>22</v>
      </c>
      <c r="L1746" s="18" t="s">
        <v>31</v>
      </c>
      <c r="M1746" s="18" t="s">
        <v>24</v>
      </c>
      <c r="N1746" s="22">
        <f t="shared" si="162"/>
        <v>0.74776253365816103</v>
      </c>
      <c r="O1746" s="22">
        <f t="shared" si="163"/>
        <v>0.50855653486059205</v>
      </c>
      <c r="P1746" s="23">
        <f t="shared" si="164"/>
        <v>8.1746630542885598E-2</v>
      </c>
      <c r="Q1746" s="23">
        <f t="shared" si="165"/>
        <v>0.160742464090633</v>
      </c>
      <c r="R1746" s="22">
        <f t="shared" si="166"/>
        <v>0.47323222788580499</v>
      </c>
      <c r="S1746" s="22">
        <f t="shared" si="167"/>
        <v>1.4732322278858101</v>
      </c>
    </row>
    <row r="1747" spans="1:19">
      <c r="A1747" s="18" t="s">
        <v>1786</v>
      </c>
      <c r="B1747" s="18" t="s">
        <v>26</v>
      </c>
      <c r="C1747" s="18" t="s">
        <v>48</v>
      </c>
      <c r="D1747" s="19">
        <v>44697</v>
      </c>
      <c r="E1747" s="20">
        <v>45306</v>
      </c>
      <c r="F1747" s="21">
        <v>33126.400000000001</v>
      </c>
      <c r="G1747" s="21">
        <v>16052.8</v>
      </c>
      <c r="H1747" s="21">
        <v>11198.4</v>
      </c>
      <c r="I1747" s="18">
        <v>4459.6000000000004</v>
      </c>
      <c r="J1747" s="18">
        <v>16307.088</v>
      </c>
      <c r="K1747" s="18" t="s">
        <v>22</v>
      </c>
      <c r="L1747" s="18" t="s">
        <v>50</v>
      </c>
      <c r="M1747" s="18" t="s">
        <v>24</v>
      </c>
      <c r="N1747" s="22">
        <f t="shared" si="162"/>
        <v>0.48459234930448197</v>
      </c>
      <c r="O1747" s="22">
        <f t="shared" si="163"/>
        <v>0.69759792684142297</v>
      </c>
      <c r="P1747" s="23">
        <f t="shared" si="164"/>
        <v>0.27780823283165601</v>
      </c>
      <c r="Q1747" s="23">
        <f t="shared" si="165"/>
        <v>0.398235462208887</v>
      </c>
      <c r="R1747" s="22">
        <f t="shared" si="166"/>
        <v>2.6566257063413801</v>
      </c>
      <c r="S1747" s="22">
        <f t="shared" si="167"/>
        <v>3.6566257063413801</v>
      </c>
    </row>
    <row r="1748" spans="1:19">
      <c r="A1748" s="18" t="s">
        <v>1787</v>
      </c>
      <c r="B1748" s="18" t="s">
        <v>47</v>
      </c>
      <c r="C1748" s="18" t="s">
        <v>48</v>
      </c>
      <c r="D1748" s="19">
        <v>44727</v>
      </c>
      <c r="E1748" s="20">
        <v>45357</v>
      </c>
      <c r="F1748" s="21">
        <v>54515.199999999997</v>
      </c>
      <c r="G1748" s="21">
        <v>19782.400000000001</v>
      </c>
      <c r="H1748" s="21">
        <v>12878.4</v>
      </c>
      <c r="I1748" s="18">
        <v>1104.48</v>
      </c>
      <c r="J1748" s="18">
        <v>2172.6880000000001</v>
      </c>
      <c r="K1748" s="18" t="s">
        <v>30</v>
      </c>
      <c r="L1748" s="18" t="s">
        <v>23</v>
      </c>
      <c r="M1748" s="18" t="s">
        <v>24</v>
      </c>
      <c r="N1748" s="22">
        <f t="shared" si="162"/>
        <v>0.362878610002348</v>
      </c>
      <c r="O1748" s="22">
        <f t="shared" si="163"/>
        <v>0.65100291167906799</v>
      </c>
      <c r="P1748" s="23">
        <f t="shared" si="164"/>
        <v>5.5831446133937201E-2</v>
      </c>
      <c r="Q1748" s="23">
        <f t="shared" si="165"/>
        <v>8.5762206485277701E-2</v>
      </c>
      <c r="R1748" s="22">
        <f t="shared" si="166"/>
        <v>0.96715920614225703</v>
      </c>
      <c r="S1748" s="22">
        <f t="shared" si="167"/>
        <v>1.96715920614226</v>
      </c>
    </row>
    <row r="1749" spans="1:19">
      <c r="A1749" s="18" t="s">
        <v>1788</v>
      </c>
      <c r="B1749" s="18" t="s">
        <v>20</v>
      </c>
      <c r="C1749" s="18" t="s">
        <v>48</v>
      </c>
      <c r="D1749" s="19">
        <v>44986</v>
      </c>
      <c r="E1749" s="20">
        <v>45609</v>
      </c>
      <c r="F1749" s="21">
        <v>47203.199999999997</v>
      </c>
      <c r="G1749" s="21">
        <v>40164.800000000003</v>
      </c>
      <c r="H1749" s="21">
        <v>25616</v>
      </c>
      <c r="I1749" s="18">
        <v>2826.72</v>
      </c>
      <c r="J1749" s="18">
        <v>7425.04</v>
      </c>
      <c r="K1749" s="18" t="s">
        <v>38</v>
      </c>
      <c r="L1749" s="18" t="s">
        <v>35</v>
      </c>
      <c r="M1749" s="18" t="s">
        <v>32</v>
      </c>
      <c r="N1749" s="22">
        <f t="shared" si="162"/>
        <v>0.85089146498542501</v>
      </c>
      <c r="O1749" s="22">
        <f t="shared" si="163"/>
        <v>0.63777237780344997</v>
      </c>
      <c r="P1749" s="23">
        <f t="shared" si="164"/>
        <v>7.0378042465044005E-2</v>
      </c>
      <c r="Q1749" s="23">
        <f t="shared" si="165"/>
        <v>0.110349781386633</v>
      </c>
      <c r="R1749" s="22">
        <f t="shared" si="166"/>
        <v>1.62673345785929</v>
      </c>
      <c r="S1749" s="22">
        <f t="shared" si="167"/>
        <v>2.6267334578592898</v>
      </c>
    </row>
    <row r="1750" spans="1:19">
      <c r="A1750" s="18" t="s">
        <v>1789</v>
      </c>
      <c r="B1750" s="18" t="s">
        <v>20</v>
      </c>
      <c r="C1750" s="18" t="s">
        <v>21</v>
      </c>
      <c r="D1750" s="19">
        <v>44881</v>
      </c>
      <c r="E1750" s="20">
        <v>45489</v>
      </c>
      <c r="F1750" s="21">
        <v>66904</v>
      </c>
      <c r="G1750" s="21">
        <v>1595.2</v>
      </c>
      <c r="H1750" s="21">
        <v>1352</v>
      </c>
      <c r="I1750" s="18">
        <v>1011.248</v>
      </c>
      <c r="J1750" s="18">
        <v>2634.64</v>
      </c>
      <c r="K1750" s="18" t="s">
        <v>43</v>
      </c>
      <c r="L1750" s="18" t="s">
        <v>44</v>
      </c>
      <c r="M1750" s="18" t="s">
        <v>32</v>
      </c>
      <c r="N1750" s="22">
        <f t="shared" si="162"/>
        <v>2.38431184981466E-2</v>
      </c>
      <c r="O1750" s="22">
        <f t="shared" si="163"/>
        <v>0.84754262788365098</v>
      </c>
      <c r="P1750" s="23">
        <f t="shared" si="164"/>
        <v>0.63393179538615896</v>
      </c>
      <c r="Q1750" s="23">
        <f t="shared" si="165"/>
        <v>0.74796449704141998</v>
      </c>
      <c r="R1750" s="22">
        <f t="shared" si="166"/>
        <v>1.6053351897852901</v>
      </c>
      <c r="S1750" s="22">
        <f t="shared" si="167"/>
        <v>2.6053351897852899</v>
      </c>
    </row>
    <row r="1751" spans="1:19">
      <c r="A1751" s="18" t="s">
        <v>1790</v>
      </c>
      <c r="B1751" s="18" t="s">
        <v>28</v>
      </c>
      <c r="C1751" s="18" t="s">
        <v>48</v>
      </c>
      <c r="D1751" s="19">
        <v>44820</v>
      </c>
      <c r="E1751" s="20">
        <v>45421</v>
      </c>
      <c r="F1751" s="21">
        <v>55840</v>
      </c>
      <c r="G1751" s="21">
        <v>17915.2</v>
      </c>
      <c r="H1751" s="21">
        <v>3928</v>
      </c>
      <c r="I1751" s="18">
        <v>7888.2560000000003</v>
      </c>
      <c r="J1751" s="18">
        <v>15797.248</v>
      </c>
      <c r="K1751" s="18" t="s">
        <v>22</v>
      </c>
      <c r="L1751" s="18" t="s">
        <v>44</v>
      </c>
      <c r="M1751" s="18" t="s">
        <v>24</v>
      </c>
      <c r="N1751" s="22">
        <f t="shared" si="162"/>
        <v>0.32083094555873898</v>
      </c>
      <c r="O1751" s="22">
        <f t="shared" si="163"/>
        <v>0.21925515763150799</v>
      </c>
      <c r="P1751" s="23">
        <f t="shared" si="164"/>
        <v>0.44031079753505398</v>
      </c>
      <c r="Q1751" s="23">
        <f t="shared" si="165"/>
        <v>2.0082118126272901</v>
      </c>
      <c r="R1751" s="22">
        <f t="shared" si="166"/>
        <v>1.0026287179320801</v>
      </c>
      <c r="S1751" s="22">
        <f t="shared" si="167"/>
        <v>2.0026287179320801</v>
      </c>
    </row>
    <row r="1752" spans="1:19">
      <c r="A1752" s="18" t="s">
        <v>1791</v>
      </c>
      <c r="B1752" s="18" t="s">
        <v>28</v>
      </c>
      <c r="C1752" s="18" t="s">
        <v>21</v>
      </c>
      <c r="D1752" s="19">
        <v>44805</v>
      </c>
      <c r="E1752" s="20">
        <v>45435</v>
      </c>
      <c r="F1752" s="21">
        <v>53236.800000000003</v>
      </c>
      <c r="G1752" s="21">
        <v>27344</v>
      </c>
      <c r="H1752" s="21">
        <v>12809.6</v>
      </c>
      <c r="I1752" s="18">
        <v>7563.1040000000003</v>
      </c>
      <c r="J1752" s="18">
        <v>12709.328</v>
      </c>
      <c r="K1752" s="18" t="s">
        <v>43</v>
      </c>
      <c r="L1752" s="18" t="s">
        <v>23</v>
      </c>
      <c r="M1752" s="18" t="s">
        <v>24</v>
      </c>
      <c r="N1752" s="22">
        <f t="shared" si="162"/>
        <v>0.51362966970216095</v>
      </c>
      <c r="O1752" s="22">
        <f t="shared" si="163"/>
        <v>0.468461088355764</v>
      </c>
      <c r="P1752" s="23">
        <f t="shared" si="164"/>
        <v>0.27659098888238698</v>
      </c>
      <c r="Q1752" s="23">
        <f t="shared" si="165"/>
        <v>0.59042468148888305</v>
      </c>
      <c r="R1752" s="22">
        <f t="shared" si="166"/>
        <v>0.68043808468057498</v>
      </c>
      <c r="S1752" s="22">
        <f t="shared" si="167"/>
        <v>1.68043808468058</v>
      </c>
    </row>
    <row r="1753" spans="1:19">
      <c r="A1753" s="18" t="s">
        <v>1792</v>
      </c>
      <c r="B1753" s="18" t="s">
        <v>40</v>
      </c>
      <c r="C1753" s="18" t="s">
        <v>21</v>
      </c>
      <c r="D1753" s="19">
        <v>44931</v>
      </c>
      <c r="E1753" s="20">
        <v>45553</v>
      </c>
      <c r="F1753" s="21">
        <v>20304</v>
      </c>
      <c r="G1753" s="21">
        <v>4235.2</v>
      </c>
      <c r="H1753" s="21">
        <v>459.2</v>
      </c>
      <c r="I1753" s="18">
        <v>3897.0239999999999</v>
      </c>
      <c r="J1753" s="18">
        <v>14895.424000000001</v>
      </c>
      <c r="K1753" s="18" t="s">
        <v>43</v>
      </c>
      <c r="L1753" s="18" t="s">
        <v>23</v>
      </c>
      <c r="M1753" s="18" t="s">
        <v>32</v>
      </c>
      <c r="N1753" s="22">
        <f t="shared" si="162"/>
        <v>0.20858944050433401</v>
      </c>
      <c r="O1753" s="22">
        <f t="shared" si="163"/>
        <v>0.108424631658481</v>
      </c>
      <c r="P1753" s="23">
        <f t="shared" si="164"/>
        <v>0.92015111446921005</v>
      </c>
      <c r="Q1753" s="23">
        <f t="shared" si="165"/>
        <v>8.4865505226480806</v>
      </c>
      <c r="R1753" s="22">
        <f t="shared" si="166"/>
        <v>2.8222561626512999</v>
      </c>
      <c r="S1753" s="22">
        <f t="shared" si="167"/>
        <v>3.8222561626512999</v>
      </c>
    </row>
    <row r="1754" spans="1:19">
      <c r="A1754" s="18" t="s">
        <v>1793</v>
      </c>
      <c r="B1754" s="18" t="s">
        <v>34</v>
      </c>
      <c r="C1754" s="18" t="s">
        <v>41</v>
      </c>
      <c r="D1754" s="19">
        <v>44805</v>
      </c>
      <c r="E1754" s="20">
        <v>45410</v>
      </c>
      <c r="F1754" s="21">
        <v>42086.400000000001</v>
      </c>
      <c r="G1754" s="21">
        <v>31998.400000000001</v>
      </c>
      <c r="H1754" s="21">
        <v>19886.400000000001</v>
      </c>
      <c r="I1754" s="18">
        <v>5239.5039999999999</v>
      </c>
      <c r="J1754" s="18">
        <v>20656.944</v>
      </c>
      <c r="K1754" s="18" t="s">
        <v>30</v>
      </c>
      <c r="L1754" s="18" t="s">
        <v>50</v>
      </c>
      <c r="M1754" s="18" t="s">
        <v>24</v>
      </c>
      <c r="N1754" s="22">
        <f t="shared" si="162"/>
        <v>0.76030261557177603</v>
      </c>
      <c r="O1754" s="22">
        <f t="shared" si="163"/>
        <v>0.62148107405370301</v>
      </c>
      <c r="P1754" s="23">
        <f t="shared" si="164"/>
        <v>0.163742687134357</v>
      </c>
      <c r="Q1754" s="23">
        <f t="shared" si="165"/>
        <v>0.263471719365999</v>
      </c>
      <c r="R1754" s="22">
        <f t="shared" si="166"/>
        <v>2.9425380723060801</v>
      </c>
      <c r="S1754" s="22">
        <f t="shared" si="167"/>
        <v>3.9425380723060801</v>
      </c>
    </row>
    <row r="1755" spans="1:19">
      <c r="A1755" s="18" t="s">
        <v>1794</v>
      </c>
      <c r="B1755" s="18" t="s">
        <v>47</v>
      </c>
      <c r="C1755" s="18" t="s">
        <v>29</v>
      </c>
      <c r="D1755" s="19">
        <v>44956</v>
      </c>
      <c r="E1755" s="20">
        <v>45563</v>
      </c>
      <c r="F1755" s="21">
        <v>79489.600000000006</v>
      </c>
      <c r="G1755" s="21">
        <v>2697.6</v>
      </c>
      <c r="H1755" s="21">
        <v>1716.8</v>
      </c>
      <c r="I1755" s="18">
        <v>1726.144</v>
      </c>
      <c r="J1755" s="18">
        <v>4081.3760000000002</v>
      </c>
      <c r="K1755" s="18" t="s">
        <v>43</v>
      </c>
      <c r="L1755" s="18" t="s">
        <v>31</v>
      </c>
      <c r="M1755" s="18" t="s">
        <v>24</v>
      </c>
      <c r="N1755" s="22">
        <f t="shared" si="162"/>
        <v>3.3936514965479801E-2</v>
      </c>
      <c r="O1755" s="22">
        <f t="shared" si="163"/>
        <v>0.63641755634638197</v>
      </c>
      <c r="P1755" s="23">
        <f t="shared" si="164"/>
        <v>0.63988137603796003</v>
      </c>
      <c r="Q1755" s="23">
        <f t="shared" si="165"/>
        <v>1.0054426840633699</v>
      </c>
      <c r="R1755" s="22">
        <f t="shared" si="166"/>
        <v>1.36444699862816</v>
      </c>
      <c r="S1755" s="22">
        <f t="shared" si="167"/>
        <v>2.3644469986281602</v>
      </c>
    </row>
    <row r="1756" spans="1:19">
      <c r="A1756" s="18" t="s">
        <v>1795</v>
      </c>
      <c r="B1756" s="18" t="s">
        <v>47</v>
      </c>
      <c r="C1756" s="18" t="s">
        <v>41</v>
      </c>
      <c r="D1756" s="19">
        <v>44871</v>
      </c>
      <c r="E1756" s="20">
        <v>45497</v>
      </c>
      <c r="F1756" s="21">
        <v>75652.800000000003</v>
      </c>
      <c r="G1756" s="21">
        <v>74158.399999999994</v>
      </c>
      <c r="H1756" s="21">
        <v>43115.199999999997</v>
      </c>
      <c r="I1756" s="18">
        <v>1636.9760000000001</v>
      </c>
      <c r="J1756" s="18">
        <v>4107.0079999999998</v>
      </c>
      <c r="K1756" s="18" t="s">
        <v>65</v>
      </c>
      <c r="L1756" s="18" t="s">
        <v>23</v>
      </c>
      <c r="M1756" s="18" t="s">
        <v>32</v>
      </c>
      <c r="N1756" s="22">
        <f t="shared" si="162"/>
        <v>0.98024660025802102</v>
      </c>
      <c r="O1756" s="22">
        <f t="shared" si="163"/>
        <v>0.58139334181967295</v>
      </c>
      <c r="P1756" s="23">
        <f t="shared" si="164"/>
        <v>2.2074046905003301E-2</v>
      </c>
      <c r="Q1756" s="23">
        <f t="shared" si="165"/>
        <v>3.7967491743051203E-2</v>
      </c>
      <c r="R1756" s="22">
        <f t="shared" si="166"/>
        <v>1.50889933633725</v>
      </c>
      <c r="S1756" s="22">
        <f t="shared" si="167"/>
        <v>2.50889933633725</v>
      </c>
    </row>
    <row r="1757" spans="1:19">
      <c r="A1757" s="18" t="s">
        <v>1796</v>
      </c>
      <c r="B1757" s="18" t="s">
        <v>28</v>
      </c>
      <c r="C1757" s="18" t="s">
        <v>41</v>
      </c>
      <c r="D1757" s="19">
        <v>44720</v>
      </c>
      <c r="E1757" s="20">
        <v>45323</v>
      </c>
      <c r="F1757" s="21">
        <v>53035.199999999997</v>
      </c>
      <c r="G1757" s="21">
        <v>28728</v>
      </c>
      <c r="H1757" s="21">
        <v>8654.4</v>
      </c>
      <c r="I1757" s="18">
        <v>5686.0959999999995</v>
      </c>
      <c r="J1757" s="18">
        <v>8514.7039999999997</v>
      </c>
      <c r="K1757" s="18" t="s">
        <v>43</v>
      </c>
      <c r="L1757" s="18" t="s">
        <v>35</v>
      </c>
      <c r="M1757" s="18" t="s">
        <v>32</v>
      </c>
      <c r="N1757" s="22">
        <f t="shared" si="162"/>
        <v>0.54167797990768396</v>
      </c>
      <c r="O1757" s="22">
        <f t="shared" si="163"/>
        <v>0.30125313283208</v>
      </c>
      <c r="P1757" s="23">
        <f t="shared" si="164"/>
        <v>0.19792871066555301</v>
      </c>
      <c r="Q1757" s="23">
        <f t="shared" si="165"/>
        <v>0.65701793307450496</v>
      </c>
      <c r="R1757" s="22">
        <f t="shared" si="166"/>
        <v>0.497460472000473</v>
      </c>
      <c r="S1757" s="22">
        <f t="shared" si="167"/>
        <v>1.4974604720004701</v>
      </c>
    </row>
    <row r="1758" spans="1:19">
      <c r="A1758" s="18" t="s">
        <v>1797</v>
      </c>
      <c r="B1758" s="18" t="s">
        <v>47</v>
      </c>
      <c r="C1758" s="18" t="s">
        <v>29</v>
      </c>
      <c r="D1758" s="19">
        <v>44854</v>
      </c>
      <c r="E1758" s="20">
        <v>45457</v>
      </c>
      <c r="F1758" s="21">
        <v>43584</v>
      </c>
      <c r="G1758" s="21">
        <v>11883.2</v>
      </c>
      <c r="H1758" s="21">
        <v>3328</v>
      </c>
      <c r="I1758" s="18">
        <v>4957.3919999999998</v>
      </c>
      <c r="J1758" s="18">
        <v>12457.92</v>
      </c>
      <c r="K1758" s="18" t="s">
        <v>38</v>
      </c>
      <c r="L1758" s="18" t="s">
        <v>35</v>
      </c>
      <c r="M1758" s="18" t="s">
        <v>32</v>
      </c>
      <c r="N1758" s="22">
        <f t="shared" si="162"/>
        <v>0.272650513950073</v>
      </c>
      <c r="O1758" s="22">
        <f t="shared" si="163"/>
        <v>0.28005924330146797</v>
      </c>
      <c r="P1758" s="23">
        <f t="shared" si="164"/>
        <v>0.41717651810959999</v>
      </c>
      <c r="Q1758" s="23">
        <f t="shared" si="165"/>
        <v>1.48960096153846</v>
      </c>
      <c r="R1758" s="22">
        <f t="shared" si="166"/>
        <v>1.51299877032117</v>
      </c>
      <c r="S1758" s="22">
        <f t="shared" si="167"/>
        <v>2.51299877032117</v>
      </c>
    </row>
    <row r="1759" spans="1:19">
      <c r="A1759" s="18" t="s">
        <v>1798</v>
      </c>
      <c r="B1759" s="18" t="s">
        <v>26</v>
      </c>
      <c r="C1759" s="18" t="s">
        <v>21</v>
      </c>
      <c r="D1759" s="19">
        <v>44904</v>
      </c>
      <c r="E1759" s="20">
        <v>45528</v>
      </c>
      <c r="F1759" s="21">
        <v>16182.4</v>
      </c>
      <c r="G1759" s="21">
        <v>3660.8</v>
      </c>
      <c r="H1759" s="21">
        <v>1776</v>
      </c>
      <c r="I1759" s="18">
        <v>7715.8559999999998</v>
      </c>
      <c r="J1759" s="18">
        <v>14396.415999999999</v>
      </c>
      <c r="K1759" s="18" t="s">
        <v>38</v>
      </c>
      <c r="L1759" s="18" t="s">
        <v>23</v>
      </c>
      <c r="M1759" s="18" t="s">
        <v>32</v>
      </c>
      <c r="N1759" s="22">
        <f t="shared" si="162"/>
        <v>0.226221079691517</v>
      </c>
      <c r="O1759" s="22">
        <f t="shared" si="163"/>
        <v>0.48513986013985999</v>
      </c>
      <c r="P1759" s="23">
        <f t="shared" si="164"/>
        <v>2.10769667832168</v>
      </c>
      <c r="Q1759" s="23">
        <f t="shared" si="165"/>
        <v>4.34451351351351</v>
      </c>
      <c r="R1759" s="22">
        <f t="shared" si="166"/>
        <v>0.8658222755842</v>
      </c>
      <c r="S1759" s="22">
        <f t="shared" si="167"/>
        <v>1.8658222755842</v>
      </c>
    </row>
    <row r="1760" spans="1:19">
      <c r="A1760" s="18" t="s">
        <v>1799</v>
      </c>
      <c r="B1760" s="18" t="s">
        <v>20</v>
      </c>
      <c r="C1760" s="18" t="s">
        <v>41</v>
      </c>
      <c r="D1760" s="19">
        <v>44795</v>
      </c>
      <c r="E1760" s="20">
        <v>45417</v>
      </c>
      <c r="F1760" s="21">
        <v>18307.2</v>
      </c>
      <c r="G1760" s="21">
        <v>10633.6</v>
      </c>
      <c r="H1760" s="21">
        <v>10632</v>
      </c>
      <c r="I1760" s="18">
        <v>7846.4480000000003</v>
      </c>
      <c r="J1760" s="18">
        <v>20323.04</v>
      </c>
      <c r="K1760" s="18" t="s">
        <v>43</v>
      </c>
      <c r="L1760" s="18" t="s">
        <v>31</v>
      </c>
      <c r="M1760" s="18" t="s">
        <v>24</v>
      </c>
      <c r="N1760" s="22">
        <f t="shared" si="162"/>
        <v>0.58084251005068999</v>
      </c>
      <c r="O1760" s="22">
        <f t="shared" si="163"/>
        <v>0.99984953355401696</v>
      </c>
      <c r="P1760" s="23">
        <f t="shared" si="164"/>
        <v>0.73789196509178501</v>
      </c>
      <c r="Q1760" s="23">
        <f t="shared" si="165"/>
        <v>0.73800300978179101</v>
      </c>
      <c r="R1760" s="22">
        <f t="shared" si="166"/>
        <v>1.5900942694069999</v>
      </c>
      <c r="S1760" s="22">
        <f t="shared" si="167"/>
        <v>2.5900942694069999</v>
      </c>
    </row>
    <row r="1761" spans="1:19">
      <c r="A1761" s="18" t="s">
        <v>1800</v>
      </c>
      <c r="B1761" s="18" t="s">
        <v>20</v>
      </c>
      <c r="C1761" s="18" t="s">
        <v>48</v>
      </c>
      <c r="D1761" s="19">
        <v>44888</v>
      </c>
      <c r="E1761" s="20">
        <v>45517</v>
      </c>
      <c r="F1761" s="21">
        <v>32032</v>
      </c>
      <c r="G1761" s="21">
        <v>15222.4</v>
      </c>
      <c r="H1761" s="21">
        <v>15102.4</v>
      </c>
      <c r="I1761" s="18">
        <v>416.608</v>
      </c>
      <c r="J1761" s="18">
        <v>620.20799999999997</v>
      </c>
      <c r="K1761" s="18" t="s">
        <v>38</v>
      </c>
      <c r="L1761" s="18" t="s">
        <v>44</v>
      </c>
      <c r="M1761" s="18" t="s">
        <v>24</v>
      </c>
      <c r="N1761" s="22">
        <f t="shared" si="162"/>
        <v>0.47522477522477502</v>
      </c>
      <c r="O1761" s="22">
        <f t="shared" si="163"/>
        <v>0.99211688038679802</v>
      </c>
      <c r="P1761" s="23">
        <f t="shared" si="164"/>
        <v>2.7368089131805801E-2</v>
      </c>
      <c r="Q1761" s="23">
        <f t="shared" si="165"/>
        <v>2.75855493166649E-2</v>
      </c>
      <c r="R1761" s="22">
        <f t="shared" si="166"/>
        <v>0.48870881020047602</v>
      </c>
      <c r="S1761" s="22">
        <f t="shared" si="167"/>
        <v>1.48870881020048</v>
      </c>
    </row>
    <row r="1762" spans="1:19">
      <c r="A1762" s="18" t="s">
        <v>1801</v>
      </c>
      <c r="B1762" s="18" t="s">
        <v>20</v>
      </c>
      <c r="C1762" s="18" t="s">
        <v>21</v>
      </c>
      <c r="D1762" s="19">
        <v>44706</v>
      </c>
      <c r="E1762" s="20">
        <v>45328</v>
      </c>
      <c r="F1762" s="21">
        <v>57092.800000000003</v>
      </c>
      <c r="G1762" s="21">
        <v>42344</v>
      </c>
      <c r="H1762" s="21">
        <v>41820.800000000003</v>
      </c>
      <c r="I1762" s="18">
        <v>1860.6880000000001</v>
      </c>
      <c r="J1762" s="18">
        <v>6326.4</v>
      </c>
      <c r="K1762" s="18" t="s">
        <v>22</v>
      </c>
      <c r="L1762" s="18" t="s">
        <v>31</v>
      </c>
      <c r="M1762" s="18" t="s">
        <v>32</v>
      </c>
      <c r="N1762" s="22">
        <f t="shared" si="162"/>
        <v>0.74166970265953003</v>
      </c>
      <c r="O1762" s="22">
        <f t="shared" si="163"/>
        <v>0.98764405819006196</v>
      </c>
      <c r="P1762" s="23">
        <f t="shared" si="164"/>
        <v>4.3942187795201197E-2</v>
      </c>
      <c r="Q1762" s="23">
        <f t="shared" si="165"/>
        <v>4.4491927461932798E-2</v>
      </c>
      <c r="R1762" s="22">
        <f t="shared" si="166"/>
        <v>2.4000326760854001</v>
      </c>
      <c r="S1762" s="22">
        <f t="shared" si="167"/>
        <v>3.4000326760854001</v>
      </c>
    </row>
    <row r="1763" spans="1:19">
      <c r="A1763" s="18" t="s">
        <v>1802</v>
      </c>
      <c r="B1763" s="18" t="s">
        <v>26</v>
      </c>
      <c r="C1763" s="18" t="s">
        <v>21</v>
      </c>
      <c r="D1763" s="19">
        <v>44740</v>
      </c>
      <c r="E1763" s="20">
        <v>45344</v>
      </c>
      <c r="F1763" s="21">
        <v>22246.400000000001</v>
      </c>
      <c r="G1763" s="21">
        <v>2816</v>
      </c>
      <c r="H1763" s="21">
        <v>1232</v>
      </c>
      <c r="I1763" s="18">
        <v>1240.528</v>
      </c>
      <c r="J1763" s="18">
        <v>4935.5680000000002</v>
      </c>
      <c r="K1763" s="18" t="s">
        <v>38</v>
      </c>
      <c r="L1763" s="18" t="s">
        <v>35</v>
      </c>
      <c r="M1763" s="18" t="s">
        <v>24</v>
      </c>
      <c r="N1763" s="22">
        <f t="shared" si="162"/>
        <v>0.126582278481013</v>
      </c>
      <c r="O1763" s="22">
        <f t="shared" si="163"/>
        <v>0.4375</v>
      </c>
      <c r="P1763" s="23">
        <f t="shared" si="164"/>
        <v>0.44052840909090901</v>
      </c>
      <c r="Q1763" s="23">
        <f t="shared" si="165"/>
        <v>1.00692207792208</v>
      </c>
      <c r="R1763" s="22">
        <f t="shared" si="166"/>
        <v>2.97860265951272</v>
      </c>
      <c r="S1763" s="22">
        <f t="shared" si="167"/>
        <v>3.97860265951272</v>
      </c>
    </row>
    <row r="1764" spans="1:19">
      <c r="A1764" s="18" t="s">
        <v>1803</v>
      </c>
      <c r="B1764" s="18" t="s">
        <v>40</v>
      </c>
      <c r="C1764" s="18" t="s">
        <v>21</v>
      </c>
      <c r="D1764" s="19">
        <v>44739</v>
      </c>
      <c r="E1764" s="20">
        <v>45362</v>
      </c>
      <c r="F1764" s="21">
        <v>52046.400000000001</v>
      </c>
      <c r="G1764" s="21">
        <v>9641.6</v>
      </c>
      <c r="H1764" s="21">
        <v>5078.3999999999996</v>
      </c>
      <c r="I1764" s="18">
        <v>713.39200000000005</v>
      </c>
      <c r="J1764" s="18">
        <v>2715.056</v>
      </c>
      <c r="K1764" s="18" t="s">
        <v>22</v>
      </c>
      <c r="L1764" s="18" t="s">
        <v>35</v>
      </c>
      <c r="M1764" s="18" t="s">
        <v>32</v>
      </c>
      <c r="N1764" s="22">
        <f t="shared" si="162"/>
        <v>0.18525008453994901</v>
      </c>
      <c r="O1764" s="22">
        <f t="shared" si="163"/>
        <v>0.52671755725190805</v>
      </c>
      <c r="P1764" s="23">
        <f t="shared" si="164"/>
        <v>7.3991038831729194E-2</v>
      </c>
      <c r="Q1764" s="23">
        <f t="shared" si="165"/>
        <v>0.14047574039067401</v>
      </c>
      <c r="R1764" s="22">
        <f t="shared" si="166"/>
        <v>2.8058402673425</v>
      </c>
      <c r="S1764" s="22">
        <f t="shared" si="167"/>
        <v>3.8058402673425</v>
      </c>
    </row>
    <row r="1765" spans="1:19">
      <c r="A1765" s="18" t="s">
        <v>1804</v>
      </c>
      <c r="B1765" s="18" t="s">
        <v>26</v>
      </c>
      <c r="C1765" s="18" t="s">
        <v>21</v>
      </c>
      <c r="D1765" s="19">
        <v>44948</v>
      </c>
      <c r="E1765" s="20">
        <v>45566</v>
      </c>
      <c r="F1765" s="21">
        <v>33009.599999999999</v>
      </c>
      <c r="G1765" s="21">
        <v>752</v>
      </c>
      <c r="H1765" s="21">
        <v>353.6</v>
      </c>
      <c r="I1765" s="18">
        <v>2176.56</v>
      </c>
      <c r="J1765" s="18">
        <v>4295.7120000000004</v>
      </c>
      <c r="K1765" s="18" t="s">
        <v>30</v>
      </c>
      <c r="L1765" s="18" t="s">
        <v>50</v>
      </c>
      <c r="M1765" s="18" t="s">
        <v>24</v>
      </c>
      <c r="N1765" s="22">
        <f t="shared" si="162"/>
        <v>2.2781251514710901E-2</v>
      </c>
      <c r="O1765" s="22">
        <f t="shared" si="163"/>
        <v>0.47021276595744699</v>
      </c>
      <c r="P1765" s="23">
        <f t="shared" si="164"/>
        <v>2.89436170212766</v>
      </c>
      <c r="Q1765" s="23">
        <f t="shared" si="165"/>
        <v>6.1554298642533896</v>
      </c>
      <c r="R1765" s="22">
        <f t="shared" si="166"/>
        <v>0.97362443488808004</v>
      </c>
      <c r="S1765" s="22">
        <f t="shared" si="167"/>
        <v>1.97362443488808</v>
      </c>
    </row>
    <row r="1766" spans="1:19">
      <c r="A1766" s="18" t="s">
        <v>1805</v>
      </c>
      <c r="B1766" s="18" t="s">
        <v>20</v>
      </c>
      <c r="C1766" s="18" t="s">
        <v>41</v>
      </c>
      <c r="D1766" s="19">
        <v>44881</v>
      </c>
      <c r="E1766" s="20">
        <v>45503</v>
      </c>
      <c r="F1766" s="21">
        <v>3931.2</v>
      </c>
      <c r="G1766" s="21">
        <v>3390.4</v>
      </c>
      <c r="H1766" s="21">
        <v>2902.4</v>
      </c>
      <c r="I1766" s="18">
        <v>7814.5119999999997</v>
      </c>
      <c r="J1766" s="18">
        <v>11711.472</v>
      </c>
      <c r="K1766" s="18" t="s">
        <v>22</v>
      </c>
      <c r="L1766" s="18" t="s">
        <v>44</v>
      </c>
      <c r="M1766" s="18" t="s">
        <v>32</v>
      </c>
      <c r="N1766" s="22">
        <f t="shared" si="162"/>
        <v>0.862433862433862</v>
      </c>
      <c r="O1766" s="22">
        <f t="shared" si="163"/>
        <v>0.85606418121755501</v>
      </c>
      <c r="P1766" s="23">
        <f t="shared" si="164"/>
        <v>2.3048938178385998</v>
      </c>
      <c r="Q1766" s="23">
        <f t="shared" si="165"/>
        <v>2.6924310915104699</v>
      </c>
      <c r="R1766" s="22">
        <f t="shared" si="166"/>
        <v>0.49868245131621802</v>
      </c>
      <c r="S1766" s="22">
        <f t="shared" si="167"/>
        <v>1.49868245131622</v>
      </c>
    </row>
    <row r="1767" spans="1:19">
      <c r="A1767" s="18" t="s">
        <v>1806</v>
      </c>
      <c r="B1767" s="18" t="s">
        <v>28</v>
      </c>
      <c r="C1767" s="18" t="s">
        <v>48</v>
      </c>
      <c r="D1767" s="19">
        <v>44720</v>
      </c>
      <c r="E1767" s="20">
        <v>45323</v>
      </c>
      <c r="F1767" s="21">
        <v>19408</v>
      </c>
      <c r="G1767" s="21">
        <v>15056</v>
      </c>
      <c r="H1767" s="21">
        <v>9865.6</v>
      </c>
      <c r="I1767" s="18">
        <v>2589.6</v>
      </c>
      <c r="J1767" s="18">
        <v>9489.68</v>
      </c>
      <c r="K1767" s="18" t="s">
        <v>30</v>
      </c>
      <c r="L1767" s="18" t="s">
        <v>44</v>
      </c>
      <c r="M1767" s="18" t="s">
        <v>24</v>
      </c>
      <c r="N1767" s="22">
        <f t="shared" si="162"/>
        <v>0.77576257213520206</v>
      </c>
      <c r="O1767" s="22">
        <f t="shared" si="163"/>
        <v>0.65526036131774701</v>
      </c>
      <c r="P1767" s="23">
        <f t="shared" si="164"/>
        <v>0.17199787460148799</v>
      </c>
      <c r="Q1767" s="23">
        <f t="shared" si="165"/>
        <v>0.262487836522867</v>
      </c>
      <c r="R1767" s="22">
        <f t="shared" si="166"/>
        <v>2.66453506333024</v>
      </c>
      <c r="S1767" s="22">
        <f t="shared" si="167"/>
        <v>3.66453506333024</v>
      </c>
    </row>
    <row r="1768" spans="1:19">
      <c r="A1768" s="18" t="s">
        <v>1807</v>
      </c>
      <c r="B1768" s="18" t="s">
        <v>34</v>
      </c>
      <c r="C1768" s="18" t="s">
        <v>48</v>
      </c>
      <c r="D1768" s="19">
        <v>44927</v>
      </c>
      <c r="E1768" s="20">
        <v>45540</v>
      </c>
      <c r="F1768" s="21">
        <v>26382.400000000001</v>
      </c>
      <c r="G1768" s="21">
        <v>4748.8</v>
      </c>
      <c r="H1768" s="21">
        <v>4256</v>
      </c>
      <c r="I1768" s="18">
        <v>2677.4720000000002</v>
      </c>
      <c r="J1768" s="18">
        <v>5306.8959999999997</v>
      </c>
      <c r="K1768" s="18" t="s">
        <v>38</v>
      </c>
      <c r="L1768" s="18" t="s">
        <v>35</v>
      </c>
      <c r="M1768" s="18" t="s">
        <v>24</v>
      </c>
      <c r="N1768" s="22">
        <f t="shared" si="162"/>
        <v>0.179998787070168</v>
      </c>
      <c r="O1768" s="22">
        <f t="shared" si="163"/>
        <v>0.89622641509433998</v>
      </c>
      <c r="P1768" s="23">
        <f t="shared" si="164"/>
        <v>0.56382075471698101</v>
      </c>
      <c r="Q1768" s="23">
        <f t="shared" si="165"/>
        <v>0.62910526315789495</v>
      </c>
      <c r="R1768" s="22">
        <f t="shared" si="166"/>
        <v>0.982054714297666</v>
      </c>
      <c r="S1768" s="22">
        <f t="shared" si="167"/>
        <v>1.9820547142976701</v>
      </c>
    </row>
    <row r="1769" spans="1:19">
      <c r="A1769" s="18" t="s">
        <v>1808</v>
      </c>
      <c r="B1769" s="18" t="s">
        <v>47</v>
      </c>
      <c r="C1769" s="18" t="s">
        <v>21</v>
      </c>
      <c r="D1769" s="19">
        <v>44745</v>
      </c>
      <c r="E1769" s="20">
        <v>45357</v>
      </c>
      <c r="F1769" s="21">
        <v>35025.599999999999</v>
      </c>
      <c r="G1769" s="21">
        <v>16052.8</v>
      </c>
      <c r="H1769" s="21">
        <v>2944</v>
      </c>
      <c r="I1769" s="18">
        <v>1481.7280000000001</v>
      </c>
      <c r="J1769" s="18">
        <v>4540.7839999999997</v>
      </c>
      <c r="K1769" s="18" t="s">
        <v>22</v>
      </c>
      <c r="L1769" s="18" t="s">
        <v>31</v>
      </c>
      <c r="M1769" s="18" t="s">
        <v>32</v>
      </c>
      <c r="N1769" s="22">
        <f t="shared" si="162"/>
        <v>0.458316203005801</v>
      </c>
      <c r="O1769" s="22">
        <f t="shared" si="163"/>
        <v>0.18339479716934101</v>
      </c>
      <c r="P1769" s="23">
        <f t="shared" si="164"/>
        <v>9.2303398784012794E-2</v>
      </c>
      <c r="Q1769" s="23">
        <f t="shared" si="165"/>
        <v>0.50330434782608702</v>
      </c>
      <c r="R1769" s="22">
        <f t="shared" si="166"/>
        <v>2.0645192639944701</v>
      </c>
      <c r="S1769" s="22">
        <f t="shared" si="167"/>
        <v>3.0645192639944701</v>
      </c>
    </row>
    <row r="1770" spans="1:19">
      <c r="A1770" s="18" t="s">
        <v>1809</v>
      </c>
      <c r="B1770" s="18" t="s">
        <v>28</v>
      </c>
      <c r="C1770" s="18" t="s">
        <v>41</v>
      </c>
      <c r="D1770" s="19">
        <v>44722</v>
      </c>
      <c r="E1770" s="20">
        <v>45340</v>
      </c>
      <c r="F1770" s="21">
        <v>9203.2000000000007</v>
      </c>
      <c r="G1770" s="21">
        <v>5212.8</v>
      </c>
      <c r="H1770" s="21">
        <v>1531.2</v>
      </c>
      <c r="I1770" s="18">
        <v>4194.8159999999998</v>
      </c>
      <c r="J1770" s="18">
        <v>10148.224</v>
      </c>
      <c r="K1770" s="18" t="s">
        <v>30</v>
      </c>
      <c r="L1770" s="18" t="s">
        <v>35</v>
      </c>
      <c r="M1770" s="18" t="s">
        <v>24</v>
      </c>
      <c r="N1770" s="22">
        <f t="shared" si="162"/>
        <v>0.566411682892907</v>
      </c>
      <c r="O1770" s="22">
        <f t="shared" si="163"/>
        <v>0.29373848987108703</v>
      </c>
      <c r="P1770" s="23">
        <f t="shared" si="164"/>
        <v>0.80471454880294702</v>
      </c>
      <c r="Q1770" s="23">
        <f t="shared" si="165"/>
        <v>2.7395611285266499</v>
      </c>
      <c r="R1770" s="22">
        <f t="shared" si="166"/>
        <v>1.41922983034298</v>
      </c>
      <c r="S1770" s="22">
        <f t="shared" si="167"/>
        <v>2.4192298303429798</v>
      </c>
    </row>
    <row r="1771" spans="1:19">
      <c r="A1771" s="18" t="s">
        <v>1810</v>
      </c>
      <c r="B1771" s="18" t="s">
        <v>26</v>
      </c>
      <c r="C1771" s="18" t="s">
        <v>48</v>
      </c>
      <c r="D1771" s="19">
        <v>44753</v>
      </c>
      <c r="E1771" s="20">
        <v>45365</v>
      </c>
      <c r="F1771" s="21">
        <v>48948.800000000003</v>
      </c>
      <c r="G1771" s="21">
        <v>18801.599999999999</v>
      </c>
      <c r="H1771" s="21">
        <v>6328</v>
      </c>
      <c r="I1771" s="18">
        <v>4294.848</v>
      </c>
      <c r="J1771" s="18">
        <v>14398.56</v>
      </c>
      <c r="K1771" s="18" t="s">
        <v>30</v>
      </c>
      <c r="L1771" s="18" t="s">
        <v>31</v>
      </c>
      <c r="M1771" s="18" t="s">
        <v>32</v>
      </c>
      <c r="N1771" s="22">
        <f t="shared" si="162"/>
        <v>0.38410747556630598</v>
      </c>
      <c r="O1771" s="22">
        <f t="shared" si="163"/>
        <v>0.33656710067228301</v>
      </c>
      <c r="P1771" s="23">
        <f t="shared" si="164"/>
        <v>0.22842992085779901</v>
      </c>
      <c r="Q1771" s="23">
        <f t="shared" si="165"/>
        <v>0.67870543615676404</v>
      </c>
      <c r="R1771" s="22">
        <f t="shared" si="166"/>
        <v>2.3525191112700599</v>
      </c>
      <c r="S1771" s="22">
        <f t="shared" si="167"/>
        <v>3.3525191112700599</v>
      </c>
    </row>
    <row r="1772" spans="1:19">
      <c r="A1772" s="18" t="s">
        <v>1811</v>
      </c>
      <c r="B1772" s="18" t="s">
        <v>20</v>
      </c>
      <c r="C1772" s="18" t="s">
        <v>21</v>
      </c>
      <c r="D1772" s="19">
        <v>44842</v>
      </c>
      <c r="E1772" s="20">
        <v>45451</v>
      </c>
      <c r="F1772" s="21">
        <v>25908.799999999999</v>
      </c>
      <c r="G1772" s="21">
        <v>1406.4</v>
      </c>
      <c r="H1772" s="21">
        <v>252.8</v>
      </c>
      <c r="I1772" s="18">
        <v>1027.376</v>
      </c>
      <c r="J1772" s="18">
        <v>3973.6480000000001</v>
      </c>
      <c r="K1772" s="18" t="s">
        <v>65</v>
      </c>
      <c r="L1772" s="18" t="s">
        <v>23</v>
      </c>
      <c r="M1772" s="18" t="s">
        <v>32</v>
      </c>
      <c r="N1772" s="22">
        <f t="shared" si="162"/>
        <v>5.4282714753288497E-2</v>
      </c>
      <c r="O1772" s="22">
        <f t="shared" si="163"/>
        <v>0.17974971558589301</v>
      </c>
      <c r="P1772" s="23">
        <f t="shared" si="164"/>
        <v>0.73050056882821401</v>
      </c>
      <c r="Q1772" s="23">
        <f t="shared" si="165"/>
        <v>4.0639873417721502</v>
      </c>
      <c r="R1772" s="22">
        <f t="shared" si="166"/>
        <v>2.86776409026491</v>
      </c>
      <c r="S1772" s="22">
        <f t="shared" si="167"/>
        <v>3.86776409026491</v>
      </c>
    </row>
    <row r="1773" spans="1:19">
      <c r="A1773" s="18" t="s">
        <v>1812</v>
      </c>
      <c r="B1773" s="18" t="s">
        <v>20</v>
      </c>
      <c r="C1773" s="18" t="s">
        <v>21</v>
      </c>
      <c r="D1773" s="19">
        <v>44941</v>
      </c>
      <c r="E1773" s="20">
        <v>45545</v>
      </c>
      <c r="F1773" s="21">
        <v>56001.599999999999</v>
      </c>
      <c r="G1773" s="21">
        <v>20348.8</v>
      </c>
      <c r="H1773" s="21">
        <v>9921.6</v>
      </c>
      <c r="I1773" s="18">
        <v>5320.4639999999999</v>
      </c>
      <c r="J1773" s="18">
        <v>17173.824000000001</v>
      </c>
      <c r="K1773" s="18" t="s">
        <v>38</v>
      </c>
      <c r="L1773" s="18" t="s">
        <v>50</v>
      </c>
      <c r="M1773" s="18" t="s">
        <v>32</v>
      </c>
      <c r="N1773" s="22">
        <f t="shared" si="162"/>
        <v>0.36336104682723402</v>
      </c>
      <c r="O1773" s="22">
        <f t="shared" si="163"/>
        <v>0.48757666299732699</v>
      </c>
      <c r="P1773" s="23">
        <f t="shared" si="164"/>
        <v>0.261463280389998</v>
      </c>
      <c r="Q1773" s="23">
        <f t="shared" si="165"/>
        <v>0.53625060474117103</v>
      </c>
      <c r="R1773" s="22">
        <f t="shared" si="166"/>
        <v>2.2278808765551301</v>
      </c>
      <c r="S1773" s="22">
        <f t="shared" si="167"/>
        <v>3.2278808765551301</v>
      </c>
    </row>
    <row r="1774" spans="1:19">
      <c r="A1774" s="18" t="s">
        <v>1813</v>
      </c>
      <c r="B1774" s="18" t="s">
        <v>47</v>
      </c>
      <c r="C1774" s="18" t="s">
        <v>41</v>
      </c>
      <c r="D1774" s="19">
        <v>44817</v>
      </c>
      <c r="E1774" s="20">
        <v>45439</v>
      </c>
      <c r="F1774" s="21">
        <v>10417.6</v>
      </c>
      <c r="G1774" s="21">
        <v>3721.6</v>
      </c>
      <c r="H1774" s="21">
        <v>3225.6</v>
      </c>
      <c r="I1774" s="18">
        <v>3194.48</v>
      </c>
      <c r="J1774" s="18">
        <v>11498.928</v>
      </c>
      <c r="K1774" s="18" t="s">
        <v>43</v>
      </c>
      <c r="L1774" s="18" t="s">
        <v>35</v>
      </c>
      <c r="M1774" s="18" t="s">
        <v>24</v>
      </c>
      <c r="N1774" s="22">
        <f t="shared" si="162"/>
        <v>0.35724159115343301</v>
      </c>
      <c r="O1774" s="22">
        <f t="shared" si="163"/>
        <v>0.86672398968185704</v>
      </c>
      <c r="P1774" s="23">
        <f t="shared" si="164"/>
        <v>0.85836199484092901</v>
      </c>
      <c r="Q1774" s="23">
        <f t="shared" si="165"/>
        <v>0.99035218253968305</v>
      </c>
      <c r="R1774" s="22">
        <f t="shared" si="166"/>
        <v>2.59962435200721</v>
      </c>
      <c r="S1774" s="22">
        <f t="shared" si="167"/>
        <v>3.59962435200721</v>
      </c>
    </row>
    <row r="1775" spans="1:19">
      <c r="A1775" s="18" t="s">
        <v>1814</v>
      </c>
      <c r="B1775" s="18" t="s">
        <v>20</v>
      </c>
      <c r="C1775" s="18" t="s">
        <v>21</v>
      </c>
      <c r="D1775" s="19">
        <v>44803</v>
      </c>
      <c r="E1775" s="20">
        <v>45430</v>
      </c>
      <c r="F1775" s="21">
        <v>77387.199999999997</v>
      </c>
      <c r="G1775" s="21">
        <v>70094.399999999994</v>
      </c>
      <c r="H1775" s="21">
        <v>1481.6</v>
      </c>
      <c r="I1775" s="18">
        <v>4247.3760000000002</v>
      </c>
      <c r="J1775" s="18">
        <v>13132.992</v>
      </c>
      <c r="K1775" s="18" t="s">
        <v>38</v>
      </c>
      <c r="L1775" s="18" t="s">
        <v>23</v>
      </c>
      <c r="M1775" s="18" t="s">
        <v>24</v>
      </c>
      <c r="N1775" s="22">
        <f t="shared" si="162"/>
        <v>0.905762193230922</v>
      </c>
      <c r="O1775" s="22">
        <f t="shared" si="163"/>
        <v>2.1137209249241E-2</v>
      </c>
      <c r="P1775" s="23">
        <f t="shared" si="164"/>
        <v>6.0595083202081797E-2</v>
      </c>
      <c r="Q1775" s="23">
        <f t="shared" si="165"/>
        <v>2.8667494600432</v>
      </c>
      <c r="R1775" s="22">
        <f t="shared" si="166"/>
        <v>2.0920248172047899</v>
      </c>
      <c r="S1775" s="22">
        <f t="shared" si="167"/>
        <v>3.0920248172047899</v>
      </c>
    </row>
    <row r="1776" spans="1:19">
      <c r="A1776" s="18" t="s">
        <v>1815</v>
      </c>
      <c r="B1776" s="18" t="s">
        <v>20</v>
      </c>
      <c r="C1776" s="18" t="s">
        <v>41</v>
      </c>
      <c r="D1776" s="19">
        <v>44886</v>
      </c>
      <c r="E1776" s="20">
        <v>45505</v>
      </c>
      <c r="F1776" s="21">
        <v>26166.400000000001</v>
      </c>
      <c r="G1776" s="21">
        <v>8934.4</v>
      </c>
      <c r="H1776" s="21">
        <v>4779.2</v>
      </c>
      <c r="I1776" s="18">
        <v>334.11200000000002</v>
      </c>
      <c r="J1776" s="18">
        <v>1022.112</v>
      </c>
      <c r="K1776" s="18" t="s">
        <v>43</v>
      </c>
      <c r="L1776" s="18" t="s">
        <v>23</v>
      </c>
      <c r="M1776" s="18" t="s">
        <v>32</v>
      </c>
      <c r="N1776" s="22">
        <f t="shared" si="162"/>
        <v>0.341445517916106</v>
      </c>
      <c r="O1776" s="22">
        <f t="shared" si="163"/>
        <v>0.534921203438395</v>
      </c>
      <c r="P1776" s="23">
        <f t="shared" si="164"/>
        <v>3.7396131805157599E-2</v>
      </c>
      <c r="Q1776" s="23">
        <f t="shared" si="165"/>
        <v>6.9909608302644796E-2</v>
      </c>
      <c r="R1776" s="22">
        <f t="shared" si="166"/>
        <v>2.0591897327842199</v>
      </c>
      <c r="S1776" s="22">
        <f t="shared" si="167"/>
        <v>3.0591897327842199</v>
      </c>
    </row>
    <row r="1777" spans="1:19">
      <c r="A1777" s="18" t="s">
        <v>1816</v>
      </c>
      <c r="B1777" s="18" t="s">
        <v>26</v>
      </c>
      <c r="C1777" s="18" t="s">
        <v>29</v>
      </c>
      <c r="D1777" s="19">
        <v>44698</v>
      </c>
      <c r="E1777" s="20">
        <v>45300</v>
      </c>
      <c r="F1777" s="21">
        <v>8033.6</v>
      </c>
      <c r="G1777" s="21">
        <v>176</v>
      </c>
      <c r="H1777" s="21">
        <v>80</v>
      </c>
      <c r="I1777" s="18">
        <v>1541.904</v>
      </c>
      <c r="J1777" s="18">
        <v>5024.0959999999995</v>
      </c>
      <c r="K1777" s="18" t="s">
        <v>22</v>
      </c>
      <c r="L1777" s="18" t="s">
        <v>23</v>
      </c>
      <c r="M1777" s="18" t="s">
        <v>24</v>
      </c>
      <c r="N1777" s="22">
        <f t="shared" si="162"/>
        <v>2.19079864568811E-2</v>
      </c>
      <c r="O1777" s="22">
        <f t="shared" si="163"/>
        <v>0.45454545454545497</v>
      </c>
      <c r="P1777" s="23">
        <f t="shared" si="164"/>
        <v>8.7608181818181805</v>
      </c>
      <c r="Q1777" s="23">
        <f t="shared" si="165"/>
        <v>19.273800000000001</v>
      </c>
      <c r="R1777" s="22">
        <f t="shared" si="166"/>
        <v>2.2583714680032001</v>
      </c>
      <c r="S1777" s="22">
        <f t="shared" si="167"/>
        <v>3.2583714680032001</v>
      </c>
    </row>
    <row r="1778" spans="1:19">
      <c r="A1778" s="18" t="s">
        <v>1817</v>
      </c>
      <c r="B1778" s="18" t="s">
        <v>40</v>
      </c>
      <c r="C1778" s="18" t="s">
        <v>41</v>
      </c>
      <c r="D1778" s="19">
        <v>44732</v>
      </c>
      <c r="E1778" s="20">
        <v>45348</v>
      </c>
      <c r="F1778" s="21">
        <v>69840</v>
      </c>
      <c r="G1778" s="21">
        <v>54988.800000000003</v>
      </c>
      <c r="H1778" s="21">
        <v>49364.800000000003</v>
      </c>
      <c r="I1778" s="18">
        <v>790.84799999999996</v>
      </c>
      <c r="J1778" s="18">
        <v>1833.1679999999999</v>
      </c>
      <c r="K1778" s="18" t="s">
        <v>22</v>
      </c>
      <c r="L1778" s="18" t="s">
        <v>50</v>
      </c>
      <c r="M1778" s="18" t="s">
        <v>32</v>
      </c>
      <c r="N1778" s="22">
        <f t="shared" si="162"/>
        <v>0.78735395189003399</v>
      </c>
      <c r="O1778" s="22">
        <f t="shared" si="163"/>
        <v>0.89772462756052096</v>
      </c>
      <c r="P1778" s="23">
        <f t="shared" si="164"/>
        <v>1.43819832402235E-2</v>
      </c>
      <c r="Q1778" s="23">
        <f t="shared" si="165"/>
        <v>1.6020484231679299E-2</v>
      </c>
      <c r="R1778" s="22">
        <f t="shared" si="166"/>
        <v>1.3179776644816701</v>
      </c>
      <c r="S1778" s="22">
        <f t="shared" si="167"/>
        <v>2.3179776644816701</v>
      </c>
    </row>
    <row r="1779" spans="1:19">
      <c r="A1779" s="18" t="s">
        <v>1818</v>
      </c>
      <c r="B1779" s="18" t="s">
        <v>34</v>
      </c>
      <c r="C1779" s="18" t="s">
        <v>21</v>
      </c>
      <c r="D1779" s="19">
        <v>44813</v>
      </c>
      <c r="E1779" s="20">
        <v>45441</v>
      </c>
      <c r="F1779" s="21">
        <v>1966.4</v>
      </c>
      <c r="G1779" s="21">
        <v>1665.6</v>
      </c>
      <c r="H1779" s="21">
        <v>284.8</v>
      </c>
      <c r="I1779" s="18">
        <v>2108.3200000000002</v>
      </c>
      <c r="J1779" s="18">
        <v>4779.2160000000003</v>
      </c>
      <c r="K1779" s="18" t="s">
        <v>30</v>
      </c>
      <c r="L1779" s="18" t="s">
        <v>44</v>
      </c>
      <c r="M1779" s="18" t="s">
        <v>32</v>
      </c>
      <c r="N1779" s="22">
        <f t="shared" si="162"/>
        <v>0.84703010577705395</v>
      </c>
      <c r="O1779" s="22">
        <f t="shared" si="163"/>
        <v>0.170989433237272</v>
      </c>
      <c r="P1779" s="23">
        <f t="shared" si="164"/>
        <v>1.2658021133525501</v>
      </c>
      <c r="Q1779" s="23">
        <f t="shared" si="165"/>
        <v>7.4028089887640496</v>
      </c>
      <c r="R1779" s="22">
        <f t="shared" si="166"/>
        <v>1.2668361539045301</v>
      </c>
      <c r="S1779" s="22">
        <f t="shared" si="167"/>
        <v>2.2668361539045301</v>
      </c>
    </row>
    <row r="1780" spans="1:19">
      <c r="A1780" s="18" t="s">
        <v>1819</v>
      </c>
      <c r="B1780" s="18" t="s">
        <v>47</v>
      </c>
      <c r="C1780" s="18" t="s">
        <v>41</v>
      </c>
      <c r="D1780" s="19">
        <v>44732</v>
      </c>
      <c r="E1780" s="20">
        <v>45360</v>
      </c>
      <c r="F1780" s="21">
        <v>15624</v>
      </c>
      <c r="G1780" s="21">
        <v>14878.4</v>
      </c>
      <c r="H1780" s="21">
        <v>7852.8</v>
      </c>
      <c r="I1780" s="18">
        <v>2992.24</v>
      </c>
      <c r="J1780" s="18">
        <v>9669.0079999999998</v>
      </c>
      <c r="K1780" s="18" t="s">
        <v>65</v>
      </c>
      <c r="L1780" s="18" t="s">
        <v>31</v>
      </c>
      <c r="M1780" s="18" t="s">
        <v>32</v>
      </c>
      <c r="N1780" s="22">
        <f t="shared" si="162"/>
        <v>0.95227854582693305</v>
      </c>
      <c r="O1780" s="22">
        <f t="shared" si="163"/>
        <v>0.52779868803097096</v>
      </c>
      <c r="P1780" s="23">
        <f t="shared" si="164"/>
        <v>0.201113022905689</v>
      </c>
      <c r="Q1780" s="23">
        <f t="shared" si="165"/>
        <v>0.38104115729421401</v>
      </c>
      <c r="R1780" s="22">
        <f t="shared" si="166"/>
        <v>2.23136112076571</v>
      </c>
      <c r="S1780" s="22">
        <f t="shared" si="167"/>
        <v>3.23136112076571</v>
      </c>
    </row>
    <row r="1781" spans="1:19">
      <c r="A1781" s="18" t="s">
        <v>1820</v>
      </c>
      <c r="B1781" s="18" t="s">
        <v>26</v>
      </c>
      <c r="C1781" s="18" t="s">
        <v>41</v>
      </c>
      <c r="D1781" s="19">
        <v>44826</v>
      </c>
      <c r="E1781" s="20">
        <v>45427</v>
      </c>
      <c r="F1781" s="21">
        <v>28777.599999999999</v>
      </c>
      <c r="G1781" s="21">
        <v>20787.2</v>
      </c>
      <c r="H1781" s="21">
        <v>2561.6</v>
      </c>
      <c r="I1781" s="18">
        <v>3905.3440000000001</v>
      </c>
      <c r="J1781" s="18">
        <v>7216.848</v>
      </c>
      <c r="K1781" s="18" t="s">
        <v>22</v>
      </c>
      <c r="L1781" s="18" t="s">
        <v>23</v>
      </c>
      <c r="M1781" s="18" t="s">
        <v>24</v>
      </c>
      <c r="N1781" s="22">
        <f t="shared" si="162"/>
        <v>0.722339597464695</v>
      </c>
      <c r="O1781" s="22">
        <f t="shared" si="163"/>
        <v>0.123229679802956</v>
      </c>
      <c r="P1781" s="23">
        <f t="shared" si="164"/>
        <v>0.18787253694581299</v>
      </c>
      <c r="Q1781" s="23">
        <f t="shared" si="165"/>
        <v>1.5245721424109899</v>
      </c>
      <c r="R1781" s="22">
        <f t="shared" si="166"/>
        <v>0.84794169220432303</v>
      </c>
      <c r="S1781" s="22">
        <f t="shared" si="167"/>
        <v>1.8479416922043199</v>
      </c>
    </row>
    <row r="1782" spans="1:19">
      <c r="A1782" s="18" t="s">
        <v>1821</v>
      </c>
      <c r="B1782" s="18" t="s">
        <v>20</v>
      </c>
      <c r="C1782" s="18" t="s">
        <v>41</v>
      </c>
      <c r="D1782" s="19">
        <v>44743</v>
      </c>
      <c r="E1782" s="20">
        <v>45369</v>
      </c>
      <c r="F1782" s="21">
        <v>30163.200000000001</v>
      </c>
      <c r="G1782" s="21">
        <v>7096</v>
      </c>
      <c r="H1782" s="21">
        <v>4112</v>
      </c>
      <c r="I1782" s="18">
        <v>7378.4639999999999</v>
      </c>
      <c r="J1782" s="18">
        <v>28126.288</v>
      </c>
      <c r="K1782" s="18" t="s">
        <v>30</v>
      </c>
      <c r="L1782" s="18" t="s">
        <v>23</v>
      </c>
      <c r="M1782" s="18" t="s">
        <v>32</v>
      </c>
      <c r="N1782" s="22">
        <f t="shared" si="162"/>
        <v>0.23525355399957601</v>
      </c>
      <c r="O1782" s="22">
        <f t="shared" si="163"/>
        <v>0.57948139797068798</v>
      </c>
      <c r="P1782" s="23">
        <f t="shared" si="164"/>
        <v>1.03980608793687</v>
      </c>
      <c r="Q1782" s="23">
        <f t="shared" si="165"/>
        <v>1.79437354085603</v>
      </c>
      <c r="R1782" s="22">
        <f t="shared" si="166"/>
        <v>2.81194351561517</v>
      </c>
      <c r="S1782" s="22">
        <f t="shared" si="167"/>
        <v>3.81194351561517</v>
      </c>
    </row>
    <row r="1783" spans="1:19">
      <c r="A1783" s="18" t="s">
        <v>1822</v>
      </c>
      <c r="B1783" s="18" t="s">
        <v>28</v>
      </c>
      <c r="C1783" s="18" t="s">
        <v>29</v>
      </c>
      <c r="D1783" s="19">
        <v>44795</v>
      </c>
      <c r="E1783" s="20">
        <v>45403</v>
      </c>
      <c r="F1783" s="21">
        <v>73657.600000000006</v>
      </c>
      <c r="G1783" s="21">
        <v>52016</v>
      </c>
      <c r="H1783" s="21">
        <v>35350.400000000001</v>
      </c>
      <c r="I1783" s="18">
        <v>4058.5920000000001</v>
      </c>
      <c r="J1783" s="18">
        <v>12010.592000000001</v>
      </c>
      <c r="K1783" s="18" t="s">
        <v>43</v>
      </c>
      <c r="L1783" s="18" t="s">
        <v>23</v>
      </c>
      <c r="M1783" s="18" t="s">
        <v>24</v>
      </c>
      <c r="N1783" s="22">
        <f t="shared" si="162"/>
        <v>0.70618646276826802</v>
      </c>
      <c r="O1783" s="22">
        <f t="shared" si="163"/>
        <v>0.67960627499230997</v>
      </c>
      <c r="P1783" s="23">
        <f t="shared" si="164"/>
        <v>7.8025838203629697E-2</v>
      </c>
      <c r="Q1783" s="23">
        <f t="shared" si="165"/>
        <v>0.11481035575269299</v>
      </c>
      <c r="R1783" s="22">
        <f t="shared" si="166"/>
        <v>1.95930017109382</v>
      </c>
      <c r="S1783" s="22">
        <f t="shared" si="167"/>
        <v>2.9593001710938198</v>
      </c>
    </row>
    <row r="1784" spans="1:19">
      <c r="A1784" s="18" t="s">
        <v>1823</v>
      </c>
      <c r="B1784" s="18" t="s">
        <v>26</v>
      </c>
      <c r="C1784" s="18" t="s">
        <v>48</v>
      </c>
      <c r="D1784" s="19">
        <v>44750</v>
      </c>
      <c r="E1784" s="20">
        <v>45375</v>
      </c>
      <c r="F1784" s="21">
        <v>9094.4</v>
      </c>
      <c r="G1784" s="21">
        <v>4259.2</v>
      </c>
      <c r="H1784" s="21">
        <v>3532.8</v>
      </c>
      <c r="I1784" s="18">
        <v>5478.1760000000004</v>
      </c>
      <c r="J1784" s="18">
        <v>12017.504000000001</v>
      </c>
      <c r="K1784" s="18" t="s">
        <v>22</v>
      </c>
      <c r="L1784" s="18" t="s">
        <v>50</v>
      </c>
      <c r="M1784" s="18" t="s">
        <v>32</v>
      </c>
      <c r="N1784" s="22">
        <f t="shared" si="162"/>
        <v>0.468332160450387</v>
      </c>
      <c r="O1784" s="22">
        <f t="shared" si="163"/>
        <v>0.82945154019534195</v>
      </c>
      <c r="P1784" s="23">
        <f t="shared" si="164"/>
        <v>1.2861983471074401</v>
      </c>
      <c r="Q1784" s="23">
        <f t="shared" si="165"/>
        <v>1.55066123188406</v>
      </c>
      <c r="R1784" s="22">
        <f t="shared" si="166"/>
        <v>1.1937053501019299</v>
      </c>
      <c r="S1784" s="22">
        <f t="shared" si="167"/>
        <v>2.1937053501019301</v>
      </c>
    </row>
    <row r="1785" spans="1:19">
      <c r="A1785" s="18" t="s">
        <v>1824</v>
      </c>
      <c r="B1785" s="18" t="s">
        <v>34</v>
      </c>
      <c r="C1785" s="18" t="s">
        <v>41</v>
      </c>
      <c r="D1785" s="19">
        <v>44965</v>
      </c>
      <c r="E1785" s="20">
        <v>45576</v>
      </c>
      <c r="F1785" s="21">
        <v>38531.199999999997</v>
      </c>
      <c r="G1785" s="21">
        <v>32966.400000000001</v>
      </c>
      <c r="H1785" s="21">
        <v>28430.400000000001</v>
      </c>
      <c r="I1785" s="18">
        <v>2115.7919999999999</v>
      </c>
      <c r="J1785" s="18">
        <v>5251.5839999999998</v>
      </c>
      <c r="K1785" s="18" t="s">
        <v>65</v>
      </c>
      <c r="L1785" s="18" t="s">
        <v>35</v>
      </c>
      <c r="M1785" s="18" t="s">
        <v>32</v>
      </c>
      <c r="N1785" s="22">
        <f t="shared" si="162"/>
        <v>0.85557677933726495</v>
      </c>
      <c r="O1785" s="22">
        <f t="shared" si="163"/>
        <v>0.862405358182877</v>
      </c>
      <c r="P1785" s="23">
        <f t="shared" si="164"/>
        <v>6.4180256260920193E-2</v>
      </c>
      <c r="Q1785" s="23">
        <f t="shared" si="165"/>
        <v>7.4420057403342899E-2</v>
      </c>
      <c r="R1785" s="22">
        <f t="shared" si="166"/>
        <v>1.4820889766101799</v>
      </c>
      <c r="S1785" s="22">
        <f t="shared" si="167"/>
        <v>2.4820889766101799</v>
      </c>
    </row>
    <row r="1786" spans="1:19">
      <c r="A1786" s="18" t="s">
        <v>1825</v>
      </c>
      <c r="B1786" s="18" t="s">
        <v>40</v>
      </c>
      <c r="C1786" s="18" t="s">
        <v>41</v>
      </c>
      <c r="D1786" s="19">
        <v>44706</v>
      </c>
      <c r="E1786" s="20">
        <v>45327</v>
      </c>
      <c r="F1786" s="21">
        <v>36915.199999999997</v>
      </c>
      <c r="G1786" s="21">
        <v>15944</v>
      </c>
      <c r="H1786" s="21">
        <v>6619.2</v>
      </c>
      <c r="I1786" s="18">
        <v>834.84799999999996</v>
      </c>
      <c r="J1786" s="18">
        <v>2573.2640000000001</v>
      </c>
      <c r="K1786" s="18" t="s">
        <v>43</v>
      </c>
      <c r="L1786" s="18" t="s">
        <v>50</v>
      </c>
      <c r="M1786" s="18" t="s">
        <v>32</v>
      </c>
      <c r="N1786" s="22">
        <f t="shared" si="162"/>
        <v>0.43190880721220498</v>
      </c>
      <c r="O1786" s="22">
        <f t="shared" si="163"/>
        <v>0.41515303562468597</v>
      </c>
      <c r="P1786" s="23">
        <f t="shared" si="164"/>
        <v>5.2361264425489197E-2</v>
      </c>
      <c r="Q1786" s="23">
        <f t="shared" si="165"/>
        <v>0.12612521150592201</v>
      </c>
      <c r="R1786" s="22">
        <f t="shared" si="166"/>
        <v>2.0823143853731501</v>
      </c>
      <c r="S1786" s="22">
        <f t="shared" si="167"/>
        <v>3.0823143853731501</v>
      </c>
    </row>
    <row r="1787" spans="1:19">
      <c r="A1787" s="18" t="s">
        <v>1826</v>
      </c>
      <c r="B1787" s="18" t="s">
        <v>40</v>
      </c>
      <c r="C1787" s="18" t="s">
        <v>48</v>
      </c>
      <c r="D1787" s="19">
        <v>44720</v>
      </c>
      <c r="E1787" s="20">
        <v>45337</v>
      </c>
      <c r="F1787" s="21">
        <v>10195.200000000001</v>
      </c>
      <c r="G1787" s="21">
        <v>3086.4</v>
      </c>
      <c r="H1787" s="21">
        <v>2811.2</v>
      </c>
      <c r="I1787" s="18">
        <v>3997.7440000000001</v>
      </c>
      <c r="J1787" s="18">
        <v>5397.9520000000002</v>
      </c>
      <c r="K1787" s="18" t="s">
        <v>30</v>
      </c>
      <c r="L1787" s="18" t="s">
        <v>35</v>
      </c>
      <c r="M1787" s="18" t="s">
        <v>24</v>
      </c>
      <c r="N1787" s="22">
        <f t="shared" si="162"/>
        <v>0.30273069679849302</v>
      </c>
      <c r="O1787" s="22">
        <f t="shared" si="163"/>
        <v>0.91083462934162795</v>
      </c>
      <c r="P1787" s="23">
        <f t="shared" si="164"/>
        <v>1.29527734577501</v>
      </c>
      <c r="Q1787" s="23">
        <f t="shared" si="165"/>
        <v>1.4220774046670499</v>
      </c>
      <c r="R1787" s="22">
        <f t="shared" si="166"/>
        <v>0.35024954074097803</v>
      </c>
      <c r="S1787" s="22">
        <f t="shared" si="167"/>
        <v>1.35024954074098</v>
      </c>
    </row>
    <row r="1788" spans="1:19">
      <c r="A1788" s="18" t="s">
        <v>1827</v>
      </c>
      <c r="B1788" s="18" t="s">
        <v>40</v>
      </c>
      <c r="C1788" s="18" t="s">
        <v>41</v>
      </c>
      <c r="D1788" s="19">
        <v>44694</v>
      </c>
      <c r="E1788" s="20">
        <v>45297</v>
      </c>
      <c r="F1788" s="21">
        <v>74598.399999999994</v>
      </c>
      <c r="G1788" s="21">
        <v>18579.2</v>
      </c>
      <c r="H1788" s="21">
        <v>18339.2</v>
      </c>
      <c r="I1788" s="18">
        <v>1418.64</v>
      </c>
      <c r="J1788" s="18">
        <v>5656.2560000000003</v>
      </c>
      <c r="K1788" s="18" t="s">
        <v>65</v>
      </c>
      <c r="L1788" s="18" t="s">
        <v>31</v>
      </c>
      <c r="M1788" s="18" t="s">
        <v>32</v>
      </c>
      <c r="N1788" s="22">
        <f t="shared" si="162"/>
        <v>0.249056280027454</v>
      </c>
      <c r="O1788" s="22">
        <f t="shared" si="163"/>
        <v>0.98708232862556</v>
      </c>
      <c r="P1788" s="23">
        <f t="shared" si="164"/>
        <v>7.63563554943162E-2</v>
      </c>
      <c r="Q1788" s="23">
        <f t="shared" si="165"/>
        <v>7.7355609841214507E-2</v>
      </c>
      <c r="R1788" s="22">
        <f t="shared" si="166"/>
        <v>2.9870975018327401</v>
      </c>
      <c r="S1788" s="22">
        <f t="shared" si="167"/>
        <v>3.9870975018327401</v>
      </c>
    </row>
    <row r="1789" spans="1:19">
      <c r="A1789" s="18" t="s">
        <v>1828</v>
      </c>
      <c r="B1789" s="18" t="s">
        <v>47</v>
      </c>
      <c r="C1789" s="18" t="s">
        <v>41</v>
      </c>
      <c r="D1789" s="19">
        <v>44835</v>
      </c>
      <c r="E1789" s="20">
        <v>45443</v>
      </c>
      <c r="F1789" s="21">
        <v>8206.4</v>
      </c>
      <c r="G1789" s="21">
        <v>4782.3999999999996</v>
      </c>
      <c r="H1789" s="21">
        <v>4366.3999999999996</v>
      </c>
      <c r="I1789" s="18">
        <v>1510.4960000000001</v>
      </c>
      <c r="J1789" s="18">
        <v>3169.5520000000001</v>
      </c>
      <c r="K1789" s="18" t="s">
        <v>22</v>
      </c>
      <c r="L1789" s="18" t="s">
        <v>50</v>
      </c>
      <c r="M1789" s="18" t="s">
        <v>32</v>
      </c>
      <c r="N1789" s="22">
        <f t="shared" si="162"/>
        <v>0.58276467147592104</v>
      </c>
      <c r="O1789" s="22">
        <f t="shared" si="163"/>
        <v>0.91301438608230201</v>
      </c>
      <c r="P1789" s="23">
        <f t="shared" si="164"/>
        <v>0.31584476413516199</v>
      </c>
      <c r="Q1789" s="23">
        <f t="shared" si="165"/>
        <v>0.345936240381092</v>
      </c>
      <c r="R1789" s="22">
        <f t="shared" si="166"/>
        <v>1.09835179967375</v>
      </c>
      <c r="S1789" s="22">
        <f t="shared" si="167"/>
        <v>2.09835179967375</v>
      </c>
    </row>
    <row r="1790" spans="1:19">
      <c r="A1790" s="18" t="s">
        <v>1829</v>
      </c>
      <c r="B1790" s="18" t="s">
        <v>26</v>
      </c>
      <c r="C1790" s="18" t="s">
        <v>48</v>
      </c>
      <c r="D1790" s="19">
        <v>44849</v>
      </c>
      <c r="E1790" s="20">
        <v>45451</v>
      </c>
      <c r="F1790" s="21">
        <v>29816</v>
      </c>
      <c r="G1790" s="21">
        <v>19145.599999999999</v>
      </c>
      <c r="H1790" s="21">
        <v>9331.2000000000007</v>
      </c>
      <c r="I1790" s="18">
        <v>2061.84</v>
      </c>
      <c r="J1790" s="18">
        <v>8172.9759999999997</v>
      </c>
      <c r="K1790" s="18" t="s">
        <v>30</v>
      </c>
      <c r="L1790" s="18" t="s">
        <v>31</v>
      </c>
      <c r="M1790" s="18" t="s">
        <v>32</v>
      </c>
      <c r="N1790" s="22">
        <f t="shared" si="162"/>
        <v>0.64212503353903905</v>
      </c>
      <c r="O1790" s="22">
        <f t="shared" si="163"/>
        <v>0.48738091258565902</v>
      </c>
      <c r="P1790" s="23">
        <f t="shared" si="164"/>
        <v>0.107692629115828</v>
      </c>
      <c r="Q1790" s="23">
        <f t="shared" si="165"/>
        <v>0.22096193415637899</v>
      </c>
      <c r="R1790" s="22">
        <f t="shared" si="166"/>
        <v>2.9639234858184902</v>
      </c>
      <c r="S1790" s="22">
        <f t="shared" si="167"/>
        <v>3.9639234858184902</v>
      </c>
    </row>
    <row r="1791" spans="1:19">
      <c r="A1791" s="18" t="s">
        <v>1830</v>
      </c>
      <c r="B1791" s="18" t="s">
        <v>26</v>
      </c>
      <c r="C1791" s="18" t="s">
        <v>29</v>
      </c>
      <c r="D1791" s="19">
        <v>44694</v>
      </c>
      <c r="E1791" s="20">
        <v>45310</v>
      </c>
      <c r="F1791" s="21">
        <v>40155.199999999997</v>
      </c>
      <c r="G1791" s="21">
        <v>18651.2</v>
      </c>
      <c r="H1791" s="21">
        <v>5022.3999999999996</v>
      </c>
      <c r="I1791" s="18">
        <v>1414.144</v>
      </c>
      <c r="J1791" s="18">
        <v>4482.5439999999999</v>
      </c>
      <c r="K1791" s="18" t="s">
        <v>22</v>
      </c>
      <c r="L1791" s="18" t="s">
        <v>35</v>
      </c>
      <c r="M1791" s="18" t="s">
        <v>24</v>
      </c>
      <c r="N1791" s="22">
        <f t="shared" si="162"/>
        <v>0.464477826034984</v>
      </c>
      <c r="O1791" s="22">
        <f t="shared" si="163"/>
        <v>0.26928026078751</v>
      </c>
      <c r="P1791" s="23">
        <f t="shared" si="164"/>
        <v>7.5820537016384998E-2</v>
      </c>
      <c r="Q1791" s="23">
        <f t="shared" si="165"/>
        <v>0.28156737814590599</v>
      </c>
      <c r="R1791" s="22">
        <f t="shared" si="166"/>
        <v>2.1697931752353399</v>
      </c>
      <c r="S1791" s="22">
        <f t="shared" si="167"/>
        <v>3.1697931752353399</v>
      </c>
    </row>
    <row r="1792" spans="1:19">
      <c r="A1792" s="18" t="s">
        <v>1831</v>
      </c>
      <c r="B1792" s="18" t="s">
        <v>34</v>
      </c>
      <c r="C1792" s="18" t="s">
        <v>48</v>
      </c>
      <c r="D1792" s="19">
        <v>44944</v>
      </c>
      <c r="E1792" s="20">
        <v>45573</v>
      </c>
      <c r="F1792" s="21">
        <v>44075.199999999997</v>
      </c>
      <c r="G1792" s="21">
        <v>36480</v>
      </c>
      <c r="H1792" s="21">
        <v>8251.2000000000007</v>
      </c>
      <c r="I1792" s="18">
        <v>6234.7039999999997</v>
      </c>
      <c r="J1792" s="18">
        <v>22572.831999999999</v>
      </c>
      <c r="K1792" s="18" t="s">
        <v>30</v>
      </c>
      <c r="L1792" s="18" t="s">
        <v>31</v>
      </c>
      <c r="M1792" s="18" t="s">
        <v>32</v>
      </c>
      <c r="N1792" s="22">
        <f t="shared" si="162"/>
        <v>0.82767633499110604</v>
      </c>
      <c r="O1792" s="22">
        <f t="shared" si="163"/>
        <v>0.22618421052631599</v>
      </c>
      <c r="P1792" s="23">
        <f t="shared" si="164"/>
        <v>0.17090745614035099</v>
      </c>
      <c r="Q1792" s="23">
        <f t="shared" si="165"/>
        <v>0.75561178980027099</v>
      </c>
      <c r="R1792" s="22">
        <f t="shared" si="166"/>
        <v>2.62051382070424</v>
      </c>
      <c r="S1792" s="22">
        <f t="shared" si="167"/>
        <v>3.62051382070424</v>
      </c>
    </row>
    <row r="1793" spans="1:19">
      <c r="A1793" s="18" t="s">
        <v>1832</v>
      </c>
      <c r="B1793" s="18" t="s">
        <v>47</v>
      </c>
      <c r="C1793" s="18" t="s">
        <v>41</v>
      </c>
      <c r="D1793" s="19">
        <v>44865</v>
      </c>
      <c r="E1793" s="20">
        <v>45483</v>
      </c>
      <c r="F1793" s="21">
        <v>50310.400000000001</v>
      </c>
      <c r="G1793" s="21">
        <v>18955.2</v>
      </c>
      <c r="H1793" s="21">
        <v>1644.8</v>
      </c>
      <c r="I1793" s="18">
        <v>4705.1679999999997</v>
      </c>
      <c r="J1793" s="18">
        <v>14577.712</v>
      </c>
      <c r="K1793" s="18" t="s">
        <v>30</v>
      </c>
      <c r="L1793" s="18" t="s">
        <v>23</v>
      </c>
      <c r="M1793" s="18" t="s">
        <v>32</v>
      </c>
      <c r="N1793" s="22">
        <f t="shared" si="162"/>
        <v>0.37676504261544302</v>
      </c>
      <c r="O1793" s="22">
        <f t="shared" si="163"/>
        <v>8.6773022706170294E-2</v>
      </c>
      <c r="P1793" s="23">
        <f t="shared" si="164"/>
        <v>0.24822571115050199</v>
      </c>
      <c r="Q1793" s="23">
        <f t="shared" si="165"/>
        <v>2.86063229571984</v>
      </c>
      <c r="R1793" s="22">
        <f t="shared" si="166"/>
        <v>2.09823411193819</v>
      </c>
      <c r="S1793" s="22">
        <f t="shared" si="167"/>
        <v>3.09823411193819</v>
      </c>
    </row>
    <row r="1794" spans="1:19">
      <c r="A1794" s="18" t="s">
        <v>1833</v>
      </c>
      <c r="B1794" s="18" t="s">
        <v>26</v>
      </c>
      <c r="C1794" s="18" t="s">
        <v>21</v>
      </c>
      <c r="D1794" s="19">
        <v>44714</v>
      </c>
      <c r="E1794" s="20">
        <v>45343</v>
      </c>
      <c r="F1794" s="21">
        <v>30380.799999999999</v>
      </c>
      <c r="G1794" s="21">
        <v>24875.200000000001</v>
      </c>
      <c r="H1794" s="21">
        <v>17080</v>
      </c>
      <c r="I1794" s="18">
        <v>1298.5920000000001</v>
      </c>
      <c r="J1794" s="18">
        <v>3412.2559999999999</v>
      </c>
      <c r="K1794" s="18" t="s">
        <v>65</v>
      </c>
      <c r="L1794" s="18" t="s">
        <v>35</v>
      </c>
      <c r="M1794" s="18" t="s">
        <v>32</v>
      </c>
      <c r="N1794" s="22">
        <f t="shared" ref="N1794:N1857" si="168">G1794/F1794</f>
        <v>0.81878028228354804</v>
      </c>
      <c r="O1794" s="22">
        <f t="shared" ref="O1794:O1857" si="169">H1794/G1794</f>
        <v>0.68662764520486297</v>
      </c>
      <c r="P1794" s="23">
        <f t="shared" ref="P1794:P1857" si="170">I1794/G1794</f>
        <v>5.2204283784652999E-2</v>
      </c>
      <c r="Q1794" s="23">
        <f t="shared" ref="Q1794:Q1857" si="171">I1794/H1794</f>
        <v>7.6029976580796299E-2</v>
      </c>
      <c r="R1794" s="22">
        <f t="shared" ref="R1794:R1857" si="172">(J1794-I1794)/I1794</f>
        <v>1.6276582637194701</v>
      </c>
      <c r="S1794" s="22">
        <f t="shared" ref="S1794:S1857" si="173">J1794/I1794</f>
        <v>2.6276582637194701</v>
      </c>
    </row>
    <row r="1795" spans="1:19">
      <c r="A1795" s="18" t="s">
        <v>1834</v>
      </c>
      <c r="B1795" s="18" t="s">
        <v>47</v>
      </c>
      <c r="C1795" s="18" t="s">
        <v>48</v>
      </c>
      <c r="D1795" s="19">
        <v>44712</v>
      </c>
      <c r="E1795" s="20">
        <v>45333</v>
      </c>
      <c r="F1795" s="21">
        <v>33478.400000000001</v>
      </c>
      <c r="G1795" s="21">
        <v>3134.4</v>
      </c>
      <c r="H1795" s="21">
        <v>1105.5999999999999</v>
      </c>
      <c r="I1795" s="18">
        <v>5432</v>
      </c>
      <c r="J1795" s="18">
        <v>14094.528</v>
      </c>
      <c r="K1795" s="18" t="s">
        <v>38</v>
      </c>
      <c r="L1795" s="18" t="s">
        <v>35</v>
      </c>
      <c r="M1795" s="18" t="s">
        <v>32</v>
      </c>
      <c r="N1795" s="22">
        <f t="shared" si="168"/>
        <v>9.3624545975912798E-2</v>
      </c>
      <c r="O1795" s="22">
        <f t="shared" si="169"/>
        <v>0.35273098519652901</v>
      </c>
      <c r="P1795" s="23">
        <f t="shared" si="170"/>
        <v>1.7330270546197</v>
      </c>
      <c r="Q1795" s="23">
        <f t="shared" si="171"/>
        <v>4.9131693198263404</v>
      </c>
      <c r="R1795" s="22">
        <f t="shared" si="172"/>
        <v>1.59472164948454</v>
      </c>
      <c r="S1795" s="22">
        <f t="shared" si="173"/>
        <v>2.5947216494845402</v>
      </c>
    </row>
    <row r="1796" spans="1:19">
      <c r="A1796" s="18" t="s">
        <v>1835</v>
      </c>
      <c r="B1796" s="18" t="s">
        <v>40</v>
      </c>
      <c r="C1796" s="18" t="s">
        <v>41</v>
      </c>
      <c r="D1796" s="19">
        <v>44920</v>
      </c>
      <c r="E1796" s="20">
        <v>45538</v>
      </c>
      <c r="F1796" s="21">
        <v>75664</v>
      </c>
      <c r="G1796" s="21">
        <v>20689.599999999999</v>
      </c>
      <c r="H1796" s="21">
        <v>7579.2</v>
      </c>
      <c r="I1796" s="18">
        <v>1589.92</v>
      </c>
      <c r="J1796" s="18">
        <v>5764.576</v>
      </c>
      <c r="K1796" s="18" t="s">
        <v>65</v>
      </c>
      <c r="L1796" s="18" t="s">
        <v>50</v>
      </c>
      <c r="M1796" s="18" t="s">
        <v>32</v>
      </c>
      <c r="N1796" s="22">
        <f t="shared" si="168"/>
        <v>0.273440473673081</v>
      </c>
      <c r="O1796" s="22">
        <f t="shared" si="169"/>
        <v>0.36632897687727201</v>
      </c>
      <c r="P1796" s="23">
        <f t="shared" si="170"/>
        <v>7.6846338256902E-2</v>
      </c>
      <c r="Q1796" s="23">
        <f t="shared" si="171"/>
        <v>0.20977411864049</v>
      </c>
      <c r="R1796" s="22">
        <f t="shared" si="172"/>
        <v>2.6257019221092901</v>
      </c>
      <c r="S1796" s="22">
        <f t="shared" si="173"/>
        <v>3.6257019221092901</v>
      </c>
    </row>
    <row r="1797" spans="1:19">
      <c r="A1797" s="18" t="s">
        <v>1836</v>
      </c>
      <c r="B1797" s="18" t="s">
        <v>26</v>
      </c>
      <c r="C1797" s="18" t="s">
        <v>41</v>
      </c>
      <c r="D1797" s="19">
        <v>44846</v>
      </c>
      <c r="E1797" s="20">
        <v>45464</v>
      </c>
      <c r="F1797" s="21">
        <v>40785.599999999999</v>
      </c>
      <c r="G1797" s="21">
        <v>3270.4</v>
      </c>
      <c r="H1797" s="21">
        <v>3.2</v>
      </c>
      <c r="I1797" s="18">
        <v>7997.5039999999999</v>
      </c>
      <c r="J1797" s="18">
        <v>27667.727999999999</v>
      </c>
      <c r="K1797" s="18" t="s">
        <v>38</v>
      </c>
      <c r="L1797" s="18" t="s">
        <v>50</v>
      </c>
      <c r="M1797" s="18" t="s">
        <v>32</v>
      </c>
      <c r="N1797" s="22">
        <f t="shared" si="168"/>
        <v>8.0185163391000694E-2</v>
      </c>
      <c r="O1797" s="22">
        <f t="shared" si="169"/>
        <v>9.7847358121330697E-4</v>
      </c>
      <c r="P1797" s="23">
        <f t="shared" si="170"/>
        <v>2.4454207436399198</v>
      </c>
      <c r="Q1797" s="23">
        <f t="shared" si="171"/>
        <v>2499.2199999999998</v>
      </c>
      <c r="R1797" s="22">
        <f t="shared" si="172"/>
        <v>2.4595453781579901</v>
      </c>
      <c r="S1797" s="22">
        <f t="shared" si="173"/>
        <v>3.4595453781579901</v>
      </c>
    </row>
    <row r="1798" spans="1:19">
      <c r="A1798" s="18" t="s">
        <v>1837</v>
      </c>
      <c r="B1798" s="18" t="s">
        <v>34</v>
      </c>
      <c r="C1798" s="18" t="s">
        <v>48</v>
      </c>
      <c r="D1798" s="19">
        <v>44824</v>
      </c>
      <c r="E1798" s="20">
        <v>45430</v>
      </c>
      <c r="F1798" s="21">
        <v>21646.400000000001</v>
      </c>
      <c r="G1798" s="21">
        <v>7467.2</v>
      </c>
      <c r="H1798" s="21">
        <v>5923.2</v>
      </c>
      <c r="I1798" s="18">
        <v>5147.152</v>
      </c>
      <c r="J1798" s="18">
        <v>19032.864000000001</v>
      </c>
      <c r="K1798" s="18" t="s">
        <v>22</v>
      </c>
      <c r="L1798" s="18" t="s">
        <v>35</v>
      </c>
      <c r="M1798" s="18" t="s">
        <v>32</v>
      </c>
      <c r="N1798" s="22">
        <f t="shared" si="168"/>
        <v>0.34496267277699799</v>
      </c>
      <c r="O1798" s="22">
        <f t="shared" si="169"/>
        <v>0.79322905506749497</v>
      </c>
      <c r="P1798" s="23">
        <f t="shared" si="170"/>
        <v>0.68930147846582401</v>
      </c>
      <c r="Q1798" s="23">
        <f t="shared" si="171"/>
        <v>0.868981631550513</v>
      </c>
      <c r="R1798" s="22">
        <f t="shared" si="172"/>
        <v>2.6977466373637302</v>
      </c>
      <c r="S1798" s="22">
        <f t="shared" si="173"/>
        <v>3.6977466373637302</v>
      </c>
    </row>
    <row r="1799" spans="1:19">
      <c r="A1799" s="18" t="s">
        <v>1838</v>
      </c>
      <c r="B1799" s="18" t="s">
        <v>40</v>
      </c>
      <c r="C1799" s="18" t="s">
        <v>48</v>
      </c>
      <c r="D1799" s="19">
        <v>44720</v>
      </c>
      <c r="E1799" s="20">
        <v>45321</v>
      </c>
      <c r="F1799" s="21">
        <v>2019.2</v>
      </c>
      <c r="G1799" s="21">
        <v>224</v>
      </c>
      <c r="H1799" s="21">
        <v>62.4</v>
      </c>
      <c r="I1799" s="18">
        <v>5027.6319999999996</v>
      </c>
      <c r="J1799" s="18">
        <v>19457.344000000001</v>
      </c>
      <c r="K1799" s="18" t="s">
        <v>22</v>
      </c>
      <c r="L1799" s="18" t="s">
        <v>23</v>
      </c>
      <c r="M1799" s="18" t="s">
        <v>24</v>
      </c>
      <c r="N1799" s="22">
        <f t="shared" si="168"/>
        <v>0.110935023771791</v>
      </c>
      <c r="O1799" s="22">
        <f t="shared" si="169"/>
        <v>0.27857142857142903</v>
      </c>
      <c r="P1799" s="23">
        <f t="shared" si="170"/>
        <v>22.4447857142857</v>
      </c>
      <c r="Q1799" s="23">
        <f t="shared" si="171"/>
        <v>80.571025641025599</v>
      </c>
      <c r="R1799" s="22">
        <f t="shared" si="172"/>
        <v>2.8700811833483399</v>
      </c>
      <c r="S1799" s="22">
        <f t="shared" si="173"/>
        <v>3.8700811833483399</v>
      </c>
    </row>
    <row r="1800" spans="1:19">
      <c r="A1800" s="18" t="s">
        <v>1839</v>
      </c>
      <c r="B1800" s="18" t="s">
        <v>40</v>
      </c>
      <c r="C1800" s="18" t="s">
        <v>21</v>
      </c>
      <c r="D1800" s="19">
        <v>44781</v>
      </c>
      <c r="E1800" s="20">
        <v>45404</v>
      </c>
      <c r="F1800" s="21">
        <v>16344</v>
      </c>
      <c r="G1800" s="21">
        <v>11992</v>
      </c>
      <c r="H1800" s="21">
        <v>4336</v>
      </c>
      <c r="I1800" s="18">
        <v>6455.3760000000002</v>
      </c>
      <c r="J1800" s="18">
        <v>15794.96</v>
      </c>
      <c r="K1800" s="18" t="s">
        <v>65</v>
      </c>
      <c r="L1800" s="18" t="s">
        <v>44</v>
      </c>
      <c r="M1800" s="18" t="s">
        <v>32</v>
      </c>
      <c r="N1800" s="22">
        <f t="shared" si="168"/>
        <v>0.73372491434165399</v>
      </c>
      <c r="O1800" s="22">
        <f t="shared" si="169"/>
        <v>0.36157438292194799</v>
      </c>
      <c r="P1800" s="23">
        <f t="shared" si="170"/>
        <v>0.53830687124749799</v>
      </c>
      <c r="Q1800" s="23">
        <f t="shared" si="171"/>
        <v>1.4887859778597801</v>
      </c>
      <c r="R1800" s="22">
        <f t="shared" si="172"/>
        <v>1.4467916353749199</v>
      </c>
      <c r="S1800" s="22">
        <f t="shared" si="173"/>
        <v>2.4467916353749199</v>
      </c>
    </row>
    <row r="1801" spans="1:19">
      <c r="A1801" s="18" t="s">
        <v>1840</v>
      </c>
      <c r="B1801" s="18" t="s">
        <v>26</v>
      </c>
      <c r="C1801" s="18" t="s">
        <v>29</v>
      </c>
      <c r="D1801" s="19">
        <v>44716</v>
      </c>
      <c r="E1801" s="20">
        <v>45342</v>
      </c>
      <c r="F1801" s="21">
        <v>46979.199999999997</v>
      </c>
      <c r="G1801" s="21">
        <v>36371.199999999997</v>
      </c>
      <c r="H1801" s="21">
        <v>9558.4</v>
      </c>
      <c r="I1801" s="18">
        <v>3172.5120000000002</v>
      </c>
      <c r="J1801" s="18">
        <v>10707.183999999999</v>
      </c>
      <c r="K1801" s="18" t="s">
        <v>65</v>
      </c>
      <c r="L1801" s="18" t="s">
        <v>50</v>
      </c>
      <c r="M1801" s="18" t="s">
        <v>24</v>
      </c>
      <c r="N1801" s="22">
        <f t="shared" si="168"/>
        <v>0.77419794291942001</v>
      </c>
      <c r="O1801" s="22">
        <f t="shared" si="169"/>
        <v>0.26280133732183703</v>
      </c>
      <c r="P1801" s="23">
        <f t="shared" si="170"/>
        <v>8.7225937005102894E-2</v>
      </c>
      <c r="Q1801" s="23">
        <f t="shared" si="171"/>
        <v>0.33190826916638799</v>
      </c>
      <c r="R1801" s="22">
        <f t="shared" si="172"/>
        <v>2.3749861308641198</v>
      </c>
      <c r="S1801" s="22">
        <f t="shared" si="173"/>
        <v>3.3749861308641198</v>
      </c>
    </row>
    <row r="1802" spans="1:19">
      <c r="A1802" s="18" t="s">
        <v>1841</v>
      </c>
      <c r="B1802" s="18" t="s">
        <v>26</v>
      </c>
      <c r="C1802" s="18" t="s">
        <v>21</v>
      </c>
      <c r="D1802" s="19">
        <v>44881</v>
      </c>
      <c r="E1802" s="20">
        <v>45491</v>
      </c>
      <c r="F1802" s="21">
        <v>1968</v>
      </c>
      <c r="G1802" s="21">
        <v>1339.2</v>
      </c>
      <c r="H1802" s="21">
        <v>158.4</v>
      </c>
      <c r="I1802" s="18">
        <v>2674.96</v>
      </c>
      <c r="J1802" s="18">
        <v>7305.0879999999997</v>
      </c>
      <c r="K1802" s="18" t="s">
        <v>38</v>
      </c>
      <c r="L1802" s="18" t="s">
        <v>50</v>
      </c>
      <c r="M1802" s="18" t="s">
        <v>32</v>
      </c>
      <c r="N1802" s="22">
        <f t="shared" si="168"/>
        <v>0.68048780487804905</v>
      </c>
      <c r="O1802" s="22">
        <f t="shared" si="169"/>
        <v>0.118279569892473</v>
      </c>
      <c r="P1802" s="23">
        <f t="shared" si="170"/>
        <v>1.9974313022700101</v>
      </c>
      <c r="Q1802" s="23">
        <f t="shared" si="171"/>
        <v>16.8873737373737</v>
      </c>
      <c r="R1802" s="22">
        <f t="shared" si="172"/>
        <v>1.73091485480157</v>
      </c>
      <c r="S1802" s="22">
        <f t="shared" si="173"/>
        <v>2.7309148548015698</v>
      </c>
    </row>
    <row r="1803" spans="1:19">
      <c r="A1803" s="18" t="s">
        <v>1842</v>
      </c>
      <c r="B1803" s="18" t="s">
        <v>26</v>
      </c>
      <c r="C1803" s="18" t="s">
        <v>21</v>
      </c>
      <c r="D1803" s="19">
        <v>44709</v>
      </c>
      <c r="E1803" s="20">
        <v>45310</v>
      </c>
      <c r="F1803" s="21">
        <v>73468.800000000003</v>
      </c>
      <c r="G1803" s="21">
        <v>34771.199999999997</v>
      </c>
      <c r="H1803" s="21">
        <v>23148.799999999999</v>
      </c>
      <c r="I1803" s="18">
        <v>2070.384</v>
      </c>
      <c r="J1803" s="18">
        <v>2774.8960000000002</v>
      </c>
      <c r="K1803" s="18" t="s">
        <v>43</v>
      </c>
      <c r="L1803" s="18" t="s">
        <v>44</v>
      </c>
      <c r="M1803" s="18" t="s">
        <v>32</v>
      </c>
      <c r="N1803" s="22">
        <f t="shared" si="168"/>
        <v>0.47327845289428999</v>
      </c>
      <c r="O1803" s="22">
        <f t="shared" si="169"/>
        <v>0.66574636480765703</v>
      </c>
      <c r="P1803" s="23">
        <f t="shared" si="170"/>
        <v>5.9543070127001697E-2</v>
      </c>
      <c r="Q1803" s="23">
        <f t="shared" si="171"/>
        <v>8.9438070223942498E-2</v>
      </c>
      <c r="R1803" s="22">
        <f t="shared" si="172"/>
        <v>0.34028083679162902</v>
      </c>
      <c r="S1803" s="22">
        <f t="shared" si="173"/>
        <v>1.3402808367916299</v>
      </c>
    </row>
    <row r="1804" spans="1:19">
      <c r="A1804" s="18" t="s">
        <v>1843</v>
      </c>
      <c r="B1804" s="18" t="s">
        <v>40</v>
      </c>
      <c r="C1804" s="18" t="s">
        <v>48</v>
      </c>
      <c r="D1804" s="19">
        <v>44749</v>
      </c>
      <c r="E1804" s="20">
        <v>45368</v>
      </c>
      <c r="F1804" s="21">
        <v>48395.199999999997</v>
      </c>
      <c r="G1804" s="21">
        <v>1515.2</v>
      </c>
      <c r="H1804" s="21">
        <v>262.39999999999998</v>
      </c>
      <c r="I1804" s="18">
        <v>5338.768</v>
      </c>
      <c r="J1804" s="18">
        <v>16612.8</v>
      </c>
      <c r="K1804" s="18" t="s">
        <v>38</v>
      </c>
      <c r="L1804" s="18" t="s">
        <v>35</v>
      </c>
      <c r="M1804" s="18" t="s">
        <v>32</v>
      </c>
      <c r="N1804" s="22">
        <f t="shared" si="168"/>
        <v>3.1308890137864899E-2</v>
      </c>
      <c r="O1804" s="22">
        <f t="shared" si="169"/>
        <v>0.17317845828933501</v>
      </c>
      <c r="P1804" s="23">
        <f t="shared" si="170"/>
        <v>3.5234741288278801</v>
      </c>
      <c r="Q1804" s="23">
        <f t="shared" si="171"/>
        <v>20.3459146341463</v>
      </c>
      <c r="R1804" s="22">
        <f t="shared" si="172"/>
        <v>2.1117291479981901</v>
      </c>
      <c r="S1804" s="22">
        <f t="shared" si="173"/>
        <v>3.1117291479981901</v>
      </c>
    </row>
    <row r="1805" spans="1:19">
      <c r="A1805" s="18" t="s">
        <v>1844</v>
      </c>
      <c r="B1805" s="18" t="s">
        <v>47</v>
      </c>
      <c r="C1805" s="18" t="s">
        <v>29</v>
      </c>
      <c r="D1805" s="19">
        <v>44729</v>
      </c>
      <c r="E1805" s="20">
        <v>45337</v>
      </c>
      <c r="F1805" s="21">
        <v>60979.199999999997</v>
      </c>
      <c r="G1805" s="21">
        <v>33856</v>
      </c>
      <c r="H1805" s="21">
        <v>14771.2</v>
      </c>
      <c r="I1805" s="18">
        <v>1535.616</v>
      </c>
      <c r="J1805" s="18">
        <v>2424.3519999999999</v>
      </c>
      <c r="K1805" s="18" t="s">
        <v>43</v>
      </c>
      <c r="L1805" s="18" t="s">
        <v>35</v>
      </c>
      <c r="M1805" s="18" t="s">
        <v>32</v>
      </c>
      <c r="N1805" s="22">
        <f t="shared" si="168"/>
        <v>0.55520570948782499</v>
      </c>
      <c r="O1805" s="22">
        <f t="shared" si="169"/>
        <v>0.43629489603024602</v>
      </c>
      <c r="P1805" s="23">
        <f t="shared" si="170"/>
        <v>4.5357277882797697E-2</v>
      </c>
      <c r="Q1805" s="23">
        <f t="shared" si="171"/>
        <v>0.10396013864818</v>
      </c>
      <c r="R1805" s="22">
        <f t="shared" si="172"/>
        <v>0.57874885388013697</v>
      </c>
      <c r="S1805" s="22">
        <f t="shared" si="173"/>
        <v>1.57874885388014</v>
      </c>
    </row>
    <row r="1806" spans="1:19">
      <c r="A1806" s="18" t="s">
        <v>1845</v>
      </c>
      <c r="B1806" s="18" t="s">
        <v>28</v>
      </c>
      <c r="C1806" s="18" t="s">
        <v>29</v>
      </c>
      <c r="D1806" s="19">
        <v>44697</v>
      </c>
      <c r="E1806" s="20">
        <v>45326</v>
      </c>
      <c r="F1806" s="21">
        <v>9420.7999999999993</v>
      </c>
      <c r="G1806" s="21">
        <v>2504</v>
      </c>
      <c r="H1806" s="21">
        <v>1312</v>
      </c>
      <c r="I1806" s="18">
        <v>4725.3280000000004</v>
      </c>
      <c r="J1806" s="18">
        <v>9950.9279999999999</v>
      </c>
      <c r="K1806" s="18" t="s">
        <v>38</v>
      </c>
      <c r="L1806" s="18" t="s">
        <v>35</v>
      </c>
      <c r="M1806" s="18" t="s">
        <v>32</v>
      </c>
      <c r="N1806" s="22">
        <f t="shared" si="168"/>
        <v>0.26579483695652201</v>
      </c>
      <c r="O1806" s="22">
        <f t="shared" si="169"/>
        <v>0.52396166134185296</v>
      </c>
      <c r="P1806" s="23">
        <f t="shared" si="170"/>
        <v>1.8871118210862601</v>
      </c>
      <c r="Q1806" s="23">
        <f t="shared" si="171"/>
        <v>3.60162195121951</v>
      </c>
      <c r="R1806" s="22">
        <f t="shared" si="172"/>
        <v>1.10587032265273</v>
      </c>
      <c r="S1806" s="22">
        <f t="shared" si="173"/>
        <v>2.1058703226527302</v>
      </c>
    </row>
    <row r="1807" spans="1:19">
      <c r="A1807" s="18" t="s">
        <v>1846</v>
      </c>
      <c r="B1807" s="18" t="s">
        <v>47</v>
      </c>
      <c r="C1807" s="18" t="s">
        <v>29</v>
      </c>
      <c r="D1807" s="19">
        <v>44810</v>
      </c>
      <c r="E1807" s="20">
        <v>45431</v>
      </c>
      <c r="F1807" s="21">
        <v>60316.800000000003</v>
      </c>
      <c r="G1807" s="21">
        <v>16878.400000000001</v>
      </c>
      <c r="H1807" s="21">
        <v>9905.6</v>
      </c>
      <c r="I1807" s="18">
        <v>2326.7199999999998</v>
      </c>
      <c r="J1807" s="18">
        <v>7680.5280000000002</v>
      </c>
      <c r="K1807" s="18" t="s">
        <v>43</v>
      </c>
      <c r="L1807" s="18" t="s">
        <v>50</v>
      </c>
      <c r="M1807" s="18" t="s">
        <v>32</v>
      </c>
      <c r="N1807" s="22">
        <f t="shared" si="168"/>
        <v>0.27982916865616198</v>
      </c>
      <c r="O1807" s="22">
        <f t="shared" si="169"/>
        <v>0.58688027301166001</v>
      </c>
      <c r="P1807" s="23">
        <f t="shared" si="170"/>
        <v>0.137851929092805</v>
      </c>
      <c r="Q1807" s="23">
        <f t="shared" si="171"/>
        <v>0.23488935551607201</v>
      </c>
      <c r="R1807" s="22">
        <f t="shared" si="172"/>
        <v>2.3010108650804599</v>
      </c>
      <c r="S1807" s="22">
        <f t="shared" si="173"/>
        <v>3.3010108650804599</v>
      </c>
    </row>
    <row r="1808" spans="1:19">
      <c r="A1808" s="18" t="s">
        <v>1847</v>
      </c>
      <c r="B1808" s="18" t="s">
        <v>28</v>
      </c>
      <c r="C1808" s="18" t="s">
        <v>41</v>
      </c>
      <c r="D1808" s="19">
        <v>44706</v>
      </c>
      <c r="E1808" s="20">
        <v>45318</v>
      </c>
      <c r="F1808" s="21">
        <v>48742.400000000001</v>
      </c>
      <c r="G1808" s="21">
        <v>5969.6</v>
      </c>
      <c r="H1808" s="21">
        <v>3980.8</v>
      </c>
      <c r="I1808" s="18">
        <v>5086.6080000000002</v>
      </c>
      <c r="J1808" s="18">
        <v>13867.856</v>
      </c>
      <c r="K1808" s="18" t="s">
        <v>22</v>
      </c>
      <c r="L1808" s="18" t="s">
        <v>44</v>
      </c>
      <c r="M1808" s="18" t="s">
        <v>24</v>
      </c>
      <c r="N1808" s="22">
        <f t="shared" si="168"/>
        <v>0.12247242647058799</v>
      </c>
      <c r="O1808" s="22">
        <f t="shared" si="169"/>
        <v>0.66684534977217902</v>
      </c>
      <c r="P1808" s="23">
        <f t="shared" si="170"/>
        <v>0.852085231841329</v>
      </c>
      <c r="Q1808" s="23">
        <f t="shared" si="171"/>
        <v>1.27778536977492</v>
      </c>
      <c r="R1808" s="22">
        <f t="shared" si="172"/>
        <v>1.72634651618525</v>
      </c>
      <c r="S1808" s="22">
        <f t="shared" si="173"/>
        <v>2.72634651618525</v>
      </c>
    </row>
    <row r="1809" spans="1:19">
      <c r="A1809" s="18" t="s">
        <v>1848</v>
      </c>
      <c r="B1809" s="18" t="s">
        <v>28</v>
      </c>
      <c r="C1809" s="18" t="s">
        <v>48</v>
      </c>
      <c r="D1809" s="19">
        <v>44887</v>
      </c>
      <c r="E1809" s="20">
        <v>45489</v>
      </c>
      <c r="F1809" s="21">
        <v>76132.800000000003</v>
      </c>
      <c r="G1809" s="21">
        <v>39064</v>
      </c>
      <c r="H1809" s="21">
        <v>18307.2</v>
      </c>
      <c r="I1809" s="18">
        <v>4487.0879999999997</v>
      </c>
      <c r="J1809" s="18">
        <v>12722.992</v>
      </c>
      <c r="K1809" s="18" t="s">
        <v>38</v>
      </c>
      <c r="L1809" s="18" t="s">
        <v>50</v>
      </c>
      <c r="M1809" s="18" t="s">
        <v>24</v>
      </c>
      <c r="N1809" s="22">
        <f t="shared" si="168"/>
        <v>0.51310341928840097</v>
      </c>
      <c r="O1809" s="22">
        <f t="shared" si="169"/>
        <v>0.46864632398115902</v>
      </c>
      <c r="P1809" s="23">
        <f t="shared" si="170"/>
        <v>0.11486504198238801</v>
      </c>
      <c r="Q1809" s="23">
        <f t="shared" si="171"/>
        <v>0.24509963293130599</v>
      </c>
      <c r="R1809" s="22">
        <f t="shared" si="172"/>
        <v>1.83546745684506</v>
      </c>
      <c r="S1809" s="22">
        <f t="shared" si="173"/>
        <v>2.83546745684506</v>
      </c>
    </row>
    <row r="1810" spans="1:19">
      <c r="A1810" s="18" t="s">
        <v>1849</v>
      </c>
      <c r="B1810" s="18" t="s">
        <v>40</v>
      </c>
      <c r="C1810" s="18" t="s">
        <v>48</v>
      </c>
      <c r="D1810" s="19">
        <v>44771</v>
      </c>
      <c r="E1810" s="20">
        <v>45399</v>
      </c>
      <c r="F1810" s="21">
        <v>72619.199999999997</v>
      </c>
      <c r="G1810" s="21">
        <v>41539.199999999997</v>
      </c>
      <c r="H1810" s="21">
        <v>19736</v>
      </c>
      <c r="I1810" s="18">
        <v>3092</v>
      </c>
      <c r="J1810" s="18">
        <v>10320.656000000001</v>
      </c>
      <c r="K1810" s="18" t="s">
        <v>65</v>
      </c>
      <c r="L1810" s="18" t="s">
        <v>23</v>
      </c>
      <c r="M1810" s="18" t="s">
        <v>32</v>
      </c>
      <c r="N1810" s="22">
        <f t="shared" si="168"/>
        <v>0.57201401282305497</v>
      </c>
      <c r="O1810" s="22">
        <f t="shared" si="169"/>
        <v>0.47511747939295901</v>
      </c>
      <c r="P1810" s="23">
        <f t="shared" si="170"/>
        <v>7.4435713735459499E-2</v>
      </c>
      <c r="Q1810" s="23">
        <f t="shared" si="171"/>
        <v>0.156668017835428</v>
      </c>
      <c r="R1810" s="22">
        <f t="shared" si="172"/>
        <v>2.3378576972833098</v>
      </c>
      <c r="S1810" s="22">
        <f t="shared" si="173"/>
        <v>3.3378576972833098</v>
      </c>
    </row>
    <row r="1811" spans="1:19">
      <c r="A1811" s="18" t="s">
        <v>1850</v>
      </c>
      <c r="B1811" s="18" t="s">
        <v>28</v>
      </c>
      <c r="C1811" s="18" t="s">
        <v>29</v>
      </c>
      <c r="D1811" s="19">
        <v>44899</v>
      </c>
      <c r="E1811" s="20">
        <v>45508</v>
      </c>
      <c r="F1811" s="21">
        <v>17512</v>
      </c>
      <c r="G1811" s="21">
        <v>1891.2</v>
      </c>
      <c r="H1811" s="21">
        <v>1473.6</v>
      </c>
      <c r="I1811" s="18">
        <v>5393.1840000000002</v>
      </c>
      <c r="J1811" s="18">
        <v>14788.224</v>
      </c>
      <c r="K1811" s="18" t="s">
        <v>30</v>
      </c>
      <c r="L1811" s="18" t="s">
        <v>31</v>
      </c>
      <c r="M1811" s="18" t="s">
        <v>32</v>
      </c>
      <c r="N1811" s="22">
        <f t="shared" si="168"/>
        <v>0.10799451804476901</v>
      </c>
      <c r="O1811" s="22">
        <f t="shared" si="169"/>
        <v>0.77918781725888298</v>
      </c>
      <c r="P1811" s="23">
        <f t="shared" si="170"/>
        <v>2.8517258883248702</v>
      </c>
      <c r="Q1811" s="23">
        <f t="shared" si="171"/>
        <v>3.6598697068403898</v>
      </c>
      <c r="R1811" s="22">
        <f t="shared" si="172"/>
        <v>1.74202103989035</v>
      </c>
      <c r="S1811" s="22">
        <f t="shared" si="173"/>
        <v>2.74202103989035</v>
      </c>
    </row>
    <row r="1812" spans="1:19">
      <c r="A1812" s="18" t="s">
        <v>1851</v>
      </c>
      <c r="B1812" s="18" t="s">
        <v>40</v>
      </c>
      <c r="C1812" s="18" t="s">
        <v>41</v>
      </c>
      <c r="D1812" s="19">
        <v>44857</v>
      </c>
      <c r="E1812" s="20">
        <v>45464</v>
      </c>
      <c r="F1812" s="21">
        <v>17276.8</v>
      </c>
      <c r="G1812" s="21">
        <v>795.2</v>
      </c>
      <c r="H1812" s="21">
        <v>400</v>
      </c>
      <c r="I1812" s="18">
        <v>2813.2159999999999</v>
      </c>
      <c r="J1812" s="18">
        <v>8571.3279999999995</v>
      </c>
      <c r="K1812" s="18" t="s">
        <v>22</v>
      </c>
      <c r="L1812" s="18" t="s">
        <v>31</v>
      </c>
      <c r="M1812" s="18" t="s">
        <v>32</v>
      </c>
      <c r="N1812" s="22">
        <f t="shared" si="168"/>
        <v>4.6027042044823101E-2</v>
      </c>
      <c r="O1812" s="22">
        <f t="shared" si="169"/>
        <v>0.50301810865191099</v>
      </c>
      <c r="P1812" s="23">
        <f t="shared" si="170"/>
        <v>3.53774647887324</v>
      </c>
      <c r="Q1812" s="23">
        <f t="shared" si="171"/>
        <v>7.0330399999999997</v>
      </c>
      <c r="R1812" s="22">
        <f t="shared" si="172"/>
        <v>2.0468076393707402</v>
      </c>
      <c r="S1812" s="22">
        <f t="shared" si="173"/>
        <v>3.0468076393707402</v>
      </c>
    </row>
    <row r="1813" spans="1:19">
      <c r="A1813" s="18" t="s">
        <v>1852</v>
      </c>
      <c r="B1813" s="18" t="s">
        <v>26</v>
      </c>
      <c r="C1813" s="18" t="s">
        <v>29</v>
      </c>
      <c r="D1813" s="19">
        <v>44856</v>
      </c>
      <c r="E1813" s="20">
        <v>45481</v>
      </c>
      <c r="F1813" s="21">
        <v>29649.599999999999</v>
      </c>
      <c r="G1813" s="21">
        <v>16950.400000000001</v>
      </c>
      <c r="H1813" s="21">
        <v>5550.4</v>
      </c>
      <c r="I1813" s="18">
        <v>5991.0079999999998</v>
      </c>
      <c r="J1813" s="18">
        <v>22247.472000000002</v>
      </c>
      <c r="K1813" s="18" t="s">
        <v>38</v>
      </c>
      <c r="L1813" s="18" t="s">
        <v>44</v>
      </c>
      <c r="M1813" s="18" t="s">
        <v>32</v>
      </c>
      <c r="N1813" s="22">
        <f t="shared" si="168"/>
        <v>0.57169068048135596</v>
      </c>
      <c r="O1813" s="22">
        <f t="shared" si="169"/>
        <v>0.32744949971682102</v>
      </c>
      <c r="P1813" s="23">
        <f t="shared" si="170"/>
        <v>0.35344345856144999</v>
      </c>
      <c r="Q1813" s="23">
        <f t="shared" si="171"/>
        <v>1.0793831075237801</v>
      </c>
      <c r="R1813" s="22">
        <f t="shared" si="172"/>
        <v>2.7134772645938701</v>
      </c>
      <c r="S1813" s="22">
        <f t="shared" si="173"/>
        <v>3.7134772645938701</v>
      </c>
    </row>
    <row r="1814" spans="1:19">
      <c r="A1814" s="18" t="s">
        <v>1853</v>
      </c>
      <c r="B1814" s="18" t="s">
        <v>20</v>
      </c>
      <c r="C1814" s="18" t="s">
        <v>21</v>
      </c>
      <c r="D1814" s="19">
        <v>44708</v>
      </c>
      <c r="E1814" s="20">
        <v>45320</v>
      </c>
      <c r="F1814" s="21">
        <v>72377.600000000006</v>
      </c>
      <c r="G1814" s="21">
        <v>38817.599999999999</v>
      </c>
      <c r="H1814" s="21">
        <v>21302.400000000001</v>
      </c>
      <c r="I1814" s="18">
        <v>2319.4879999999998</v>
      </c>
      <c r="J1814" s="18">
        <v>7951.8879999999999</v>
      </c>
      <c r="K1814" s="18" t="s">
        <v>22</v>
      </c>
      <c r="L1814" s="18" t="s">
        <v>23</v>
      </c>
      <c r="M1814" s="18" t="s">
        <v>24</v>
      </c>
      <c r="N1814" s="22">
        <f t="shared" si="168"/>
        <v>0.53632062958705495</v>
      </c>
      <c r="O1814" s="22">
        <f t="shared" si="169"/>
        <v>0.54878199579572196</v>
      </c>
      <c r="P1814" s="23">
        <f t="shared" si="170"/>
        <v>5.9753513869997103E-2</v>
      </c>
      <c r="Q1814" s="23">
        <f t="shared" si="171"/>
        <v>0.108883881628361</v>
      </c>
      <c r="R1814" s="22">
        <f t="shared" si="172"/>
        <v>2.4282945201699699</v>
      </c>
      <c r="S1814" s="22">
        <f t="shared" si="173"/>
        <v>3.4282945201699699</v>
      </c>
    </row>
    <row r="1815" spans="1:19">
      <c r="A1815" s="18" t="s">
        <v>1854</v>
      </c>
      <c r="B1815" s="18" t="s">
        <v>47</v>
      </c>
      <c r="C1815" s="18" t="s">
        <v>41</v>
      </c>
      <c r="D1815" s="19">
        <v>44936</v>
      </c>
      <c r="E1815" s="20">
        <v>45546</v>
      </c>
      <c r="F1815" s="21">
        <v>54379.199999999997</v>
      </c>
      <c r="G1815" s="21">
        <v>51819.199999999997</v>
      </c>
      <c r="H1815" s="21">
        <v>31577.599999999999</v>
      </c>
      <c r="I1815" s="18">
        <v>635.29600000000005</v>
      </c>
      <c r="J1815" s="18">
        <v>1549.104</v>
      </c>
      <c r="K1815" s="18" t="s">
        <v>38</v>
      </c>
      <c r="L1815" s="18" t="s">
        <v>23</v>
      </c>
      <c r="M1815" s="18" t="s">
        <v>24</v>
      </c>
      <c r="N1815" s="22">
        <f t="shared" si="168"/>
        <v>0.95292317650866498</v>
      </c>
      <c r="O1815" s="22">
        <f t="shared" si="169"/>
        <v>0.60938030691326805</v>
      </c>
      <c r="P1815" s="23">
        <f t="shared" si="170"/>
        <v>1.22598573501714E-2</v>
      </c>
      <c r="Q1815" s="23">
        <f t="shared" si="171"/>
        <v>2.0118565058775802E-2</v>
      </c>
      <c r="R1815" s="22">
        <f t="shared" si="172"/>
        <v>1.43839721956379</v>
      </c>
      <c r="S1815" s="22">
        <f t="shared" si="173"/>
        <v>2.43839721956379</v>
      </c>
    </row>
    <row r="1816" spans="1:19">
      <c r="A1816" s="18" t="s">
        <v>1855</v>
      </c>
      <c r="B1816" s="18" t="s">
        <v>20</v>
      </c>
      <c r="C1816" s="18" t="s">
        <v>41</v>
      </c>
      <c r="D1816" s="19">
        <v>44826</v>
      </c>
      <c r="E1816" s="20">
        <v>45445</v>
      </c>
      <c r="F1816" s="21">
        <v>39320</v>
      </c>
      <c r="G1816" s="21">
        <v>9876.7999999999993</v>
      </c>
      <c r="H1816" s="21">
        <v>7433.6</v>
      </c>
      <c r="I1816" s="18">
        <v>7068.1120000000001</v>
      </c>
      <c r="J1816" s="18">
        <v>27201.151999999998</v>
      </c>
      <c r="K1816" s="18" t="s">
        <v>38</v>
      </c>
      <c r="L1816" s="18" t="s">
        <v>35</v>
      </c>
      <c r="M1816" s="18" t="s">
        <v>24</v>
      </c>
      <c r="N1816" s="22">
        <f t="shared" si="168"/>
        <v>0.25119023397762003</v>
      </c>
      <c r="O1816" s="22">
        <f t="shared" si="169"/>
        <v>0.75263243155677995</v>
      </c>
      <c r="P1816" s="23">
        <f t="shared" si="170"/>
        <v>0.71562773367892396</v>
      </c>
      <c r="Q1816" s="23">
        <f t="shared" si="171"/>
        <v>0.95083297460180805</v>
      </c>
      <c r="R1816" s="22">
        <f t="shared" si="172"/>
        <v>2.8484325092754599</v>
      </c>
      <c r="S1816" s="22">
        <f t="shared" si="173"/>
        <v>3.8484325092754599</v>
      </c>
    </row>
    <row r="1817" spans="1:19">
      <c r="A1817" s="18" t="s">
        <v>1856</v>
      </c>
      <c r="B1817" s="18" t="s">
        <v>20</v>
      </c>
      <c r="C1817" s="18" t="s">
        <v>29</v>
      </c>
      <c r="D1817" s="19">
        <v>44987</v>
      </c>
      <c r="E1817" s="20">
        <v>45601</v>
      </c>
      <c r="F1817" s="21">
        <v>55576</v>
      </c>
      <c r="G1817" s="21">
        <v>38715.199999999997</v>
      </c>
      <c r="H1817" s="21">
        <v>8555.2000000000007</v>
      </c>
      <c r="I1817" s="18">
        <v>2385.6640000000002</v>
      </c>
      <c r="J1817" s="18">
        <v>4670.2719999999999</v>
      </c>
      <c r="K1817" s="18" t="s">
        <v>65</v>
      </c>
      <c r="L1817" s="18" t="s">
        <v>50</v>
      </c>
      <c r="M1817" s="18" t="s">
        <v>24</v>
      </c>
      <c r="N1817" s="22">
        <f t="shared" si="168"/>
        <v>0.69661724485389398</v>
      </c>
      <c r="O1817" s="22">
        <f t="shared" si="169"/>
        <v>0.22097780716617799</v>
      </c>
      <c r="P1817" s="23">
        <f t="shared" si="170"/>
        <v>6.1620862090341802E-2</v>
      </c>
      <c r="Q1817" s="23">
        <f t="shared" si="171"/>
        <v>0.27885543295305798</v>
      </c>
      <c r="R1817" s="22">
        <f t="shared" si="172"/>
        <v>0.95764030475372897</v>
      </c>
      <c r="S1817" s="22">
        <f t="shared" si="173"/>
        <v>1.9576403047537301</v>
      </c>
    </row>
    <row r="1818" spans="1:19">
      <c r="A1818" s="18" t="s">
        <v>1857</v>
      </c>
      <c r="B1818" s="18" t="s">
        <v>47</v>
      </c>
      <c r="C1818" s="18" t="s">
        <v>41</v>
      </c>
      <c r="D1818" s="19">
        <v>44840</v>
      </c>
      <c r="E1818" s="20">
        <v>45461</v>
      </c>
      <c r="F1818" s="21">
        <v>21912</v>
      </c>
      <c r="G1818" s="21">
        <v>17595.2</v>
      </c>
      <c r="H1818" s="21">
        <v>7420.8</v>
      </c>
      <c r="I1818" s="18">
        <v>1956.3040000000001</v>
      </c>
      <c r="J1818" s="18">
        <v>6536.3360000000002</v>
      </c>
      <c r="K1818" s="18" t="s">
        <v>22</v>
      </c>
      <c r="L1818" s="18" t="s">
        <v>23</v>
      </c>
      <c r="M1818" s="18" t="s">
        <v>32</v>
      </c>
      <c r="N1818" s="22">
        <f t="shared" si="168"/>
        <v>0.80299379335523902</v>
      </c>
      <c r="O1818" s="22">
        <f t="shared" si="169"/>
        <v>0.42175138674183899</v>
      </c>
      <c r="P1818" s="23">
        <f t="shared" si="170"/>
        <v>0.111183959261617</v>
      </c>
      <c r="Q1818" s="23">
        <f t="shared" si="171"/>
        <v>0.26362440707201401</v>
      </c>
      <c r="R1818" s="22">
        <f t="shared" si="172"/>
        <v>2.3411657901839402</v>
      </c>
      <c r="S1818" s="22">
        <f t="shared" si="173"/>
        <v>3.3411657901839402</v>
      </c>
    </row>
    <row r="1819" spans="1:19">
      <c r="A1819" s="18" t="s">
        <v>1858</v>
      </c>
      <c r="B1819" s="18" t="s">
        <v>47</v>
      </c>
      <c r="C1819" s="18" t="s">
        <v>21</v>
      </c>
      <c r="D1819" s="19">
        <v>44795</v>
      </c>
      <c r="E1819" s="20">
        <v>45413</v>
      </c>
      <c r="F1819" s="21">
        <v>6048</v>
      </c>
      <c r="G1819" s="21">
        <v>5670.4</v>
      </c>
      <c r="H1819" s="21">
        <v>1953.6</v>
      </c>
      <c r="I1819" s="18">
        <v>7316.4319999999998</v>
      </c>
      <c r="J1819" s="18">
        <v>19503.488000000001</v>
      </c>
      <c r="K1819" s="18" t="s">
        <v>30</v>
      </c>
      <c r="L1819" s="18" t="s">
        <v>23</v>
      </c>
      <c r="M1819" s="18" t="s">
        <v>24</v>
      </c>
      <c r="N1819" s="22">
        <f t="shared" si="168"/>
        <v>0.93756613756613705</v>
      </c>
      <c r="O1819" s="22">
        <f t="shared" si="169"/>
        <v>0.344525959367946</v>
      </c>
      <c r="P1819" s="23">
        <f t="shared" si="170"/>
        <v>1.2902849887133201</v>
      </c>
      <c r="Q1819" s="23">
        <f t="shared" si="171"/>
        <v>3.7451023751023702</v>
      </c>
      <c r="R1819" s="22">
        <f t="shared" si="172"/>
        <v>1.6657102806395201</v>
      </c>
      <c r="S1819" s="22">
        <f t="shared" si="173"/>
        <v>2.6657102806395301</v>
      </c>
    </row>
    <row r="1820" spans="1:19">
      <c r="A1820" s="18" t="s">
        <v>1859</v>
      </c>
      <c r="B1820" s="18" t="s">
        <v>28</v>
      </c>
      <c r="C1820" s="18" t="s">
        <v>41</v>
      </c>
      <c r="D1820" s="19">
        <v>44743</v>
      </c>
      <c r="E1820" s="20">
        <v>45365</v>
      </c>
      <c r="F1820" s="21">
        <v>45844.800000000003</v>
      </c>
      <c r="G1820" s="21">
        <v>45075.199999999997</v>
      </c>
      <c r="H1820" s="21">
        <v>32676.799999999999</v>
      </c>
      <c r="I1820" s="18">
        <v>3878.5279999999998</v>
      </c>
      <c r="J1820" s="18">
        <v>5502.7039999999997</v>
      </c>
      <c r="K1820" s="18" t="s">
        <v>22</v>
      </c>
      <c r="L1820" s="18" t="s">
        <v>44</v>
      </c>
      <c r="M1820" s="18" t="s">
        <v>24</v>
      </c>
      <c r="N1820" s="22">
        <f t="shared" si="168"/>
        <v>0.983212927093149</v>
      </c>
      <c r="O1820" s="22">
        <f t="shared" si="169"/>
        <v>0.72493965639642199</v>
      </c>
      <c r="P1820" s="23">
        <f t="shared" si="170"/>
        <v>8.6045719153769698E-2</v>
      </c>
      <c r="Q1820" s="23">
        <f t="shared" si="171"/>
        <v>0.118693629731185</v>
      </c>
      <c r="R1820" s="22">
        <f t="shared" si="172"/>
        <v>0.41876093198244302</v>
      </c>
      <c r="S1820" s="22">
        <f t="shared" si="173"/>
        <v>1.4187609319824399</v>
      </c>
    </row>
    <row r="1821" spans="1:19">
      <c r="A1821" s="18" t="s">
        <v>1860</v>
      </c>
      <c r="B1821" s="18" t="s">
        <v>34</v>
      </c>
      <c r="C1821" s="18" t="s">
        <v>21</v>
      </c>
      <c r="D1821" s="19">
        <v>44806</v>
      </c>
      <c r="E1821" s="20">
        <v>45428</v>
      </c>
      <c r="F1821" s="21">
        <v>6211.2</v>
      </c>
      <c r="G1821" s="21">
        <v>1446.4</v>
      </c>
      <c r="H1821" s="21">
        <v>1347.2</v>
      </c>
      <c r="I1821" s="18">
        <v>3804.96</v>
      </c>
      <c r="J1821" s="18">
        <v>6078.2079999999996</v>
      </c>
      <c r="K1821" s="18" t="s">
        <v>43</v>
      </c>
      <c r="L1821" s="18" t="s">
        <v>35</v>
      </c>
      <c r="M1821" s="18" t="s">
        <v>32</v>
      </c>
      <c r="N1821" s="22">
        <f t="shared" si="168"/>
        <v>0.232869654817105</v>
      </c>
      <c r="O1821" s="22">
        <f t="shared" si="169"/>
        <v>0.93141592920353999</v>
      </c>
      <c r="P1821" s="23">
        <f t="shared" si="170"/>
        <v>2.6306415929203499</v>
      </c>
      <c r="Q1821" s="23">
        <f t="shared" si="171"/>
        <v>2.8243467933491702</v>
      </c>
      <c r="R1821" s="22">
        <f t="shared" si="172"/>
        <v>0.59744333711786701</v>
      </c>
      <c r="S1821" s="22">
        <f t="shared" si="173"/>
        <v>1.59744333711787</v>
      </c>
    </row>
    <row r="1822" spans="1:19">
      <c r="A1822" s="18" t="s">
        <v>1861</v>
      </c>
      <c r="B1822" s="18" t="s">
        <v>28</v>
      </c>
      <c r="C1822" s="18" t="s">
        <v>41</v>
      </c>
      <c r="D1822" s="19">
        <v>44956</v>
      </c>
      <c r="E1822" s="20">
        <v>45580</v>
      </c>
      <c r="F1822" s="21">
        <v>62176</v>
      </c>
      <c r="G1822" s="21">
        <v>55089.599999999999</v>
      </c>
      <c r="H1822" s="21">
        <v>15056</v>
      </c>
      <c r="I1822" s="18">
        <v>4535.7120000000004</v>
      </c>
      <c r="J1822" s="18">
        <v>17086.704000000002</v>
      </c>
      <c r="K1822" s="18" t="s">
        <v>38</v>
      </c>
      <c r="L1822" s="18" t="s">
        <v>23</v>
      </c>
      <c r="M1822" s="18" t="s">
        <v>32</v>
      </c>
      <c r="N1822" s="22">
        <f t="shared" si="168"/>
        <v>0.88602676273803405</v>
      </c>
      <c r="O1822" s="22">
        <f t="shared" si="169"/>
        <v>0.27330022363567702</v>
      </c>
      <c r="P1822" s="23">
        <f t="shared" si="170"/>
        <v>8.2333362376927802E-2</v>
      </c>
      <c r="Q1822" s="23">
        <f t="shared" si="171"/>
        <v>0.30125611052072299</v>
      </c>
      <c r="R1822" s="22">
        <f t="shared" si="172"/>
        <v>2.7671492369885899</v>
      </c>
      <c r="S1822" s="22">
        <f t="shared" si="173"/>
        <v>3.7671492369885899</v>
      </c>
    </row>
    <row r="1823" spans="1:19">
      <c r="A1823" s="18" t="s">
        <v>1862</v>
      </c>
      <c r="B1823" s="18" t="s">
        <v>28</v>
      </c>
      <c r="C1823" s="18" t="s">
        <v>21</v>
      </c>
      <c r="D1823" s="19">
        <v>44877</v>
      </c>
      <c r="E1823" s="20">
        <v>45481</v>
      </c>
      <c r="F1823" s="21">
        <v>34499.199999999997</v>
      </c>
      <c r="G1823" s="21">
        <v>4041.6</v>
      </c>
      <c r="H1823" s="21">
        <v>281.60000000000002</v>
      </c>
      <c r="I1823" s="18">
        <v>4272</v>
      </c>
      <c r="J1823" s="18">
        <v>11138.432000000001</v>
      </c>
      <c r="K1823" s="18" t="s">
        <v>22</v>
      </c>
      <c r="L1823" s="18" t="s">
        <v>23</v>
      </c>
      <c r="M1823" s="18" t="s">
        <v>32</v>
      </c>
      <c r="N1823" s="22">
        <f t="shared" si="168"/>
        <v>0.117150542621278</v>
      </c>
      <c r="O1823" s="22">
        <f t="shared" si="169"/>
        <v>6.9675376088677798E-2</v>
      </c>
      <c r="P1823" s="23">
        <f t="shared" si="170"/>
        <v>1.0570071258907401</v>
      </c>
      <c r="Q1823" s="23">
        <f t="shared" si="171"/>
        <v>15.170454545454501</v>
      </c>
      <c r="R1823" s="22">
        <f t="shared" si="172"/>
        <v>1.6073108614232201</v>
      </c>
      <c r="S1823" s="22">
        <f t="shared" si="173"/>
        <v>2.6073108614232199</v>
      </c>
    </row>
    <row r="1824" spans="1:19">
      <c r="A1824" s="18" t="s">
        <v>1863</v>
      </c>
      <c r="B1824" s="18" t="s">
        <v>20</v>
      </c>
      <c r="C1824" s="18" t="s">
        <v>21</v>
      </c>
      <c r="D1824" s="19">
        <v>44769</v>
      </c>
      <c r="E1824" s="20">
        <v>45379</v>
      </c>
      <c r="F1824" s="21">
        <v>1860.8</v>
      </c>
      <c r="G1824" s="21">
        <v>1448</v>
      </c>
      <c r="H1824" s="21">
        <v>574.4</v>
      </c>
      <c r="I1824" s="18">
        <v>5818.4480000000003</v>
      </c>
      <c r="J1824" s="18">
        <v>7515.9520000000002</v>
      </c>
      <c r="K1824" s="18" t="s">
        <v>38</v>
      </c>
      <c r="L1824" s="18" t="s">
        <v>31</v>
      </c>
      <c r="M1824" s="18" t="s">
        <v>32</v>
      </c>
      <c r="N1824" s="22">
        <f t="shared" si="168"/>
        <v>0.77815993121238203</v>
      </c>
      <c r="O1824" s="22">
        <f t="shared" si="169"/>
        <v>0.39668508287292797</v>
      </c>
      <c r="P1824" s="23">
        <f t="shared" si="170"/>
        <v>4.0182651933701701</v>
      </c>
      <c r="Q1824" s="23">
        <f t="shared" si="171"/>
        <v>10.1296100278552</v>
      </c>
      <c r="R1824" s="22">
        <f t="shared" si="172"/>
        <v>0.29174515265926598</v>
      </c>
      <c r="S1824" s="22">
        <f t="shared" si="173"/>
        <v>1.29174515265927</v>
      </c>
    </row>
    <row r="1825" spans="1:19">
      <c r="A1825" s="18" t="s">
        <v>1864</v>
      </c>
      <c r="B1825" s="18" t="s">
        <v>26</v>
      </c>
      <c r="C1825" s="18" t="s">
        <v>21</v>
      </c>
      <c r="D1825" s="19">
        <v>44982</v>
      </c>
      <c r="E1825" s="20">
        <v>45588</v>
      </c>
      <c r="F1825" s="21">
        <v>48430.400000000001</v>
      </c>
      <c r="G1825" s="21">
        <v>36665.599999999999</v>
      </c>
      <c r="H1825" s="21">
        <v>19454.400000000001</v>
      </c>
      <c r="I1825" s="18">
        <v>4690.0479999999998</v>
      </c>
      <c r="J1825" s="18">
        <v>12314.4</v>
      </c>
      <c r="K1825" s="18" t="s">
        <v>38</v>
      </c>
      <c r="L1825" s="18" t="s">
        <v>23</v>
      </c>
      <c r="M1825" s="18" t="s">
        <v>24</v>
      </c>
      <c r="N1825" s="22">
        <f t="shared" si="168"/>
        <v>0.75707819881727201</v>
      </c>
      <c r="O1825" s="22">
        <f t="shared" si="169"/>
        <v>0.53058998079944197</v>
      </c>
      <c r="P1825" s="23">
        <f t="shared" si="170"/>
        <v>0.12791412113806899</v>
      </c>
      <c r="Q1825" s="23">
        <f t="shared" si="171"/>
        <v>0.241079036104943</v>
      </c>
      <c r="R1825" s="22">
        <f t="shared" si="172"/>
        <v>1.6256447695204801</v>
      </c>
      <c r="S1825" s="22">
        <f t="shared" si="173"/>
        <v>2.6256447695204801</v>
      </c>
    </row>
    <row r="1826" spans="1:19">
      <c r="A1826" s="18" t="s">
        <v>1865</v>
      </c>
      <c r="B1826" s="18" t="s">
        <v>40</v>
      </c>
      <c r="C1826" s="18" t="s">
        <v>21</v>
      </c>
      <c r="D1826" s="19">
        <v>44876</v>
      </c>
      <c r="E1826" s="20">
        <v>45490</v>
      </c>
      <c r="F1826" s="21">
        <v>73760</v>
      </c>
      <c r="G1826" s="21">
        <v>12427.2</v>
      </c>
      <c r="H1826" s="21">
        <v>11766.4</v>
      </c>
      <c r="I1826" s="18">
        <v>5297.9679999999998</v>
      </c>
      <c r="J1826" s="18">
        <v>19951.455999999998</v>
      </c>
      <c r="K1826" s="18" t="s">
        <v>30</v>
      </c>
      <c r="L1826" s="18" t="s">
        <v>23</v>
      </c>
      <c r="M1826" s="18" t="s">
        <v>32</v>
      </c>
      <c r="N1826" s="22">
        <f t="shared" si="168"/>
        <v>0.16848156182212601</v>
      </c>
      <c r="O1826" s="22">
        <f t="shared" si="169"/>
        <v>0.94682631646710402</v>
      </c>
      <c r="P1826" s="23">
        <f t="shared" si="170"/>
        <v>0.42632032959958799</v>
      </c>
      <c r="Q1826" s="23">
        <f t="shared" si="171"/>
        <v>0.45026244220832201</v>
      </c>
      <c r="R1826" s="22">
        <f t="shared" si="172"/>
        <v>2.7658694805253599</v>
      </c>
      <c r="S1826" s="22">
        <f t="shared" si="173"/>
        <v>3.7658694805253599</v>
      </c>
    </row>
    <row r="1827" spans="1:19">
      <c r="A1827" s="18" t="s">
        <v>1866</v>
      </c>
      <c r="B1827" s="18" t="s">
        <v>34</v>
      </c>
      <c r="C1827" s="18" t="s">
        <v>21</v>
      </c>
      <c r="D1827" s="19">
        <v>44935</v>
      </c>
      <c r="E1827" s="20">
        <v>45549</v>
      </c>
      <c r="F1827" s="21">
        <v>60230.400000000001</v>
      </c>
      <c r="G1827" s="21">
        <v>854.4</v>
      </c>
      <c r="H1827" s="21">
        <v>435.2</v>
      </c>
      <c r="I1827" s="18">
        <v>3147.8719999999998</v>
      </c>
      <c r="J1827" s="18">
        <v>10288.144</v>
      </c>
      <c r="K1827" s="18" t="s">
        <v>30</v>
      </c>
      <c r="L1827" s="18" t="s">
        <v>23</v>
      </c>
      <c r="M1827" s="18" t="s">
        <v>32</v>
      </c>
      <c r="N1827" s="22">
        <f t="shared" si="168"/>
        <v>1.4185527574115399E-2</v>
      </c>
      <c r="O1827" s="22">
        <f t="shared" si="169"/>
        <v>0.50936329588014995</v>
      </c>
      <c r="P1827" s="23">
        <f t="shared" si="170"/>
        <v>3.6843071161048702</v>
      </c>
      <c r="Q1827" s="23">
        <f t="shared" si="171"/>
        <v>7.2331617647058799</v>
      </c>
      <c r="R1827" s="22">
        <f t="shared" si="172"/>
        <v>2.2682853686554001</v>
      </c>
      <c r="S1827" s="22">
        <f t="shared" si="173"/>
        <v>3.2682853686554001</v>
      </c>
    </row>
    <row r="1828" spans="1:19">
      <c r="A1828" s="18" t="s">
        <v>1867</v>
      </c>
      <c r="B1828" s="18" t="s">
        <v>20</v>
      </c>
      <c r="C1828" s="18" t="s">
        <v>29</v>
      </c>
      <c r="D1828" s="19">
        <v>44745</v>
      </c>
      <c r="E1828" s="20">
        <v>45354</v>
      </c>
      <c r="F1828" s="21">
        <v>69321.600000000006</v>
      </c>
      <c r="G1828" s="21">
        <v>49292.800000000003</v>
      </c>
      <c r="H1828" s="21">
        <v>3100.8</v>
      </c>
      <c r="I1828" s="18">
        <v>229.34399999999999</v>
      </c>
      <c r="J1828" s="18">
        <v>397.68</v>
      </c>
      <c r="K1828" s="18" t="s">
        <v>22</v>
      </c>
      <c r="L1828" s="18" t="s">
        <v>44</v>
      </c>
      <c r="M1828" s="18" t="s">
        <v>32</v>
      </c>
      <c r="N1828" s="22">
        <f t="shared" si="168"/>
        <v>0.71107418178461002</v>
      </c>
      <c r="O1828" s="22">
        <f t="shared" si="169"/>
        <v>6.2905738769150898E-2</v>
      </c>
      <c r="P1828" s="23">
        <f t="shared" si="170"/>
        <v>4.6526876136068597E-3</v>
      </c>
      <c r="Q1828" s="23">
        <f t="shared" si="171"/>
        <v>7.3962848297213599E-2</v>
      </c>
      <c r="R1828" s="22">
        <f t="shared" si="172"/>
        <v>0.73398911678526602</v>
      </c>
      <c r="S1828" s="22">
        <f t="shared" si="173"/>
        <v>1.7339891167852699</v>
      </c>
    </row>
    <row r="1829" spans="1:19">
      <c r="A1829" s="18" t="s">
        <v>1868</v>
      </c>
      <c r="B1829" s="18" t="s">
        <v>40</v>
      </c>
      <c r="C1829" s="18" t="s">
        <v>29</v>
      </c>
      <c r="D1829" s="19">
        <v>44890</v>
      </c>
      <c r="E1829" s="20">
        <v>45502</v>
      </c>
      <c r="F1829" s="21">
        <v>18536</v>
      </c>
      <c r="G1829" s="21">
        <v>6673.6</v>
      </c>
      <c r="H1829" s="21">
        <v>5468.8</v>
      </c>
      <c r="I1829" s="18">
        <v>930.73599999999999</v>
      </c>
      <c r="J1829" s="18">
        <v>1485.5360000000001</v>
      </c>
      <c r="K1829" s="18" t="s">
        <v>43</v>
      </c>
      <c r="L1829" s="18" t="s">
        <v>31</v>
      </c>
      <c r="M1829" s="18" t="s">
        <v>32</v>
      </c>
      <c r="N1829" s="22">
        <f t="shared" si="168"/>
        <v>0.36003452740612901</v>
      </c>
      <c r="O1829" s="22">
        <f t="shared" si="169"/>
        <v>0.81946775353632195</v>
      </c>
      <c r="P1829" s="23">
        <f t="shared" si="170"/>
        <v>0.13946535602972901</v>
      </c>
      <c r="Q1829" s="23">
        <f t="shared" si="171"/>
        <v>0.17019016968987699</v>
      </c>
      <c r="R1829" s="22">
        <f t="shared" si="172"/>
        <v>0.59608739750047302</v>
      </c>
      <c r="S1829" s="22">
        <f t="shared" si="173"/>
        <v>1.5960873975004699</v>
      </c>
    </row>
    <row r="1830" spans="1:19">
      <c r="A1830" s="18" t="s">
        <v>1869</v>
      </c>
      <c r="B1830" s="18" t="s">
        <v>26</v>
      </c>
      <c r="C1830" s="18" t="s">
        <v>21</v>
      </c>
      <c r="D1830" s="19">
        <v>44780</v>
      </c>
      <c r="E1830" s="20">
        <v>45404</v>
      </c>
      <c r="F1830" s="21">
        <v>50072</v>
      </c>
      <c r="G1830" s="21">
        <v>46636.800000000003</v>
      </c>
      <c r="H1830" s="21">
        <v>36587.199999999997</v>
      </c>
      <c r="I1830" s="18">
        <v>5689.7759999999998</v>
      </c>
      <c r="J1830" s="18">
        <v>7613.1679999999997</v>
      </c>
      <c r="K1830" s="18" t="s">
        <v>43</v>
      </c>
      <c r="L1830" s="18" t="s">
        <v>44</v>
      </c>
      <c r="M1830" s="18" t="s">
        <v>32</v>
      </c>
      <c r="N1830" s="22">
        <f t="shared" si="168"/>
        <v>0.93139479150023996</v>
      </c>
      <c r="O1830" s="22">
        <f t="shared" si="169"/>
        <v>0.784513517222451</v>
      </c>
      <c r="P1830" s="23">
        <f t="shared" si="170"/>
        <v>0.122001852614245</v>
      </c>
      <c r="Q1830" s="23">
        <f t="shared" si="171"/>
        <v>0.15551274762758599</v>
      </c>
      <c r="R1830" s="22">
        <f t="shared" si="172"/>
        <v>0.338043536336053</v>
      </c>
      <c r="S1830" s="22">
        <f t="shared" si="173"/>
        <v>1.3380435363360501</v>
      </c>
    </row>
    <row r="1831" spans="1:19">
      <c r="A1831" s="18" t="s">
        <v>1870</v>
      </c>
      <c r="B1831" s="18" t="s">
        <v>28</v>
      </c>
      <c r="C1831" s="18" t="s">
        <v>41</v>
      </c>
      <c r="D1831" s="19">
        <v>44750</v>
      </c>
      <c r="E1831" s="20">
        <v>45352</v>
      </c>
      <c r="F1831" s="21">
        <v>67712</v>
      </c>
      <c r="G1831" s="21">
        <v>47980.800000000003</v>
      </c>
      <c r="H1831" s="21">
        <v>1862.4</v>
      </c>
      <c r="I1831" s="18">
        <v>6402.9279999999999</v>
      </c>
      <c r="J1831" s="18">
        <v>19266.464</v>
      </c>
      <c r="K1831" s="18" t="s">
        <v>38</v>
      </c>
      <c r="L1831" s="18" t="s">
        <v>44</v>
      </c>
      <c r="M1831" s="18" t="s">
        <v>24</v>
      </c>
      <c r="N1831" s="22">
        <f t="shared" si="168"/>
        <v>0.70860113421550097</v>
      </c>
      <c r="O1831" s="22">
        <f t="shared" si="169"/>
        <v>3.8815526210484202E-2</v>
      </c>
      <c r="P1831" s="23">
        <f t="shared" si="170"/>
        <v>0.133447712418301</v>
      </c>
      <c r="Q1831" s="23">
        <f t="shared" si="171"/>
        <v>3.4379982817869399</v>
      </c>
      <c r="R1831" s="22">
        <f t="shared" si="172"/>
        <v>2.0090083786667599</v>
      </c>
      <c r="S1831" s="22">
        <f t="shared" si="173"/>
        <v>3.0090083786667599</v>
      </c>
    </row>
    <row r="1832" spans="1:19">
      <c r="A1832" s="18" t="s">
        <v>1871</v>
      </c>
      <c r="B1832" s="18" t="s">
        <v>40</v>
      </c>
      <c r="C1832" s="18" t="s">
        <v>41</v>
      </c>
      <c r="D1832" s="19">
        <v>44771</v>
      </c>
      <c r="E1832" s="20">
        <v>45398</v>
      </c>
      <c r="F1832" s="21">
        <v>51875.199999999997</v>
      </c>
      <c r="G1832" s="21">
        <v>29308.799999999999</v>
      </c>
      <c r="H1832" s="21">
        <v>29056</v>
      </c>
      <c r="I1832" s="18">
        <v>4135.3119999999999</v>
      </c>
      <c r="J1832" s="18">
        <v>11436.944</v>
      </c>
      <c r="K1832" s="18" t="s">
        <v>43</v>
      </c>
      <c r="L1832" s="18" t="s">
        <v>31</v>
      </c>
      <c r="M1832" s="18" t="s">
        <v>32</v>
      </c>
      <c r="N1832" s="22">
        <f t="shared" si="168"/>
        <v>0.56498673740053096</v>
      </c>
      <c r="O1832" s="22">
        <f t="shared" si="169"/>
        <v>0.99137460421443402</v>
      </c>
      <c r="P1832" s="23">
        <f t="shared" si="170"/>
        <v>0.14109455180696601</v>
      </c>
      <c r="Q1832" s="23">
        <f t="shared" si="171"/>
        <v>0.14232213656387699</v>
      </c>
      <c r="R1832" s="22">
        <f t="shared" si="172"/>
        <v>1.7656786235234501</v>
      </c>
      <c r="S1832" s="22">
        <f t="shared" si="173"/>
        <v>2.7656786235234501</v>
      </c>
    </row>
    <row r="1833" spans="1:19">
      <c r="A1833" s="18" t="s">
        <v>1872</v>
      </c>
      <c r="B1833" s="18" t="s">
        <v>34</v>
      </c>
      <c r="C1833" s="18" t="s">
        <v>21</v>
      </c>
      <c r="D1833" s="19">
        <v>44697</v>
      </c>
      <c r="E1833" s="20">
        <v>45298</v>
      </c>
      <c r="F1833" s="21">
        <v>56828.800000000003</v>
      </c>
      <c r="G1833" s="21">
        <v>16401.599999999999</v>
      </c>
      <c r="H1833" s="21">
        <v>13076.8</v>
      </c>
      <c r="I1833" s="18">
        <v>1759.104</v>
      </c>
      <c r="J1833" s="18">
        <v>5893.7439999999997</v>
      </c>
      <c r="K1833" s="18" t="s">
        <v>30</v>
      </c>
      <c r="L1833" s="18" t="s">
        <v>35</v>
      </c>
      <c r="M1833" s="18" t="s">
        <v>32</v>
      </c>
      <c r="N1833" s="22">
        <f t="shared" si="168"/>
        <v>0.28861422377386098</v>
      </c>
      <c r="O1833" s="22">
        <f t="shared" si="169"/>
        <v>0.79728806945663799</v>
      </c>
      <c r="P1833" s="23">
        <f t="shared" si="170"/>
        <v>0.10725197541703201</v>
      </c>
      <c r="Q1833" s="23">
        <f t="shared" si="171"/>
        <v>0.13452098372690599</v>
      </c>
      <c r="R1833" s="22">
        <f t="shared" si="172"/>
        <v>2.3504238521429102</v>
      </c>
      <c r="S1833" s="22">
        <f t="shared" si="173"/>
        <v>3.3504238521429102</v>
      </c>
    </row>
    <row r="1834" spans="1:19">
      <c r="A1834" s="18" t="s">
        <v>1873</v>
      </c>
      <c r="B1834" s="18" t="s">
        <v>40</v>
      </c>
      <c r="C1834" s="18" t="s">
        <v>21</v>
      </c>
      <c r="D1834" s="19">
        <v>44788</v>
      </c>
      <c r="E1834" s="20">
        <v>45413</v>
      </c>
      <c r="F1834" s="21">
        <v>40096</v>
      </c>
      <c r="G1834" s="21">
        <v>5859.2</v>
      </c>
      <c r="H1834" s="21">
        <v>3481.6</v>
      </c>
      <c r="I1834" s="18">
        <v>6213.7280000000001</v>
      </c>
      <c r="J1834" s="18">
        <v>10055.072</v>
      </c>
      <c r="K1834" s="18" t="s">
        <v>65</v>
      </c>
      <c r="L1834" s="18" t="s">
        <v>35</v>
      </c>
      <c r="M1834" s="18" t="s">
        <v>32</v>
      </c>
      <c r="N1834" s="22">
        <f t="shared" si="168"/>
        <v>0.14612928970470901</v>
      </c>
      <c r="O1834" s="22">
        <f t="shared" si="169"/>
        <v>0.59421081376297102</v>
      </c>
      <c r="P1834" s="23">
        <f t="shared" si="170"/>
        <v>1.0605079191698501</v>
      </c>
      <c r="Q1834" s="23">
        <f t="shared" si="171"/>
        <v>1.78473345588235</v>
      </c>
      <c r="R1834" s="22">
        <f t="shared" si="172"/>
        <v>0.618202792268989</v>
      </c>
      <c r="S1834" s="22">
        <f t="shared" si="173"/>
        <v>1.6182027922689901</v>
      </c>
    </row>
    <row r="1835" spans="1:19">
      <c r="A1835" s="18" t="s">
        <v>1874</v>
      </c>
      <c r="B1835" s="18" t="s">
        <v>28</v>
      </c>
      <c r="C1835" s="18" t="s">
        <v>21</v>
      </c>
      <c r="D1835" s="19">
        <v>44838</v>
      </c>
      <c r="E1835" s="20">
        <v>45461</v>
      </c>
      <c r="F1835" s="21">
        <v>21244.799999999999</v>
      </c>
      <c r="G1835" s="21">
        <v>5929.6</v>
      </c>
      <c r="H1835" s="21">
        <v>1505.6</v>
      </c>
      <c r="I1835" s="18">
        <v>2304.88</v>
      </c>
      <c r="J1835" s="18">
        <v>3172.2559999999999</v>
      </c>
      <c r="K1835" s="18" t="s">
        <v>38</v>
      </c>
      <c r="L1835" s="18" t="s">
        <v>31</v>
      </c>
      <c r="M1835" s="18" t="s">
        <v>32</v>
      </c>
      <c r="N1835" s="22">
        <f t="shared" si="168"/>
        <v>0.279108299442687</v>
      </c>
      <c r="O1835" s="22">
        <f t="shared" si="169"/>
        <v>0.25391257420399299</v>
      </c>
      <c r="P1835" s="23">
        <f t="shared" si="170"/>
        <v>0.38870750134916299</v>
      </c>
      <c r="Q1835" s="23">
        <f t="shared" si="171"/>
        <v>1.5308714133900101</v>
      </c>
      <c r="R1835" s="22">
        <f t="shared" si="172"/>
        <v>0.37632154385477801</v>
      </c>
      <c r="S1835" s="22">
        <f t="shared" si="173"/>
        <v>1.37632154385478</v>
      </c>
    </row>
    <row r="1836" spans="1:19">
      <c r="A1836" s="18" t="s">
        <v>1875</v>
      </c>
      <c r="B1836" s="18" t="s">
        <v>40</v>
      </c>
      <c r="C1836" s="18" t="s">
        <v>29</v>
      </c>
      <c r="D1836" s="19">
        <v>44714</v>
      </c>
      <c r="E1836" s="20">
        <v>45318</v>
      </c>
      <c r="F1836" s="21">
        <v>5481.6</v>
      </c>
      <c r="G1836" s="21">
        <v>4748.8</v>
      </c>
      <c r="H1836" s="21">
        <v>835.2</v>
      </c>
      <c r="I1836" s="18">
        <v>1361.4559999999999</v>
      </c>
      <c r="J1836" s="18">
        <v>2696.768</v>
      </c>
      <c r="K1836" s="18" t="s">
        <v>43</v>
      </c>
      <c r="L1836" s="18" t="s">
        <v>50</v>
      </c>
      <c r="M1836" s="18" t="s">
        <v>24</v>
      </c>
      <c r="N1836" s="22">
        <f t="shared" si="168"/>
        <v>0.86631640396964404</v>
      </c>
      <c r="O1836" s="22">
        <f t="shared" si="169"/>
        <v>0.175876010781671</v>
      </c>
      <c r="P1836" s="23">
        <f t="shared" si="170"/>
        <v>0.28669474393531003</v>
      </c>
      <c r="Q1836" s="23">
        <f t="shared" si="171"/>
        <v>1.63009578544061</v>
      </c>
      <c r="R1836" s="22">
        <f t="shared" si="172"/>
        <v>0.98079702906300303</v>
      </c>
      <c r="S1836" s="22">
        <f t="shared" si="173"/>
        <v>1.9807970290629999</v>
      </c>
    </row>
    <row r="1837" spans="1:19">
      <c r="A1837" s="18" t="s">
        <v>1876</v>
      </c>
      <c r="B1837" s="18" t="s">
        <v>20</v>
      </c>
      <c r="C1837" s="18" t="s">
        <v>48</v>
      </c>
      <c r="D1837" s="19">
        <v>44835</v>
      </c>
      <c r="E1837" s="20">
        <v>45448</v>
      </c>
      <c r="F1837" s="21">
        <v>13102.4</v>
      </c>
      <c r="G1837" s="21">
        <v>12193.6</v>
      </c>
      <c r="H1837" s="21">
        <v>10355.200000000001</v>
      </c>
      <c r="I1837" s="18">
        <v>4886.8</v>
      </c>
      <c r="J1837" s="18">
        <v>9703.0560000000005</v>
      </c>
      <c r="K1837" s="18" t="s">
        <v>65</v>
      </c>
      <c r="L1837" s="18" t="s">
        <v>44</v>
      </c>
      <c r="M1837" s="18" t="s">
        <v>24</v>
      </c>
      <c r="N1837" s="22">
        <f t="shared" si="168"/>
        <v>0.93063866161924502</v>
      </c>
      <c r="O1837" s="22">
        <f t="shared" si="169"/>
        <v>0.84923238420154801</v>
      </c>
      <c r="P1837" s="23">
        <f t="shared" si="170"/>
        <v>0.40076761579845199</v>
      </c>
      <c r="Q1837" s="23">
        <f t="shared" si="171"/>
        <v>0.47191749072929501</v>
      </c>
      <c r="R1837" s="22">
        <f t="shared" si="172"/>
        <v>0.98556437750675296</v>
      </c>
      <c r="S1837" s="22">
        <f t="shared" si="173"/>
        <v>1.98556437750675</v>
      </c>
    </row>
    <row r="1838" spans="1:19">
      <c r="A1838" s="18" t="s">
        <v>1877</v>
      </c>
      <c r="B1838" s="18" t="s">
        <v>28</v>
      </c>
      <c r="C1838" s="18" t="s">
        <v>29</v>
      </c>
      <c r="D1838" s="19">
        <v>44985</v>
      </c>
      <c r="E1838" s="20">
        <v>45592</v>
      </c>
      <c r="F1838" s="21">
        <v>65577.600000000006</v>
      </c>
      <c r="G1838" s="21">
        <v>20862.400000000001</v>
      </c>
      <c r="H1838" s="21">
        <v>17297.599999999999</v>
      </c>
      <c r="I1838" s="18">
        <v>2963.7759999999998</v>
      </c>
      <c r="J1838" s="18">
        <v>8352.1759999999995</v>
      </c>
      <c r="K1838" s="18" t="s">
        <v>30</v>
      </c>
      <c r="L1838" s="18" t="s">
        <v>31</v>
      </c>
      <c r="M1838" s="18" t="s">
        <v>24</v>
      </c>
      <c r="N1838" s="22">
        <f t="shared" si="168"/>
        <v>0.31813302103157198</v>
      </c>
      <c r="O1838" s="22">
        <f t="shared" si="169"/>
        <v>0.82912800061354397</v>
      </c>
      <c r="P1838" s="23">
        <f t="shared" si="170"/>
        <v>0.142063041644298</v>
      </c>
      <c r="Q1838" s="23">
        <f t="shared" si="171"/>
        <v>0.17134030154472299</v>
      </c>
      <c r="R1838" s="22">
        <f t="shared" si="172"/>
        <v>1.81808611716945</v>
      </c>
      <c r="S1838" s="22">
        <f t="shared" si="173"/>
        <v>2.8180861171694498</v>
      </c>
    </row>
    <row r="1839" spans="1:19">
      <c r="A1839" s="18" t="s">
        <v>1878</v>
      </c>
      <c r="B1839" s="18" t="s">
        <v>20</v>
      </c>
      <c r="C1839" s="18" t="s">
        <v>21</v>
      </c>
      <c r="D1839" s="19">
        <v>44710</v>
      </c>
      <c r="E1839" s="20">
        <v>45311</v>
      </c>
      <c r="F1839" s="21">
        <v>54408</v>
      </c>
      <c r="G1839" s="21">
        <v>21425.599999999999</v>
      </c>
      <c r="H1839" s="21">
        <v>2017.6</v>
      </c>
      <c r="I1839" s="18">
        <v>1072.576</v>
      </c>
      <c r="J1839" s="18">
        <v>2334.192</v>
      </c>
      <c r="K1839" s="18" t="s">
        <v>22</v>
      </c>
      <c r="L1839" s="18" t="s">
        <v>50</v>
      </c>
      <c r="M1839" s="18" t="s">
        <v>32</v>
      </c>
      <c r="N1839" s="22">
        <f t="shared" si="168"/>
        <v>0.39379503014262601</v>
      </c>
      <c r="O1839" s="22">
        <f t="shared" si="169"/>
        <v>9.4167724591143295E-2</v>
      </c>
      <c r="P1839" s="23">
        <f t="shared" si="170"/>
        <v>5.0060488387723097E-2</v>
      </c>
      <c r="Q1839" s="23">
        <f t="shared" si="171"/>
        <v>0.53160983346550394</v>
      </c>
      <c r="R1839" s="22">
        <f t="shared" si="172"/>
        <v>1.1762485828510101</v>
      </c>
      <c r="S1839" s="22">
        <f t="shared" si="173"/>
        <v>2.1762485828510099</v>
      </c>
    </row>
    <row r="1840" spans="1:19">
      <c r="A1840" s="18" t="s">
        <v>1879</v>
      </c>
      <c r="B1840" s="18" t="s">
        <v>47</v>
      </c>
      <c r="C1840" s="18" t="s">
        <v>48</v>
      </c>
      <c r="D1840" s="19">
        <v>44921</v>
      </c>
      <c r="E1840" s="20">
        <v>45522</v>
      </c>
      <c r="F1840" s="21">
        <v>74724.800000000003</v>
      </c>
      <c r="G1840" s="21">
        <v>71176</v>
      </c>
      <c r="H1840" s="21">
        <v>32052.799999999999</v>
      </c>
      <c r="I1840" s="18">
        <v>3691.424</v>
      </c>
      <c r="J1840" s="18">
        <v>6984.16</v>
      </c>
      <c r="K1840" s="18" t="s">
        <v>65</v>
      </c>
      <c r="L1840" s="18" t="s">
        <v>50</v>
      </c>
      <c r="M1840" s="18" t="s">
        <v>32</v>
      </c>
      <c r="N1840" s="22">
        <f t="shared" si="168"/>
        <v>0.95250840417103799</v>
      </c>
      <c r="O1840" s="22">
        <f t="shared" si="169"/>
        <v>0.45033157244014799</v>
      </c>
      <c r="P1840" s="23">
        <f t="shared" si="170"/>
        <v>5.18633247161965E-2</v>
      </c>
      <c r="Q1840" s="23">
        <f t="shared" si="171"/>
        <v>0.115166974492088</v>
      </c>
      <c r="R1840" s="22">
        <f t="shared" si="172"/>
        <v>0.89199615107882502</v>
      </c>
      <c r="S1840" s="22">
        <f t="shared" si="173"/>
        <v>1.8919961510788199</v>
      </c>
    </row>
    <row r="1841" spans="1:19">
      <c r="A1841" s="18" t="s">
        <v>1880</v>
      </c>
      <c r="B1841" s="18" t="s">
        <v>26</v>
      </c>
      <c r="C1841" s="18" t="s">
        <v>41</v>
      </c>
      <c r="D1841" s="19">
        <v>44979</v>
      </c>
      <c r="E1841" s="20">
        <v>45599</v>
      </c>
      <c r="F1841" s="21">
        <v>4668.8</v>
      </c>
      <c r="G1841" s="21">
        <v>2432</v>
      </c>
      <c r="H1841" s="21">
        <v>1768</v>
      </c>
      <c r="I1841" s="18">
        <v>5331.6319999999996</v>
      </c>
      <c r="J1841" s="18">
        <v>7299.6639999999998</v>
      </c>
      <c r="K1841" s="18" t="s">
        <v>30</v>
      </c>
      <c r="L1841" s="18" t="s">
        <v>35</v>
      </c>
      <c r="M1841" s="18" t="s">
        <v>32</v>
      </c>
      <c r="N1841" s="22">
        <f t="shared" si="168"/>
        <v>0.52090472926662101</v>
      </c>
      <c r="O1841" s="22">
        <f t="shared" si="169"/>
        <v>0.72697368421052599</v>
      </c>
      <c r="P1841" s="23">
        <f t="shared" si="170"/>
        <v>2.1922828947368398</v>
      </c>
      <c r="Q1841" s="23">
        <f t="shared" si="171"/>
        <v>3.0156289592760199</v>
      </c>
      <c r="R1841" s="22">
        <f t="shared" si="172"/>
        <v>0.369123750476402</v>
      </c>
      <c r="S1841" s="22">
        <f t="shared" si="173"/>
        <v>1.3691237504764</v>
      </c>
    </row>
    <row r="1842" spans="1:19">
      <c r="A1842" s="18" t="s">
        <v>1881</v>
      </c>
      <c r="B1842" s="18" t="s">
        <v>40</v>
      </c>
      <c r="C1842" s="18" t="s">
        <v>41</v>
      </c>
      <c r="D1842" s="19">
        <v>44909</v>
      </c>
      <c r="E1842" s="20">
        <v>45528</v>
      </c>
      <c r="F1842" s="21">
        <v>27560</v>
      </c>
      <c r="G1842" s="21">
        <v>27529.599999999999</v>
      </c>
      <c r="H1842" s="21">
        <v>425.6</v>
      </c>
      <c r="I1842" s="18">
        <v>2363.2640000000001</v>
      </c>
      <c r="J1842" s="18">
        <v>8474.7199999999993</v>
      </c>
      <c r="K1842" s="18" t="s">
        <v>43</v>
      </c>
      <c r="L1842" s="18" t="s">
        <v>50</v>
      </c>
      <c r="M1842" s="18" t="s">
        <v>32</v>
      </c>
      <c r="N1842" s="22">
        <f t="shared" si="168"/>
        <v>0.99889695210449903</v>
      </c>
      <c r="O1842" s="22">
        <f t="shared" si="169"/>
        <v>1.5459723352319E-2</v>
      </c>
      <c r="P1842" s="23">
        <f t="shared" si="170"/>
        <v>8.5844472858305307E-2</v>
      </c>
      <c r="Q1842" s="23">
        <f t="shared" si="171"/>
        <v>5.5527819548872204</v>
      </c>
      <c r="R1842" s="22">
        <f t="shared" si="172"/>
        <v>2.5860233981476499</v>
      </c>
      <c r="S1842" s="22">
        <f t="shared" si="173"/>
        <v>3.5860233981476499</v>
      </c>
    </row>
    <row r="1843" spans="1:19">
      <c r="A1843" s="18" t="s">
        <v>1882</v>
      </c>
      <c r="B1843" s="18" t="s">
        <v>20</v>
      </c>
      <c r="C1843" s="18" t="s">
        <v>41</v>
      </c>
      <c r="D1843" s="19">
        <v>44737</v>
      </c>
      <c r="E1843" s="20">
        <v>45358</v>
      </c>
      <c r="F1843" s="21">
        <v>30924.799999999999</v>
      </c>
      <c r="G1843" s="21">
        <v>22457.599999999999</v>
      </c>
      <c r="H1843" s="21">
        <v>22436.799999999999</v>
      </c>
      <c r="I1843" s="18">
        <v>7290.3360000000002</v>
      </c>
      <c r="J1843" s="18">
        <v>10862.304</v>
      </c>
      <c r="K1843" s="18" t="s">
        <v>30</v>
      </c>
      <c r="L1843" s="18" t="s">
        <v>31</v>
      </c>
      <c r="M1843" s="18" t="s">
        <v>24</v>
      </c>
      <c r="N1843" s="22">
        <f t="shared" si="168"/>
        <v>0.72620033112582805</v>
      </c>
      <c r="O1843" s="22">
        <f t="shared" si="169"/>
        <v>0.99907381020233699</v>
      </c>
      <c r="P1843" s="23">
        <f t="shared" si="170"/>
        <v>0.32462667426617298</v>
      </c>
      <c r="Q1843" s="23">
        <f t="shared" si="171"/>
        <v>0.32492761891178801</v>
      </c>
      <c r="R1843" s="22">
        <f t="shared" si="172"/>
        <v>0.48995931051737501</v>
      </c>
      <c r="S1843" s="22">
        <f t="shared" si="173"/>
        <v>1.4899593105173801</v>
      </c>
    </row>
    <row r="1844" spans="1:19">
      <c r="A1844" s="18" t="s">
        <v>1883</v>
      </c>
      <c r="B1844" s="18" t="s">
        <v>28</v>
      </c>
      <c r="C1844" s="18" t="s">
        <v>21</v>
      </c>
      <c r="D1844" s="19">
        <v>44772</v>
      </c>
      <c r="E1844" s="20">
        <v>45380</v>
      </c>
      <c r="F1844" s="21">
        <v>45257.599999999999</v>
      </c>
      <c r="G1844" s="21">
        <v>45070.400000000001</v>
      </c>
      <c r="H1844" s="21">
        <v>24316.799999999999</v>
      </c>
      <c r="I1844" s="18">
        <v>2445.6</v>
      </c>
      <c r="J1844" s="18">
        <v>3328.4639999999999</v>
      </c>
      <c r="K1844" s="18" t="s">
        <v>30</v>
      </c>
      <c r="L1844" s="18" t="s">
        <v>23</v>
      </c>
      <c r="M1844" s="18" t="s">
        <v>32</v>
      </c>
      <c r="N1844" s="22">
        <f t="shared" si="168"/>
        <v>0.99586367814466503</v>
      </c>
      <c r="O1844" s="22">
        <f t="shared" si="169"/>
        <v>0.539529269764635</v>
      </c>
      <c r="P1844" s="23">
        <f t="shared" si="170"/>
        <v>5.4261777130888603E-2</v>
      </c>
      <c r="Q1844" s="23">
        <f t="shared" si="171"/>
        <v>0.10057244374259799</v>
      </c>
      <c r="R1844" s="22">
        <f t="shared" si="172"/>
        <v>0.361000981354269</v>
      </c>
      <c r="S1844" s="22">
        <f t="shared" si="173"/>
        <v>1.3610009813542701</v>
      </c>
    </row>
    <row r="1845" spans="1:19">
      <c r="A1845" s="18" t="s">
        <v>1884</v>
      </c>
      <c r="B1845" s="18" t="s">
        <v>47</v>
      </c>
      <c r="C1845" s="18" t="s">
        <v>29</v>
      </c>
      <c r="D1845" s="19">
        <v>44959</v>
      </c>
      <c r="E1845" s="20">
        <v>45567</v>
      </c>
      <c r="F1845" s="21">
        <v>4300.8</v>
      </c>
      <c r="G1845" s="21">
        <v>3993.6</v>
      </c>
      <c r="H1845" s="21">
        <v>960</v>
      </c>
      <c r="I1845" s="18">
        <v>224.624</v>
      </c>
      <c r="J1845" s="18">
        <v>679.85599999999999</v>
      </c>
      <c r="K1845" s="18" t="s">
        <v>22</v>
      </c>
      <c r="L1845" s="18" t="s">
        <v>44</v>
      </c>
      <c r="M1845" s="18" t="s">
        <v>32</v>
      </c>
      <c r="N1845" s="22">
        <f t="shared" si="168"/>
        <v>0.92857142857142805</v>
      </c>
      <c r="O1845" s="22">
        <f t="shared" si="169"/>
        <v>0.240384615384615</v>
      </c>
      <c r="P1845" s="23">
        <f t="shared" si="170"/>
        <v>5.6245993589743602E-2</v>
      </c>
      <c r="Q1845" s="23">
        <f t="shared" si="171"/>
        <v>0.23398333333333299</v>
      </c>
      <c r="R1845" s="22">
        <f t="shared" si="172"/>
        <v>2.0266400740793502</v>
      </c>
      <c r="S1845" s="22">
        <f t="shared" si="173"/>
        <v>3.0266400740793502</v>
      </c>
    </row>
    <row r="1846" spans="1:19">
      <c r="A1846" s="18" t="s">
        <v>1885</v>
      </c>
      <c r="B1846" s="18" t="s">
        <v>34</v>
      </c>
      <c r="C1846" s="18" t="s">
        <v>48</v>
      </c>
      <c r="D1846" s="19">
        <v>44930</v>
      </c>
      <c r="E1846" s="20">
        <v>45547</v>
      </c>
      <c r="F1846" s="21">
        <v>65702.399999999994</v>
      </c>
      <c r="G1846" s="21">
        <v>52217.599999999999</v>
      </c>
      <c r="H1846" s="21">
        <v>9691.2000000000007</v>
      </c>
      <c r="I1846" s="18">
        <v>5461.0559999999996</v>
      </c>
      <c r="J1846" s="18">
        <v>8223.7119999999995</v>
      </c>
      <c r="K1846" s="18" t="s">
        <v>22</v>
      </c>
      <c r="L1846" s="18" t="s">
        <v>31</v>
      </c>
      <c r="M1846" s="18" t="s">
        <v>24</v>
      </c>
      <c r="N1846" s="22">
        <f t="shared" si="168"/>
        <v>0.79475939996103695</v>
      </c>
      <c r="O1846" s="22">
        <f t="shared" si="169"/>
        <v>0.18559259713200099</v>
      </c>
      <c r="P1846" s="23">
        <f t="shared" si="170"/>
        <v>0.104582669444785</v>
      </c>
      <c r="Q1846" s="23">
        <f t="shared" si="171"/>
        <v>0.56350668647845503</v>
      </c>
      <c r="R1846" s="22">
        <f t="shared" si="172"/>
        <v>0.50588311125174301</v>
      </c>
      <c r="S1846" s="22">
        <f t="shared" si="173"/>
        <v>1.5058831112517399</v>
      </c>
    </row>
    <row r="1847" spans="1:19">
      <c r="A1847" s="18" t="s">
        <v>1886</v>
      </c>
      <c r="B1847" s="18" t="s">
        <v>34</v>
      </c>
      <c r="C1847" s="18" t="s">
        <v>29</v>
      </c>
      <c r="D1847" s="19">
        <v>44967</v>
      </c>
      <c r="E1847" s="20">
        <v>45594</v>
      </c>
      <c r="F1847" s="21">
        <v>48798.400000000001</v>
      </c>
      <c r="G1847" s="21">
        <v>44190.400000000001</v>
      </c>
      <c r="H1847" s="21">
        <v>42908.800000000003</v>
      </c>
      <c r="I1847" s="18">
        <v>498.75200000000001</v>
      </c>
      <c r="J1847" s="18">
        <v>915.15200000000004</v>
      </c>
      <c r="K1847" s="18" t="s">
        <v>30</v>
      </c>
      <c r="L1847" s="18" t="s">
        <v>44</v>
      </c>
      <c r="M1847" s="18" t="s">
        <v>24</v>
      </c>
      <c r="N1847" s="22">
        <f t="shared" si="168"/>
        <v>0.90557067444834305</v>
      </c>
      <c r="O1847" s="22">
        <f t="shared" si="169"/>
        <v>0.97099822585900997</v>
      </c>
      <c r="P1847" s="23">
        <f t="shared" si="170"/>
        <v>1.12864332524711E-2</v>
      </c>
      <c r="Q1847" s="23">
        <f t="shared" si="171"/>
        <v>1.1623536430755499E-2</v>
      </c>
      <c r="R1847" s="22">
        <f t="shared" si="172"/>
        <v>0.83488387013986898</v>
      </c>
      <c r="S1847" s="22">
        <f t="shared" si="173"/>
        <v>1.83488387013987</v>
      </c>
    </row>
    <row r="1848" spans="1:19">
      <c r="A1848" s="18" t="s">
        <v>1887</v>
      </c>
      <c r="B1848" s="18" t="s">
        <v>28</v>
      </c>
      <c r="C1848" s="18" t="s">
        <v>48</v>
      </c>
      <c r="D1848" s="19">
        <v>44813</v>
      </c>
      <c r="E1848" s="20">
        <v>45424</v>
      </c>
      <c r="F1848" s="21">
        <v>75361.600000000006</v>
      </c>
      <c r="G1848" s="21">
        <v>54596.800000000003</v>
      </c>
      <c r="H1848" s="21">
        <v>2329.6</v>
      </c>
      <c r="I1848" s="18">
        <v>7245.2</v>
      </c>
      <c r="J1848" s="18">
        <v>18357.472000000002</v>
      </c>
      <c r="K1848" s="18" t="s">
        <v>30</v>
      </c>
      <c r="L1848" s="18" t="s">
        <v>35</v>
      </c>
      <c r="M1848" s="18" t="s">
        <v>24</v>
      </c>
      <c r="N1848" s="22">
        <f t="shared" si="168"/>
        <v>0.72446444873781901</v>
      </c>
      <c r="O1848" s="22">
        <f t="shared" si="169"/>
        <v>4.2669167423731801E-2</v>
      </c>
      <c r="P1848" s="23">
        <f t="shared" si="170"/>
        <v>0.13270374820502301</v>
      </c>
      <c r="Q1848" s="23">
        <f t="shared" si="171"/>
        <v>3.1100618131868099</v>
      </c>
      <c r="R1848" s="22">
        <f t="shared" si="172"/>
        <v>1.5337426158008101</v>
      </c>
      <c r="S1848" s="22">
        <f t="shared" si="173"/>
        <v>2.5337426158008101</v>
      </c>
    </row>
    <row r="1849" spans="1:19">
      <c r="A1849" s="18" t="s">
        <v>1888</v>
      </c>
      <c r="B1849" s="18" t="s">
        <v>34</v>
      </c>
      <c r="C1849" s="18" t="s">
        <v>48</v>
      </c>
      <c r="D1849" s="19">
        <v>44737</v>
      </c>
      <c r="E1849" s="20">
        <v>45346</v>
      </c>
      <c r="F1849" s="21">
        <v>37708.800000000003</v>
      </c>
      <c r="G1849" s="21">
        <v>25508.799999999999</v>
      </c>
      <c r="H1849" s="21">
        <v>11304</v>
      </c>
      <c r="I1849" s="18">
        <v>4265.12</v>
      </c>
      <c r="J1849" s="18">
        <v>13205.52</v>
      </c>
      <c r="K1849" s="18" t="s">
        <v>30</v>
      </c>
      <c r="L1849" s="18" t="s">
        <v>23</v>
      </c>
      <c r="M1849" s="18" t="s">
        <v>32</v>
      </c>
      <c r="N1849" s="22">
        <f t="shared" si="168"/>
        <v>0.67646809232858096</v>
      </c>
      <c r="O1849" s="22">
        <f t="shared" si="169"/>
        <v>0.44314119049112499</v>
      </c>
      <c r="P1849" s="23">
        <f t="shared" si="170"/>
        <v>0.16720190679294999</v>
      </c>
      <c r="Q1849" s="23">
        <f t="shared" si="171"/>
        <v>0.37731068648266097</v>
      </c>
      <c r="R1849" s="22">
        <f t="shared" si="172"/>
        <v>2.0961661102149498</v>
      </c>
      <c r="S1849" s="22">
        <f t="shared" si="173"/>
        <v>3.0961661102149498</v>
      </c>
    </row>
    <row r="1850" spans="1:19">
      <c r="A1850" s="18" t="s">
        <v>1889</v>
      </c>
      <c r="B1850" s="18" t="s">
        <v>20</v>
      </c>
      <c r="C1850" s="18" t="s">
        <v>29</v>
      </c>
      <c r="D1850" s="19">
        <v>44870</v>
      </c>
      <c r="E1850" s="20">
        <v>45478</v>
      </c>
      <c r="F1850" s="21">
        <v>7516.8</v>
      </c>
      <c r="G1850" s="21">
        <v>5232</v>
      </c>
      <c r="H1850" s="21">
        <v>5187.2</v>
      </c>
      <c r="I1850" s="18">
        <v>7140.1120000000001</v>
      </c>
      <c r="J1850" s="18">
        <v>24306.304</v>
      </c>
      <c r="K1850" s="18" t="s">
        <v>43</v>
      </c>
      <c r="L1850" s="18" t="s">
        <v>23</v>
      </c>
      <c r="M1850" s="18" t="s">
        <v>32</v>
      </c>
      <c r="N1850" s="22">
        <f t="shared" si="168"/>
        <v>0.69604086845466195</v>
      </c>
      <c r="O1850" s="22">
        <f t="shared" si="169"/>
        <v>0.99143730886850101</v>
      </c>
      <c r="P1850" s="23">
        <f t="shared" si="170"/>
        <v>1.3647003058103999</v>
      </c>
      <c r="Q1850" s="23">
        <f t="shared" si="171"/>
        <v>1.3764867365823601</v>
      </c>
      <c r="R1850" s="22">
        <f t="shared" si="172"/>
        <v>2.4041908586307899</v>
      </c>
      <c r="S1850" s="22">
        <f t="shared" si="173"/>
        <v>3.4041908586307899</v>
      </c>
    </row>
    <row r="1851" spans="1:19">
      <c r="A1851" s="18" t="s">
        <v>1890</v>
      </c>
      <c r="B1851" s="18" t="s">
        <v>47</v>
      </c>
      <c r="C1851" s="18" t="s">
        <v>41</v>
      </c>
      <c r="D1851" s="19">
        <v>44984</v>
      </c>
      <c r="E1851" s="20">
        <v>45594</v>
      </c>
      <c r="F1851" s="21">
        <v>22523.200000000001</v>
      </c>
      <c r="G1851" s="21">
        <v>5371.2</v>
      </c>
      <c r="H1851" s="21">
        <v>3060.8</v>
      </c>
      <c r="I1851" s="18">
        <v>3328.5279999999998</v>
      </c>
      <c r="J1851" s="18">
        <v>11310.08</v>
      </c>
      <c r="K1851" s="18" t="s">
        <v>30</v>
      </c>
      <c r="L1851" s="18" t="s">
        <v>50</v>
      </c>
      <c r="M1851" s="18" t="s">
        <v>32</v>
      </c>
      <c r="N1851" s="22">
        <f t="shared" si="168"/>
        <v>0.23847410669887001</v>
      </c>
      <c r="O1851" s="22">
        <f t="shared" si="169"/>
        <v>0.56985403634197196</v>
      </c>
      <c r="P1851" s="23">
        <f t="shared" si="170"/>
        <v>0.61969913613345295</v>
      </c>
      <c r="Q1851" s="23">
        <f t="shared" si="171"/>
        <v>1.08746994249869</v>
      </c>
      <c r="R1851" s="22">
        <f t="shared" si="172"/>
        <v>2.39792244499671</v>
      </c>
      <c r="S1851" s="22">
        <f t="shared" si="173"/>
        <v>3.39792244499671</v>
      </c>
    </row>
    <row r="1852" spans="1:19">
      <c r="A1852" s="18" t="s">
        <v>1891</v>
      </c>
      <c r="B1852" s="18" t="s">
        <v>47</v>
      </c>
      <c r="C1852" s="18" t="s">
        <v>29</v>
      </c>
      <c r="D1852" s="19">
        <v>44888</v>
      </c>
      <c r="E1852" s="20">
        <v>45516</v>
      </c>
      <c r="F1852" s="21">
        <v>24729.599999999999</v>
      </c>
      <c r="G1852" s="21">
        <v>1329.6</v>
      </c>
      <c r="H1852" s="21">
        <v>638.4</v>
      </c>
      <c r="I1852" s="18">
        <v>472.096</v>
      </c>
      <c r="J1852" s="18">
        <v>1566.944</v>
      </c>
      <c r="K1852" s="18" t="s">
        <v>65</v>
      </c>
      <c r="L1852" s="18" t="s">
        <v>44</v>
      </c>
      <c r="M1852" s="18" t="s">
        <v>32</v>
      </c>
      <c r="N1852" s="22">
        <f t="shared" si="168"/>
        <v>5.3765527950310602E-2</v>
      </c>
      <c r="O1852" s="22">
        <f t="shared" si="169"/>
        <v>0.48014440433213001</v>
      </c>
      <c r="P1852" s="23">
        <f t="shared" si="170"/>
        <v>0.355066185318893</v>
      </c>
      <c r="Q1852" s="23">
        <f t="shared" si="171"/>
        <v>0.73949874686716799</v>
      </c>
      <c r="R1852" s="22">
        <f t="shared" si="172"/>
        <v>2.3191215346031302</v>
      </c>
      <c r="S1852" s="22">
        <f t="shared" si="173"/>
        <v>3.3191215346031302</v>
      </c>
    </row>
    <row r="1853" spans="1:19">
      <c r="A1853" s="18" t="s">
        <v>1892</v>
      </c>
      <c r="B1853" s="18" t="s">
        <v>28</v>
      </c>
      <c r="C1853" s="18" t="s">
        <v>48</v>
      </c>
      <c r="D1853" s="19">
        <v>44858</v>
      </c>
      <c r="E1853" s="20">
        <v>45475</v>
      </c>
      <c r="F1853" s="21">
        <v>40131.199999999997</v>
      </c>
      <c r="G1853" s="21">
        <v>5497.6</v>
      </c>
      <c r="H1853" s="21">
        <v>356.8</v>
      </c>
      <c r="I1853" s="18">
        <v>2038.4159999999999</v>
      </c>
      <c r="J1853" s="18">
        <v>2835.1039999999998</v>
      </c>
      <c r="K1853" s="18" t="s">
        <v>22</v>
      </c>
      <c r="L1853" s="18" t="s">
        <v>44</v>
      </c>
      <c r="M1853" s="18" t="s">
        <v>32</v>
      </c>
      <c r="N1853" s="22">
        <f t="shared" si="168"/>
        <v>0.13699067060043099</v>
      </c>
      <c r="O1853" s="22">
        <f t="shared" si="169"/>
        <v>6.4901047729918504E-2</v>
      </c>
      <c r="P1853" s="23">
        <f t="shared" si="170"/>
        <v>0.370782887077998</v>
      </c>
      <c r="Q1853" s="23">
        <f t="shared" si="171"/>
        <v>5.71304932735426</v>
      </c>
      <c r="R1853" s="22">
        <f t="shared" si="172"/>
        <v>0.39083680661847198</v>
      </c>
      <c r="S1853" s="22">
        <f t="shared" si="173"/>
        <v>1.39083680661847</v>
      </c>
    </row>
    <row r="1854" spans="1:19">
      <c r="A1854" s="18" t="s">
        <v>1893</v>
      </c>
      <c r="B1854" s="18" t="s">
        <v>28</v>
      </c>
      <c r="C1854" s="18" t="s">
        <v>21</v>
      </c>
      <c r="D1854" s="19">
        <v>44844</v>
      </c>
      <c r="E1854" s="20">
        <v>45447</v>
      </c>
      <c r="F1854" s="21">
        <v>20099.2</v>
      </c>
      <c r="G1854" s="21">
        <v>16608</v>
      </c>
      <c r="H1854" s="21">
        <v>15907.2</v>
      </c>
      <c r="I1854" s="18">
        <v>7803.5839999999998</v>
      </c>
      <c r="J1854" s="18">
        <v>14328.512000000001</v>
      </c>
      <c r="K1854" s="18" t="s">
        <v>22</v>
      </c>
      <c r="L1854" s="18" t="s">
        <v>31</v>
      </c>
      <c r="M1854" s="18" t="s">
        <v>32</v>
      </c>
      <c r="N1854" s="22">
        <f t="shared" si="168"/>
        <v>0.82630154434007297</v>
      </c>
      <c r="O1854" s="22">
        <f t="shared" si="169"/>
        <v>0.95780346820809203</v>
      </c>
      <c r="P1854" s="23">
        <f t="shared" si="170"/>
        <v>0.46986897880539502</v>
      </c>
      <c r="Q1854" s="23">
        <f t="shared" si="171"/>
        <v>0.49056930195131798</v>
      </c>
      <c r="R1854" s="22">
        <f t="shared" si="172"/>
        <v>0.83614503284644603</v>
      </c>
      <c r="S1854" s="22">
        <f t="shared" si="173"/>
        <v>1.8361450328464499</v>
      </c>
    </row>
    <row r="1855" spans="1:19">
      <c r="A1855" s="18" t="s">
        <v>1894</v>
      </c>
      <c r="B1855" s="18" t="s">
        <v>26</v>
      </c>
      <c r="C1855" s="18" t="s">
        <v>41</v>
      </c>
      <c r="D1855" s="19">
        <v>44820</v>
      </c>
      <c r="E1855" s="20">
        <v>45421</v>
      </c>
      <c r="F1855" s="21">
        <v>79078.399999999994</v>
      </c>
      <c r="G1855" s="21">
        <v>18881.599999999999</v>
      </c>
      <c r="H1855" s="21">
        <v>5046.3999999999996</v>
      </c>
      <c r="I1855" s="18">
        <v>7097.9520000000002</v>
      </c>
      <c r="J1855" s="18">
        <v>13143.296</v>
      </c>
      <c r="K1855" s="18" t="s">
        <v>22</v>
      </c>
      <c r="L1855" s="18" t="s">
        <v>50</v>
      </c>
      <c r="M1855" s="18" t="s">
        <v>24</v>
      </c>
      <c r="N1855" s="22">
        <f t="shared" si="168"/>
        <v>0.23877063774684401</v>
      </c>
      <c r="O1855" s="22">
        <f t="shared" si="169"/>
        <v>0.26726548597576499</v>
      </c>
      <c r="P1855" s="23">
        <f t="shared" si="170"/>
        <v>0.375918989916109</v>
      </c>
      <c r="Q1855" s="23">
        <f t="shared" si="171"/>
        <v>1.40653772986684</v>
      </c>
      <c r="R1855" s="22">
        <f t="shared" si="172"/>
        <v>0.85170257561617801</v>
      </c>
      <c r="S1855" s="22">
        <f t="shared" si="173"/>
        <v>1.85170257561618</v>
      </c>
    </row>
    <row r="1856" spans="1:19">
      <c r="A1856" s="18" t="s">
        <v>1895</v>
      </c>
      <c r="B1856" s="18" t="s">
        <v>28</v>
      </c>
      <c r="C1856" s="18" t="s">
        <v>41</v>
      </c>
      <c r="D1856" s="19">
        <v>44828</v>
      </c>
      <c r="E1856" s="20">
        <v>45439</v>
      </c>
      <c r="F1856" s="21">
        <v>16028.8</v>
      </c>
      <c r="G1856" s="21">
        <v>7192</v>
      </c>
      <c r="H1856" s="21">
        <v>59.2</v>
      </c>
      <c r="I1856" s="18">
        <v>3096.72</v>
      </c>
      <c r="J1856" s="18">
        <v>5226.576</v>
      </c>
      <c r="K1856" s="18" t="s">
        <v>43</v>
      </c>
      <c r="L1856" s="18" t="s">
        <v>35</v>
      </c>
      <c r="M1856" s="18" t="s">
        <v>24</v>
      </c>
      <c r="N1856" s="22">
        <f t="shared" si="168"/>
        <v>0.44869235376322603</v>
      </c>
      <c r="O1856" s="22">
        <f t="shared" si="169"/>
        <v>8.2313681868743105E-3</v>
      </c>
      <c r="P1856" s="23">
        <f t="shared" si="170"/>
        <v>0.43057842046718597</v>
      </c>
      <c r="Q1856" s="23">
        <f t="shared" si="171"/>
        <v>52.309459459459497</v>
      </c>
      <c r="R1856" s="22">
        <f t="shared" si="172"/>
        <v>0.68777803611563204</v>
      </c>
      <c r="S1856" s="22">
        <f t="shared" si="173"/>
        <v>1.68777803611563</v>
      </c>
    </row>
    <row r="1857" spans="1:19">
      <c r="A1857" s="18" t="s">
        <v>1896</v>
      </c>
      <c r="B1857" s="18" t="s">
        <v>26</v>
      </c>
      <c r="C1857" s="18" t="s">
        <v>48</v>
      </c>
      <c r="D1857" s="19">
        <v>44863</v>
      </c>
      <c r="E1857" s="20">
        <v>45476</v>
      </c>
      <c r="F1857" s="21">
        <v>67088</v>
      </c>
      <c r="G1857" s="21">
        <v>41198.400000000001</v>
      </c>
      <c r="H1857" s="21">
        <v>862.4</v>
      </c>
      <c r="I1857" s="18">
        <v>2320.7840000000001</v>
      </c>
      <c r="J1857" s="18">
        <v>3344.288</v>
      </c>
      <c r="K1857" s="18" t="s">
        <v>30</v>
      </c>
      <c r="L1857" s="18" t="s">
        <v>31</v>
      </c>
      <c r="M1857" s="18" t="s">
        <v>24</v>
      </c>
      <c r="N1857" s="22">
        <f t="shared" si="168"/>
        <v>0.61409492010493705</v>
      </c>
      <c r="O1857" s="22">
        <f t="shared" si="169"/>
        <v>2.0932851761233402E-2</v>
      </c>
      <c r="P1857" s="23">
        <f t="shared" si="170"/>
        <v>5.6331896384325598E-2</v>
      </c>
      <c r="Q1857" s="23">
        <f t="shared" si="171"/>
        <v>2.6910760667903499</v>
      </c>
      <c r="R1857" s="22">
        <f t="shared" si="172"/>
        <v>0.44101648408468902</v>
      </c>
      <c r="S1857" s="22">
        <f t="shared" si="173"/>
        <v>1.44101648408469</v>
      </c>
    </row>
    <row r="1858" spans="1:19">
      <c r="A1858" s="18" t="s">
        <v>1897</v>
      </c>
      <c r="B1858" s="18" t="s">
        <v>47</v>
      </c>
      <c r="C1858" s="18" t="s">
        <v>41</v>
      </c>
      <c r="D1858" s="19">
        <v>44792</v>
      </c>
      <c r="E1858" s="20">
        <v>45419</v>
      </c>
      <c r="F1858" s="21">
        <v>40384</v>
      </c>
      <c r="G1858" s="21">
        <v>2473.6</v>
      </c>
      <c r="H1858" s="21">
        <v>257.60000000000002</v>
      </c>
      <c r="I1858" s="18">
        <v>335.47199999999998</v>
      </c>
      <c r="J1858" s="18">
        <v>1293.7439999999999</v>
      </c>
      <c r="K1858" s="18" t="s">
        <v>30</v>
      </c>
      <c r="L1858" s="18" t="s">
        <v>35</v>
      </c>
      <c r="M1858" s="18" t="s">
        <v>32</v>
      </c>
      <c r="N1858" s="22">
        <f t="shared" ref="N1858:N1921" si="174">G1858/F1858</f>
        <v>6.12519809825674E-2</v>
      </c>
      <c r="O1858" s="22">
        <f t="shared" ref="O1858:O1921" si="175">H1858/G1858</f>
        <v>0.104139715394567</v>
      </c>
      <c r="P1858" s="23">
        <f t="shared" ref="P1858:P1921" si="176">I1858/G1858</f>
        <v>0.135620957309185</v>
      </c>
      <c r="Q1858" s="23">
        <f t="shared" ref="Q1858:Q1921" si="177">I1858/H1858</f>
        <v>1.3022981366459601</v>
      </c>
      <c r="R1858" s="22">
        <f t="shared" ref="R1858:R1921" si="178">(J1858-I1858)/I1858</f>
        <v>2.8564887680641</v>
      </c>
      <c r="S1858" s="22">
        <f t="shared" ref="S1858:S1921" si="179">J1858/I1858</f>
        <v>3.8564887680641</v>
      </c>
    </row>
    <row r="1859" spans="1:19">
      <c r="A1859" s="18" t="s">
        <v>1898</v>
      </c>
      <c r="B1859" s="18" t="s">
        <v>20</v>
      </c>
      <c r="C1859" s="18" t="s">
        <v>48</v>
      </c>
      <c r="D1859" s="19">
        <v>44926</v>
      </c>
      <c r="E1859" s="20">
        <v>45532</v>
      </c>
      <c r="F1859" s="21">
        <v>22587.200000000001</v>
      </c>
      <c r="G1859" s="21">
        <v>17022.400000000001</v>
      </c>
      <c r="H1859" s="21">
        <v>1472</v>
      </c>
      <c r="I1859" s="18">
        <v>4356.88</v>
      </c>
      <c r="J1859" s="18">
        <v>11633.343999999999</v>
      </c>
      <c r="K1859" s="18" t="s">
        <v>65</v>
      </c>
      <c r="L1859" s="18" t="s">
        <v>23</v>
      </c>
      <c r="M1859" s="18" t="s">
        <v>24</v>
      </c>
      <c r="N1859" s="22">
        <f t="shared" si="174"/>
        <v>0.75363037472550798</v>
      </c>
      <c r="O1859" s="22">
        <f t="shared" si="175"/>
        <v>8.6474292696681998E-2</v>
      </c>
      <c r="P1859" s="23">
        <f t="shared" si="176"/>
        <v>0.25594980731271699</v>
      </c>
      <c r="Q1859" s="23">
        <f t="shared" si="177"/>
        <v>2.9598369565217402</v>
      </c>
      <c r="R1859" s="22">
        <f t="shared" si="178"/>
        <v>1.67010888525734</v>
      </c>
      <c r="S1859" s="22">
        <f t="shared" si="179"/>
        <v>2.6701088852573398</v>
      </c>
    </row>
    <row r="1860" spans="1:19">
      <c r="A1860" s="18" t="s">
        <v>1899</v>
      </c>
      <c r="B1860" s="18" t="s">
        <v>40</v>
      </c>
      <c r="C1860" s="18" t="s">
        <v>48</v>
      </c>
      <c r="D1860" s="19">
        <v>44913</v>
      </c>
      <c r="E1860" s="20">
        <v>45514</v>
      </c>
      <c r="F1860" s="21">
        <v>28059.200000000001</v>
      </c>
      <c r="G1860" s="21">
        <v>6078.4</v>
      </c>
      <c r="H1860" s="21">
        <v>83.2</v>
      </c>
      <c r="I1860" s="18">
        <v>5403.28</v>
      </c>
      <c r="J1860" s="18">
        <v>9910.9599999999991</v>
      </c>
      <c r="K1860" s="18" t="s">
        <v>65</v>
      </c>
      <c r="L1860" s="18" t="s">
        <v>23</v>
      </c>
      <c r="M1860" s="18" t="s">
        <v>32</v>
      </c>
      <c r="N1860" s="22">
        <f t="shared" si="174"/>
        <v>0.21662770143126001</v>
      </c>
      <c r="O1860" s="22">
        <f t="shared" si="175"/>
        <v>1.3687812582258501E-2</v>
      </c>
      <c r="P1860" s="23">
        <f t="shared" si="176"/>
        <v>0.88893129770992396</v>
      </c>
      <c r="Q1860" s="23">
        <f t="shared" si="177"/>
        <v>64.943269230769204</v>
      </c>
      <c r="R1860" s="22">
        <f t="shared" si="178"/>
        <v>0.83424882663863398</v>
      </c>
      <c r="S1860" s="22">
        <f t="shared" si="179"/>
        <v>1.8342488266386301</v>
      </c>
    </row>
    <row r="1861" spans="1:19">
      <c r="A1861" s="18" t="s">
        <v>1900</v>
      </c>
      <c r="B1861" s="18" t="s">
        <v>40</v>
      </c>
      <c r="C1861" s="18" t="s">
        <v>29</v>
      </c>
      <c r="D1861" s="19">
        <v>44893</v>
      </c>
      <c r="E1861" s="20">
        <v>45505</v>
      </c>
      <c r="F1861" s="21">
        <v>26545.599999999999</v>
      </c>
      <c r="G1861" s="21">
        <v>18558.400000000001</v>
      </c>
      <c r="H1861" s="21">
        <v>8187.2</v>
      </c>
      <c r="I1861" s="18">
        <v>2799.616</v>
      </c>
      <c r="J1861" s="18">
        <v>8590.6880000000001</v>
      </c>
      <c r="K1861" s="18" t="s">
        <v>30</v>
      </c>
      <c r="L1861" s="18" t="s">
        <v>50</v>
      </c>
      <c r="M1861" s="18" t="s">
        <v>32</v>
      </c>
      <c r="N1861" s="22">
        <f t="shared" si="174"/>
        <v>0.69911397745765802</v>
      </c>
      <c r="O1861" s="22">
        <f t="shared" si="175"/>
        <v>0.44115872057936001</v>
      </c>
      <c r="P1861" s="23">
        <f t="shared" si="176"/>
        <v>0.150854383998621</v>
      </c>
      <c r="Q1861" s="23">
        <f t="shared" si="177"/>
        <v>0.341950361539965</v>
      </c>
      <c r="R1861" s="22">
        <f t="shared" si="178"/>
        <v>2.0685236832479901</v>
      </c>
      <c r="S1861" s="22">
        <f t="shared" si="179"/>
        <v>3.0685236832479901</v>
      </c>
    </row>
    <row r="1862" spans="1:19">
      <c r="A1862" s="18" t="s">
        <v>1901</v>
      </c>
      <c r="B1862" s="18" t="s">
        <v>40</v>
      </c>
      <c r="C1862" s="18" t="s">
        <v>21</v>
      </c>
      <c r="D1862" s="19">
        <v>44852</v>
      </c>
      <c r="E1862" s="20">
        <v>45456</v>
      </c>
      <c r="F1862" s="21">
        <v>5246.4</v>
      </c>
      <c r="G1862" s="21">
        <v>3932.8</v>
      </c>
      <c r="H1862" s="21">
        <v>115.2</v>
      </c>
      <c r="I1862" s="18">
        <v>2113.04</v>
      </c>
      <c r="J1862" s="18">
        <v>4007.5360000000001</v>
      </c>
      <c r="K1862" s="18" t="s">
        <v>22</v>
      </c>
      <c r="L1862" s="18" t="s">
        <v>23</v>
      </c>
      <c r="M1862" s="18" t="s">
        <v>24</v>
      </c>
      <c r="N1862" s="22">
        <f t="shared" si="174"/>
        <v>0.74961878621530997</v>
      </c>
      <c r="O1862" s="22">
        <f t="shared" si="175"/>
        <v>2.9292107404393801E-2</v>
      </c>
      <c r="P1862" s="23">
        <f t="shared" si="176"/>
        <v>0.53728641171684299</v>
      </c>
      <c r="Q1862" s="23">
        <f t="shared" si="177"/>
        <v>18.342361111111099</v>
      </c>
      <c r="R1862" s="22">
        <f t="shared" si="178"/>
        <v>0.89657365691136903</v>
      </c>
      <c r="S1862" s="22">
        <f t="shared" si="179"/>
        <v>1.89657365691137</v>
      </c>
    </row>
    <row r="1863" spans="1:19">
      <c r="A1863" s="18" t="s">
        <v>1902</v>
      </c>
      <c r="B1863" s="18" t="s">
        <v>47</v>
      </c>
      <c r="C1863" s="18" t="s">
        <v>21</v>
      </c>
      <c r="D1863" s="19">
        <v>44704</v>
      </c>
      <c r="E1863" s="20">
        <v>45322</v>
      </c>
      <c r="F1863" s="21">
        <v>22769.599999999999</v>
      </c>
      <c r="G1863" s="21">
        <v>10193.6</v>
      </c>
      <c r="H1863" s="21">
        <v>9868.7999999999993</v>
      </c>
      <c r="I1863" s="18">
        <v>1239.6320000000001</v>
      </c>
      <c r="J1863" s="18">
        <v>2766.944</v>
      </c>
      <c r="K1863" s="18" t="s">
        <v>38</v>
      </c>
      <c r="L1863" s="18" t="s">
        <v>23</v>
      </c>
      <c r="M1863" s="18" t="s">
        <v>24</v>
      </c>
      <c r="N1863" s="22">
        <f t="shared" si="174"/>
        <v>0.44768463214109999</v>
      </c>
      <c r="O1863" s="22">
        <f t="shared" si="175"/>
        <v>0.96813687019306205</v>
      </c>
      <c r="P1863" s="23">
        <f t="shared" si="176"/>
        <v>0.121608852613404</v>
      </c>
      <c r="Q1863" s="23">
        <f t="shared" si="177"/>
        <v>0.12561121919585</v>
      </c>
      <c r="R1863" s="22">
        <f t="shared" si="178"/>
        <v>1.2320688720523501</v>
      </c>
      <c r="S1863" s="22">
        <f t="shared" si="179"/>
        <v>2.2320688720523498</v>
      </c>
    </row>
    <row r="1864" spans="1:19">
      <c r="A1864" s="18" t="s">
        <v>1903</v>
      </c>
      <c r="B1864" s="18" t="s">
        <v>40</v>
      </c>
      <c r="C1864" s="18" t="s">
        <v>41</v>
      </c>
      <c r="D1864" s="19">
        <v>44859</v>
      </c>
      <c r="E1864" s="20">
        <v>45464</v>
      </c>
      <c r="F1864" s="21">
        <v>43744</v>
      </c>
      <c r="G1864" s="21">
        <v>22662.400000000001</v>
      </c>
      <c r="H1864" s="21">
        <v>1142.4000000000001</v>
      </c>
      <c r="I1864" s="18">
        <v>161.04</v>
      </c>
      <c r="J1864" s="18">
        <v>269.69600000000003</v>
      </c>
      <c r="K1864" s="18" t="s">
        <v>22</v>
      </c>
      <c r="L1864" s="18" t="s">
        <v>31</v>
      </c>
      <c r="M1864" s="18" t="s">
        <v>24</v>
      </c>
      <c r="N1864" s="22">
        <f t="shared" si="174"/>
        <v>0.51806876371616695</v>
      </c>
      <c r="O1864" s="22">
        <f t="shared" si="175"/>
        <v>5.0409488844959001E-2</v>
      </c>
      <c r="P1864" s="23">
        <f t="shared" si="176"/>
        <v>7.1060434905393897E-3</v>
      </c>
      <c r="Q1864" s="23">
        <f t="shared" si="177"/>
        <v>0.14096638655462199</v>
      </c>
      <c r="R1864" s="22">
        <f t="shared" si="178"/>
        <v>0.67471435668156998</v>
      </c>
      <c r="S1864" s="22">
        <f t="shared" si="179"/>
        <v>1.6747143566815701</v>
      </c>
    </row>
    <row r="1865" spans="1:19">
      <c r="A1865" s="18" t="s">
        <v>1904</v>
      </c>
      <c r="B1865" s="18" t="s">
        <v>47</v>
      </c>
      <c r="C1865" s="18" t="s">
        <v>21</v>
      </c>
      <c r="D1865" s="19">
        <v>44945</v>
      </c>
      <c r="E1865" s="20">
        <v>45565</v>
      </c>
      <c r="F1865" s="21">
        <v>74488</v>
      </c>
      <c r="G1865" s="21">
        <v>37729.599999999999</v>
      </c>
      <c r="H1865" s="21">
        <v>37307.199999999997</v>
      </c>
      <c r="I1865" s="18">
        <v>5929.3919999999998</v>
      </c>
      <c r="J1865" s="18">
        <v>18674.560000000001</v>
      </c>
      <c r="K1865" s="18" t="s">
        <v>22</v>
      </c>
      <c r="L1865" s="18" t="s">
        <v>35</v>
      </c>
      <c r="M1865" s="18" t="s">
        <v>32</v>
      </c>
      <c r="N1865" s="22">
        <f t="shared" si="174"/>
        <v>0.50651917087316101</v>
      </c>
      <c r="O1865" s="22">
        <f t="shared" si="175"/>
        <v>0.98880454603282297</v>
      </c>
      <c r="P1865" s="23">
        <f t="shared" si="176"/>
        <v>0.157154912853569</v>
      </c>
      <c r="Q1865" s="23">
        <f t="shared" si="177"/>
        <v>0.15893425397778399</v>
      </c>
      <c r="R1865" s="22">
        <f t="shared" si="178"/>
        <v>2.1494898633789101</v>
      </c>
      <c r="S1865" s="22">
        <f t="shared" si="179"/>
        <v>3.1494898633789101</v>
      </c>
    </row>
    <row r="1866" spans="1:19">
      <c r="A1866" s="18" t="s">
        <v>1905</v>
      </c>
      <c r="B1866" s="18" t="s">
        <v>28</v>
      </c>
      <c r="C1866" s="18" t="s">
        <v>29</v>
      </c>
      <c r="D1866" s="19">
        <v>44848</v>
      </c>
      <c r="E1866" s="20">
        <v>45464</v>
      </c>
      <c r="F1866" s="21">
        <v>37705.599999999999</v>
      </c>
      <c r="G1866" s="21">
        <v>21468.799999999999</v>
      </c>
      <c r="H1866" s="21">
        <v>15756.8</v>
      </c>
      <c r="I1866" s="18">
        <v>1455.952</v>
      </c>
      <c r="J1866" s="18">
        <v>2273.8879999999999</v>
      </c>
      <c r="K1866" s="18" t="s">
        <v>38</v>
      </c>
      <c r="L1866" s="18" t="s">
        <v>50</v>
      </c>
      <c r="M1866" s="18" t="s">
        <v>24</v>
      </c>
      <c r="N1866" s="22">
        <f t="shared" si="174"/>
        <v>0.569379614699143</v>
      </c>
      <c r="O1866" s="22">
        <f t="shared" si="175"/>
        <v>0.733939484274855</v>
      </c>
      <c r="P1866" s="23">
        <f t="shared" si="176"/>
        <v>6.7817111342972095E-2</v>
      </c>
      <c r="Q1866" s="23">
        <f t="shared" si="177"/>
        <v>9.2401502843216896E-2</v>
      </c>
      <c r="R1866" s="22">
        <f t="shared" si="178"/>
        <v>0.56178775124454605</v>
      </c>
      <c r="S1866" s="22">
        <f t="shared" si="179"/>
        <v>1.5617877512445499</v>
      </c>
    </row>
    <row r="1867" spans="1:19">
      <c r="A1867" s="18" t="s">
        <v>1906</v>
      </c>
      <c r="B1867" s="18" t="s">
        <v>28</v>
      </c>
      <c r="C1867" s="18" t="s">
        <v>29</v>
      </c>
      <c r="D1867" s="19">
        <v>44873</v>
      </c>
      <c r="E1867" s="20">
        <v>45477</v>
      </c>
      <c r="F1867" s="21">
        <v>77929.600000000006</v>
      </c>
      <c r="G1867" s="21">
        <v>77414.399999999994</v>
      </c>
      <c r="H1867" s="21">
        <v>28936</v>
      </c>
      <c r="I1867" s="18">
        <v>3592.0160000000001</v>
      </c>
      <c r="J1867" s="18">
        <v>8094.8</v>
      </c>
      <c r="K1867" s="18" t="s">
        <v>65</v>
      </c>
      <c r="L1867" s="18" t="s">
        <v>44</v>
      </c>
      <c r="M1867" s="18" t="s">
        <v>32</v>
      </c>
      <c r="N1867" s="22">
        <f t="shared" si="174"/>
        <v>0.99338890485771802</v>
      </c>
      <c r="O1867" s="22">
        <f t="shared" si="175"/>
        <v>0.37378058862433899</v>
      </c>
      <c r="P1867" s="23">
        <f t="shared" si="176"/>
        <v>4.63998429232804E-2</v>
      </c>
      <c r="Q1867" s="23">
        <f t="shared" si="177"/>
        <v>0.124136577273984</v>
      </c>
      <c r="R1867" s="22">
        <f t="shared" si="178"/>
        <v>1.25355343628759</v>
      </c>
      <c r="S1867" s="22">
        <f t="shared" si="179"/>
        <v>2.2535534362875902</v>
      </c>
    </row>
    <row r="1868" spans="1:19">
      <c r="A1868" s="18" t="s">
        <v>1907</v>
      </c>
      <c r="B1868" s="18" t="s">
        <v>20</v>
      </c>
      <c r="C1868" s="18" t="s">
        <v>41</v>
      </c>
      <c r="D1868" s="19">
        <v>44728</v>
      </c>
      <c r="E1868" s="20">
        <v>45334</v>
      </c>
      <c r="F1868" s="21">
        <v>9640</v>
      </c>
      <c r="G1868" s="21">
        <v>5281.6</v>
      </c>
      <c r="H1868" s="21">
        <v>932.8</v>
      </c>
      <c r="I1868" s="18">
        <v>4494.9920000000002</v>
      </c>
      <c r="J1868" s="18">
        <v>15083.616</v>
      </c>
      <c r="K1868" s="18" t="s">
        <v>65</v>
      </c>
      <c r="L1868" s="18" t="s">
        <v>23</v>
      </c>
      <c r="M1868" s="18" t="s">
        <v>24</v>
      </c>
      <c r="N1868" s="22">
        <f t="shared" si="174"/>
        <v>0.54788381742738601</v>
      </c>
      <c r="O1868" s="22">
        <f t="shared" si="175"/>
        <v>0.17661314753105101</v>
      </c>
      <c r="P1868" s="23">
        <f t="shared" si="176"/>
        <v>0.85106634353226296</v>
      </c>
      <c r="Q1868" s="23">
        <f t="shared" si="177"/>
        <v>4.8188164665523203</v>
      </c>
      <c r="R1868" s="22">
        <f t="shared" si="178"/>
        <v>2.3556491312998999</v>
      </c>
      <c r="S1868" s="22">
        <f t="shared" si="179"/>
        <v>3.3556491312998999</v>
      </c>
    </row>
    <row r="1869" spans="1:19">
      <c r="A1869" s="18" t="s">
        <v>1908</v>
      </c>
      <c r="B1869" s="18" t="s">
        <v>34</v>
      </c>
      <c r="C1869" s="18" t="s">
        <v>21</v>
      </c>
      <c r="D1869" s="19">
        <v>44935</v>
      </c>
      <c r="E1869" s="20">
        <v>45544</v>
      </c>
      <c r="F1869" s="21">
        <v>41128</v>
      </c>
      <c r="G1869" s="21">
        <v>36310.400000000001</v>
      </c>
      <c r="H1869" s="21">
        <v>12571.2</v>
      </c>
      <c r="I1869" s="18">
        <v>2113.6640000000002</v>
      </c>
      <c r="J1869" s="18">
        <v>6115.76</v>
      </c>
      <c r="K1869" s="18" t="s">
        <v>43</v>
      </c>
      <c r="L1869" s="18" t="s">
        <v>23</v>
      </c>
      <c r="M1869" s="18" t="s">
        <v>32</v>
      </c>
      <c r="N1869" s="22">
        <f t="shared" si="174"/>
        <v>0.88286325617584105</v>
      </c>
      <c r="O1869" s="22">
        <f t="shared" si="175"/>
        <v>0.346214858552922</v>
      </c>
      <c r="P1869" s="23">
        <f t="shared" si="176"/>
        <v>5.8210980876002502E-2</v>
      </c>
      <c r="Q1869" s="23">
        <f t="shared" si="177"/>
        <v>0.16813542064401199</v>
      </c>
      <c r="R1869" s="22">
        <f t="shared" si="178"/>
        <v>1.8934400169563399</v>
      </c>
      <c r="S1869" s="22">
        <f t="shared" si="179"/>
        <v>2.8934400169563399</v>
      </c>
    </row>
    <row r="1870" spans="1:19">
      <c r="A1870" s="18" t="s">
        <v>1909</v>
      </c>
      <c r="B1870" s="18" t="s">
        <v>28</v>
      </c>
      <c r="C1870" s="18" t="s">
        <v>41</v>
      </c>
      <c r="D1870" s="19">
        <v>44747</v>
      </c>
      <c r="E1870" s="20">
        <v>45353</v>
      </c>
      <c r="F1870" s="21">
        <v>24436.799999999999</v>
      </c>
      <c r="G1870" s="21">
        <v>1993.6</v>
      </c>
      <c r="H1870" s="21">
        <v>3.2</v>
      </c>
      <c r="I1870" s="18">
        <v>3283.2640000000001</v>
      </c>
      <c r="J1870" s="18">
        <v>4720.08</v>
      </c>
      <c r="K1870" s="18" t="s">
        <v>43</v>
      </c>
      <c r="L1870" s="18" t="s">
        <v>35</v>
      </c>
      <c r="M1870" s="18" t="s">
        <v>32</v>
      </c>
      <c r="N1870" s="22">
        <f t="shared" si="174"/>
        <v>8.1581876514109905E-2</v>
      </c>
      <c r="O1870" s="22">
        <f t="shared" si="175"/>
        <v>1.6051364365971101E-3</v>
      </c>
      <c r="P1870" s="23">
        <f t="shared" si="176"/>
        <v>1.64690208667737</v>
      </c>
      <c r="Q1870" s="23">
        <f t="shared" si="177"/>
        <v>1026.02</v>
      </c>
      <c r="R1870" s="22">
        <f t="shared" si="178"/>
        <v>0.437618175084306</v>
      </c>
      <c r="S1870" s="22">
        <f t="shared" si="179"/>
        <v>1.43761817508431</v>
      </c>
    </row>
    <row r="1871" spans="1:19">
      <c r="A1871" s="18" t="s">
        <v>1910</v>
      </c>
      <c r="B1871" s="18" t="s">
        <v>34</v>
      </c>
      <c r="C1871" s="18" t="s">
        <v>48</v>
      </c>
      <c r="D1871" s="19">
        <v>44878</v>
      </c>
      <c r="E1871" s="20">
        <v>45504</v>
      </c>
      <c r="F1871" s="21">
        <v>40580.800000000003</v>
      </c>
      <c r="G1871" s="21">
        <v>34982.400000000001</v>
      </c>
      <c r="H1871" s="21">
        <v>555.20000000000005</v>
      </c>
      <c r="I1871" s="18">
        <v>202.4</v>
      </c>
      <c r="J1871" s="18">
        <v>652.03200000000004</v>
      </c>
      <c r="K1871" s="18" t="s">
        <v>65</v>
      </c>
      <c r="L1871" s="18" t="s">
        <v>35</v>
      </c>
      <c r="M1871" s="18" t="s">
        <v>32</v>
      </c>
      <c r="N1871" s="22">
        <f t="shared" si="174"/>
        <v>0.86204313369869501</v>
      </c>
      <c r="O1871" s="22">
        <f t="shared" si="175"/>
        <v>1.5870837907061799E-2</v>
      </c>
      <c r="P1871" s="23">
        <f t="shared" si="176"/>
        <v>5.7857665568971798E-3</v>
      </c>
      <c r="Q1871" s="23">
        <f t="shared" si="177"/>
        <v>0.36455331412103698</v>
      </c>
      <c r="R1871" s="22">
        <f t="shared" si="178"/>
        <v>2.2215019762845798</v>
      </c>
      <c r="S1871" s="22">
        <f t="shared" si="179"/>
        <v>3.2215019762845798</v>
      </c>
    </row>
    <row r="1872" spans="1:19">
      <c r="A1872" s="18" t="s">
        <v>1911</v>
      </c>
      <c r="B1872" s="18" t="s">
        <v>47</v>
      </c>
      <c r="C1872" s="18" t="s">
        <v>29</v>
      </c>
      <c r="D1872" s="19">
        <v>44885</v>
      </c>
      <c r="E1872" s="20">
        <v>45505</v>
      </c>
      <c r="F1872" s="21">
        <v>41683.199999999997</v>
      </c>
      <c r="G1872" s="21">
        <v>16158.4</v>
      </c>
      <c r="H1872" s="21">
        <v>4771.2</v>
      </c>
      <c r="I1872" s="18">
        <v>6193.9679999999998</v>
      </c>
      <c r="J1872" s="18">
        <v>14836.656000000001</v>
      </c>
      <c r="K1872" s="18" t="s">
        <v>43</v>
      </c>
      <c r="L1872" s="18" t="s">
        <v>35</v>
      </c>
      <c r="M1872" s="18" t="s">
        <v>32</v>
      </c>
      <c r="N1872" s="22">
        <f t="shared" si="174"/>
        <v>0.38764778136035599</v>
      </c>
      <c r="O1872" s="22">
        <f t="shared" si="175"/>
        <v>0.295276760075255</v>
      </c>
      <c r="P1872" s="23">
        <f t="shared" si="176"/>
        <v>0.38332805228240402</v>
      </c>
      <c r="Q1872" s="23">
        <f t="shared" si="177"/>
        <v>1.2981991951710301</v>
      </c>
      <c r="R1872" s="22">
        <f t="shared" si="178"/>
        <v>1.3953394657511999</v>
      </c>
      <c r="S1872" s="22">
        <f t="shared" si="179"/>
        <v>2.3953394657512002</v>
      </c>
    </row>
    <row r="1873" spans="1:19">
      <c r="A1873" s="18" t="s">
        <v>1912</v>
      </c>
      <c r="B1873" s="18" t="s">
        <v>26</v>
      </c>
      <c r="C1873" s="18" t="s">
        <v>41</v>
      </c>
      <c r="D1873" s="19">
        <v>44772</v>
      </c>
      <c r="E1873" s="20">
        <v>45401</v>
      </c>
      <c r="F1873" s="21">
        <v>77443.199999999997</v>
      </c>
      <c r="G1873" s="21">
        <v>4656</v>
      </c>
      <c r="H1873" s="21">
        <v>875.2</v>
      </c>
      <c r="I1873" s="18">
        <v>6622.1279999999997</v>
      </c>
      <c r="J1873" s="18">
        <v>8478.768</v>
      </c>
      <c r="K1873" s="18" t="s">
        <v>22</v>
      </c>
      <c r="L1873" s="18" t="s">
        <v>44</v>
      </c>
      <c r="M1873" s="18" t="s">
        <v>32</v>
      </c>
      <c r="N1873" s="22">
        <f t="shared" si="174"/>
        <v>6.0121482583364298E-2</v>
      </c>
      <c r="O1873" s="22">
        <f t="shared" si="175"/>
        <v>0.18797250859106501</v>
      </c>
      <c r="P1873" s="23">
        <f t="shared" si="176"/>
        <v>1.4222783505154599</v>
      </c>
      <c r="Q1873" s="23">
        <f t="shared" si="177"/>
        <v>7.5664168190128001</v>
      </c>
      <c r="R1873" s="22">
        <f t="shared" si="178"/>
        <v>0.280369089815238</v>
      </c>
      <c r="S1873" s="22">
        <f t="shared" si="179"/>
        <v>1.28036908981524</v>
      </c>
    </row>
    <row r="1874" spans="1:19">
      <c r="A1874" s="18" t="s">
        <v>1913</v>
      </c>
      <c r="B1874" s="18" t="s">
        <v>20</v>
      </c>
      <c r="C1874" s="18" t="s">
        <v>21</v>
      </c>
      <c r="D1874" s="19">
        <v>44821</v>
      </c>
      <c r="E1874" s="20">
        <v>45446</v>
      </c>
      <c r="F1874" s="21">
        <v>60771.199999999997</v>
      </c>
      <c r="G1874" s="21">
        <v>12457.6</v>
      </c>
      <c r="H1874" s="21">
        <v>5254.4</v>
      </c>
      <c r="I1874" s="18">
        <v>5488.4319999999998</v>
      </c>
      <c r="J1874" s="18">
        <v>10565.536</v>
      </c>
      <c r="K1874" s="18" t="s">
        <v>30</v>
      </c>
      <c r="L1874" s="18" t="s">
        <v>50</v>
      </c>
      <c r="M1874" s="18" t="s">
        <v>32</v>
      </c>
      <c r="N1874" s="22">
        <f t="shared" si="174"/>
        <v>0.204991838239166</v>
      </c>
      <c r="O1874" s="22">
        <f t="shared" si="175"/>
        <v>0.42178268687387599</v>
      </c>
      <c r="P1874" s="23">
        <f t="shared" si="176"/>
        <v>0.44056896994605699</v>
      </c>
      <c r="Q1874" s="23">
        <f t="shared" si="177"/>
        <v>1.0445401948842901</v>
      </c>
      <c r="R1874" s="22">
        <f t="shared" si="178"/>
        <v>0.92505546210648104</v>
      </c>
      <c r="S1874" s="22">
        <f t="shared" si="179"/>
        <v>1.9250554621064799</v>
      </c>
    </row>
    <row r="1875" spans="1:19">
      <c r="A1875" s="18" t="s">
        <v>1914</v>
      </c>
      <c r="B1875" s="18" t="s">
        <v>26</v>
      </c>
      <c r="C1875" s="18" t="s">
        <v>48</v>
      </c>
      <c r="D1875" s="19">
        <v>44979</v>
      </c>
      <c r="E1875" s="20">
        <v>45587</v>
      </c>
      <c r="F1875" s="21">
        <v>49420.800000000003</v>
      </c>
      <c r="G1875" s="21">
        <v>44804.800000000003</v>
      </c>
      <c r="H1875" s="21">
        <v>20478.400000000001</v>
      </c>
      <c r="I1875" s="18">
        <v>7145.4719999999998</v>
      </c>
      <c r="J1875" s="18">
        <v>20726.671999999999</v>
      </c>
      <c r="K1875" s="18" t="s">
        <v>43</v>
      </c>
      <c r="L1875" s="18" t="s">
        <v>35</v>
      </c>
      <c r="M1875" s="18" t="s">
        <v>32</v>
      </c>
      <c r="N1875" s="22">
        <f t="shared" si="174"/>
        <v>0.90659803159803198</v>
      </c>
      <c r="O1875" s="22">
        <f t="shared" si="175"/>
        <v>0.45705817233867801</v>
      </c>
      <c r="P1875" s="23">
        <f t="shared" si="176"/>
        <v>0.159480055708317</v>
      </c>
      <c r="Q1875" s="23">
        <f t="shared" si="177"/>
        <v>0.34892725994218299</v>
      </c>
      <c r="R1875" s="22">
        <f t="shared" si="178"/>
        <v>1.9006722019203199</v>
      </c>
      <c r="S1875" s="22">
        <f t="shared" si="179"/>
        <v>2.9006722019203202</v>
      </c>
    </row>
    <row r="1876" spans="1:19">
      <c r="A1876" s="18" t="s">
        <v>1915</v>
      </c>
      <c r="B1876" s="18" t="s">
        <v>34</v>
      </c>
      <c r="C1876" s="18" t="s">
        <v>48</v>
      </c>
      <c r="D1876" s="19">
        <v>44771</v>
      </c>
      <c r="E1876" s="20">
        <v>45388</v>
      </c>
      <c r="F1876" s="21">
        <v>2184</v>
      </c>
      <c r="G1876" s="21">
        <v>1457.6</v>
      </c>
      <c r="H1876" s="21">
        <v>412.8</v>
      </c>
      <c r="I1876" s="18">
        <v>5574.2560000000003</v>
      </c>
      <c r="J1876" s="18">
        <v>12126.048000000001</v>
      </c>
      <c r="K1876" s="18" t="s">
        <v>43</v>
      </c>
      <c r="L1876" s="18" t="s">
        <v>44</v>
      </c>
      <c r="M1876" s="18" t="s">
        <v>24</v>
      </c>
      <c r="N1876" s="22">
        <f t="shared" si="174"/>
        <v>0.66739926739926703</v>
      </c>
      <c r="O1876" s="22">
        <f t="shared" si="175"/>
        <v>0.28320526893523601</v>
      </c>
      <c r="P1876" s="23">
        <f t="shared" si="176"/>
        <v>3.8242700329308499</v>
      </c>
      <c r="Q1876" s="23">
        <f t="shared" si="177"/>
        <v>13.503527131782899</v>
      </c>
      <c r="R1876" s="22">
        <f t="shared" si="178"/>
        <v>1.1753661833973901</v>
      </c>
      <c r="S1876" s="22">
        <f t="shared" si="179"/>
        <v>2.1753661833973901</v>
      </c>
    </row>
    <row r="1877" spans="1:19">
      <c r="A1877" s="18" t="s">
        <v>1916</v>
      </c>
      <c r="B1877" s="18" t="s">
        <v>20</v>
      </c>
      <c r="C1877" s="18" t="s">
        <v>21</v>
      </c>
      <c r="D1877" s="19">
        <v>44922</v>
      </c>
      <c r="E1877" s="20">
        <v>45544</v>
      </c>
      <c r="F1877" s="21">
        <v>76998.399999999994</v>
      </c>
      <c r="G1877" s="21">
        <v>70936</v>
      </c>
      <c r="H1877" s="21">
        <v>45176</v>
      </c>
      <c r="I1877" s="18">
        <v>3018.768</v>
      </c>
      <c r="J1877" s="18">
        <v>8761.44</v>
      </c>
      <c r="K1877" s="18" t="s">
        <v>65</v>
      </c>
      <c r="L1877" s="18" t="s">
        <v>31</v>
      </c>
      <c r="M1877" s="18" t="s">
        <v>32</v>
      </c>
      <c r="N1877" s="22">
        <f t="shared" si="174"/>
        <v>0.92126589643421197</v>
      </c>
      <c r="O1877" s="22">
        <f t="shared" si="175"/>
        <v>0.636855757302357</v>
      </c>
      <c r="P1877" s="23">
        <f t="shared" si="176"/>
        <v>4.2556219690989099E-2</v>
      </c>
      <c r="Q1877" s="23">
        <f t="shared" si="177"/>
        <v>6.6822383566495502E-2</v>
      </c>
      <c r="R1877" s="22">
        <f t="shared" si="178"/>
        <v>1.9023230668935101</v>
      </c>
      <c r="S1877" s="22">
        <f t="shared" si="179"/>
        <v>2.9023230668935098</v>
      </c>
    </row>
    <row r="1878" spans="1:19">
      <c r="A1878" s="18" t="s">
        <v>1917</v>
      </c>
      <c r="B1878" s="18" t="s">
        <v>28</v>
      </c>
      <c r="C1878" s="18" t="s">
        <v>29</v>
      </c>
      <c r="D1878" s="19">
        <v>44707</v>
      </c>
      <c r="E1878" s="20">
        <v>45323</v>
      </c>
      <c r="F1878" s="21">
        <v>31060.799999999999</v>
      </c>
      <c r="G1878" s="21">
        <v>11635.2</v>
      </c>
      <c r="H1878" s="21">
        <v>1177.5999999999999</v>
      </c>
      <c r="I1878" s="18">
        <v>6488.5919999999996</v>
      </c>
      <c r="J1878" s="18">
        <v>22876.912</v>
      </c>
      <c r="K1878" s="18" t="s">
        <v>30</v>
      </c>
      <c r="L1878" s="18" t="s">
        <v>44</v>
      </c>
      <c r="M1878" s="18" t="s">
        <v>32</v>
      </c>
      <c r="N1878" s="22">
        <f t="shared" si="174"/>
        <v>0.37459434399629099</v>
      </c>
      <c r="O1878" s="22">
        <f t="shared" si="175"/>
        <v>0.101210121012101</v>
      </c>
      <c r="P1878" s="23">
        <f t="shared" si="176"/>
        <v>0.55766914191419104</v>
      </c>
      <c r="Q1878" s="23">
        <f t="shared" si="177"/>
        <v>5.5100135869565197</v>
      </c>
      <c r="R1878" s="22">
        <f t="shared" si="178"/>
        <v>2.5257128202852002</v>
      </c>
      <c r="S1878" s="22">
        <f t="shared" si="179"/>
        <v>3.5257128202852002</v>
      </c>
    </row>
    <row r="1879" spans="1:19">
      <c r="A1879" s="18" t="s">
        <v>1918</v>
      </c>
      <c r="B1879" s="18" t="s">
        <v>47</v>
      </c>
      <c r="C1879" s="18" t="s">
        <v>48</v>
      </c>
      <c r="D1879" s="19">
        <v>44945</v>
      </c>
      <c r="E1879" s="20">
        <v>45560</v>
      </c>
      <c r="F1879" s="21">
        <v>33240</v>
      </c>
      <c r="G1879" s="21">
        <v>12718.4</v>
      </c>
      <c r="H1879" s="21">
        <v>6585.6</v>
      </c>
      <c r="I1879" s="18">
        <v>7603.92</v>
      </c>
      <c r="J1879" s="18">
        <v>28204.815999999999</v>
      </c>
      <c r="K1879" s="18" t="s">
        <v>65</v>
      </c>
      <c r="L1879" s="18" t="s">
        <v>44</v>
      </c>
      <c r="M1879" s="18" t="s">
        <v>24</v>
      </c>
      <c r="N1879" s="22">
        <f t="shared" si="174"/>
        <v>0.38262334536702802</v>
      </c>
      <c r="O1879" s="22">
        <f t="shared" si="175"/>
        <v>0.517800981255504</v>
      </c>
      <c r="P1879" s="23">
        <f t="shared" si="176"/>
        <v>0.59786765630896999</v>
      </c>
      <c r="Q1879" s="23">
        <f t="shared" si="177"/>
        <v>1.15462827988338</v>
      </c>
      <c r="R1879" s="22">
        <f t="shared" si="178"/>
        <v>2.7092468095403399</v>
      </c>
      <c r="S1879" s="22">
        <f t="shared" si="179"/>
        <v>3.7092468095403399</v>
      </c>
    </row>
    <row r="1880" spans="1:19">
      <c r="A1880" s="18" t="s">
        <v>1919</v>
      </c>
      <c r="B1880" s="18" t="s">
        <v>34</v>
      </c>
      <c r="C1880" s="18" t="s">
        <v>29</v>
      </c>
      <c r="D1880" s="19">
        <v>44873</v>
      </c>
      <c r="E1880" s="20">
        <v>45495</v>
      </c>
      <c r="F1880" s="21">
        <v>10742.4</v>
      </c>
      <c r="G1880" s="21">
        <v>7968</v>
      </c>
      <c r="H1880" s="21">
        <v>6507.2</v>
      </c>
      <c r="I1880" s="18">
        <v>4660.32</v>
      </c>
      <c r="J1880" s="18">
        <v>16678.784</v>
      </c>
      <c r="K1880" s="18" t="s">
        <v>38</v>
      </c>
      <c r="L1880" s="18" t="s">
        <v>50</v>
      </c>
      <c r="M1880" s="18" t="s">
        <v>24</v>
      </c>
      <c r="N1880" s="22">
        <f t="shared" si="174"/>
        <v>0.74173369079535301</v>
      </c>
      <c r="O1880" s="22">
        <f t="shared" si="175"/>
        <v>0.81666666666666698</v>
      </c>
      <c r="P1880" s="23">
        <f t="shared" si="176"/>
        <v>0.584879518072289</v>
      </c>
      <c r="Q1880" s="23">
        <f t="shared" si="177"/>
        <v>0.71617900172116999</v>
      </c>
      <c r="R1880" s="22">
        <f t="shared" si="178"/>
        <v>2.5788924365708801</v>
      </c>
      <c r="S1880" s="22">
        <f t="shared" si="179"/>
        <v>3.5788924365708801</v>
      </c>
    </row>
    <row r="1881" spans="1:19">
      <c r="A1881" s="18" t="s">
        <v>1920</v>
      </c>
      <c r="B1881" s="18" t="s">
        <v>34</v>
      </c>
      <c r="C1881" s="18" t="s">
        <v>21</v>
      </c>
      <c r="D1881" s="19">
        <v>44843</v>
      </c>
      <c r="E1881" s="20">
        <v>45467</v>
      </c>
      <c r="F1881" s="21">
        <v>25612.799999999999</v>
      </c>
      <c r="G1881" s="21">
        <v>7876.8</v>
      </c>
      <c r="H1881" s="21">
        <v>3680</v>
      </c>
      <c r="I1881" s="18">
        <v>988.11199999999997</v>
      </c>
      <c r="J1881" s="18">
        <v>2672.5120000000002</v>
      </c>
      <c r="K1881" s="18" t="s">
        <v>65</v>
      </c>
      <c r="L1881" s="18" t="s">
        <v>35</v>
      </c>
      <c r="M1881" s="18" t="s">
        <v>32</v>
      </c>
      <c r="N1881" s="22">
        <f t="shared" si="174"/>
        <v>0.30753373313343302</v>
      </c>
      <c r="O1881" s="22">
        <f t="shared" si="175"/>
        <v>0.46719479991874902</v>
      </c>
      <c r="P1881" s="23">
        <f t="shared" si="176"/>
        <v>0.12544586634166199</v>
      </c>
      <c r="Q1881" s="23">
        <f t="shared" si="177"/>
        <v>0.268508695652174</v>
      </c>
      <c r="R1881" s="22">
        <f t="shared" si="178"/>
        <v>1.70466505821202</v>
      </c>
      <c r="S1881" s="22">
        <f t="shared" si="179"/>
        <v>2.70466505821202</v>
      </c>
    </row>
    <row r="1882" spans="1:19">
      <c r="A1882" s="18" t="s">
        <v>1921</v>
      </c>
      <c r="B1882" s="18" t="s">
        <v>47</v>
      </c>
      <c r="C1882" s="18" t="s">
        <v>21</v>
      </c>
      <c r="D1882" s="19">
        <v>44896</v>
      </c>
      <c r="E1882" s="20">
        <v>45526</v>
      </c>
      <c r="F1882" s="21">
        <v>21270.400000000001</v>
      </c>
      <c r="G1882" s="21">
        <v>18414.400000000001</v>
      </c>
      <c r="H1882" s="21">
        <v>2654.4</v>
      </c>
      <c r="I1882" s="18">
        <v>7481.424</v>
      </c>
      <c r="J1882" s="18">
        <v>10946.64</v>
      </c>
      <c r="K1882" s="18" t="s">
        <v>65</v>
      </c>
      <c r="L1882" s="18" t="s">
        <v>31</v>
      </c>
      <c r="M1882" s="18" t="s">
        <v>24</v>
      </c>
      <c r="N1882" s="22">
        <f t="shared" si="174"/>
        <v>0.865728900255754</v>
      </c>
      <c r="O1882" s="22">
        <f t="shared" si="175"/>
        <v>0.14414805804153299</v>
      </c>
      <c r="P1882" s="23">
        <f t="shared" si="176"/>
        <v>0.40628117125727697</v>
      </c>
      <c r="Q1882" s="23">
        <f t="shared" si="177"/>
        <v>2.81849909584087</v>
      </c>
      <c r="R1882" s="22">
        <f t="shared" si="178"/>
        <v>0.46317599430268902</v>
      </c>
      <c r="S1882" s="22">
        <f t="shared" si="179"/>
        <v>1.4631759943026901</v>
      </c>
    </row>
    <row r="1883" spans="1:19">
      <c r="A1883" s="18" t="s">
        <v>1922</v>
      </c>
      <c r="B1883" s="18" t="s">
        <v>40</v>
      </c>
      <c r="C1883" s="18" t="s">
        <v>48</v>
      </c>
      <c r="D1883" s="19">
        <v>44705</v>
      </c>
      <c r="E1883" s="20">
        <v>45318</v>
      </c>
      <c r="F1883" s="21">
        <v>34825.599999999999</v>
      </c>
      <c r="G1883" s="21">
        <v>27155.200000000001</v>
      </c>
      <c r="H1883" s="21">
        <v>5054.3999999999996</v>
      </c>
      <c r="I1883" s="18">
        <v>1926.2719999999999</v>
      </c>
      <c r="J1883" s="18">
        <v>5231.9040000000005</v>
      </c>
      <c r="K1883" s="18" t="s">
        <v>65</v>
      </c>
      <c r="L1883" s="18" t="s">
        <v>35</v>
      </c>
      <c r="M1883" s="18" t="s">
        <v>24</v>
      </c>
      <c r="N1883" s="22">
        <f t="shared" si="174"/>
        <v>0.77974823118625403</v>
      </c>
      <c r="O1883" s="22">
        <f t="shared" si="175"/>
        <v>0.186130096629743</v>
      </c>
      <c r="P1883" s="23">
        <f t="shared" si="176"/>
        <v>7.09356587320292E-2</v>
      </c>
      <c r="Q1883" s="23">
        <f t="shared" si="177"/>
        <v>0.38110794555239003</v>
      </c>
      <c r="R1883" s="22">
        <f t="shared" si="178"/>
        <v>1.71607748023124</v>
      </c>
      <c r="S1883" s="22">
        <f t="shared" si="179"/>
        <v>2.71607748023124</v>
      </c>
    </row>
    <row r="1884" spans="1:19">
      <c r="A1884" s="18" t="s">
        <v>1923</v>
      </c>
      <c r="B1884" s="18" t="s">
        <v>20</v>
      </c>
      <c r="C1884" s="18" t="s">
        <v>41</v>
      </c>
      <c r="D1884" s="19">
        <v>44901</v>
      </c>
      <c r="E1884" s="20">
        <v>45530</v>
      </c>
      <c r="F1884" s="21">
        <v>24320</v>
      </c>
      <c r="G1884" s="21">
        <v>19824</v>
      </c>
      <c r="H1884" s="21">
        <v>5590.4</v>
      </c>
      <c r="I1884" s="18">
        <v>6552.5439999999999</v>
      </c>
      <c r="J1884" s="18">
        <v>12306.96</v>
      </c>
      <c r="K1884" s="18" t="s">
        <v>65</v>
      </c>
      <c r="L1884" s="18" t="s">
        <v>23</v>
      </c>
      <c r="M1884" s="18" t="s">
        <v>32</v>
      </c>
      <c r="N1884" s="22">
        <f t="shared" si="174"/>
        <v>0.81513157894736799</v>
      </c>
      <c r="O1884" s="22">
        <f t="shared" si="175"/>
        <v>0.28200161420500403</v>
      </c>
      <c r="P1884" s="23">
        <f t="shared" si="176"/>
        <v>0.33053591606133997</v>
      </c>
      <c r="Q1884" s="23">
        <f t="shared" si="177"/>
        <v>1.1721064682312501</v>
      </c>
      <c r="R1884" s="22">
        <f t="shared" si="178"/>
        <v>0.87819570536267999</v>
      </c>
      <c r="S1884" s="22">
        <f t="shared" si="179"/>
        <v>1.8781957053626801</v>
      </c>
    </row>
    <row r="1885" spans="1:19">
      <c r="A1885" s="18" t="s">
        <v>1924</v>
      </c>
      <c r="B1885" s="18" t="s">
        <v>40</v>
      </c>
      <c r="C1885" s="18" t="s">
        <v>29</v>
      </c>
      <c r="D1885" s="19">
        <v>44876</v>
      </c>
      <c r="E1885" s="20">
        <v>45502</v>
      </c>
      <c r="F1885" s="21">
        <v>41366.400000000001</v>
      </c>
      <c r="G1885" s="21">
        <v>31356.799999999999</v>
      </c>
      <c r="H1885" s="21">
        <v>20092.8</v>
      </c>
      <c r="I1885" s="18">
        <v>6997.6</v>
      </c>
      <c r="J1885" s="18">
        <v>11957.12</v>
      </c>
      <c r="K1885" s="18" t="s">
        <v>30</v>
      </c>
      <c r="L1885" s="18" t="s">
        <v>35</v>
      </c>
      <c r="M1885" s="18" t="s">
        <v>32</v>
      </c>
      <c r="N1885" s="22">
        <f t="shared" si="174"/>
        <v>0.75802583739460005</v>
      </c>
      <c r="O1885" s="22">
        <f t="shared" si="175"/>
        <v>0.64077967139504</v>
      </c>
      <c r="P1885" s="23">
        <f t="shared" si="176"/>
        <v>0.22316052658434499</v>
      </c>
      <c r="Q1885" s="23">
        <f t="shared" si="177"/>
        <v>0.34826405478579398</v>
      </c>
      <c r="R1885" s="22">
        <f t="shared" si="178"/>
        <v>0.70874585572196203</v>
      </c>
      <c r="S1885" s="22">
        <f t="shared" si="179"/>
        <v>1.7087458557219599</v>
      </c>
    </row>
    <row r="1886" spans="1:19">
      <c r="A1886" s="18" t="s">
        <v>1925</v>
      </c>
      <c r="B1886" s="18" t="s">
        <v>47</v>
      </c>
      <c r="C1886" s="18" t="s">
        <v>29</v>
      </c>
      <c r="D1886" s="19">
        <v>44735</v>
      </c>
      <c r="E1886" s="20">
        <v>45338</v>
      </c>
      <c r="F1886" s="21">
        <v>66296</v>
      </c>
      <c r="G1886" s="21">
        <v>4851.2</v>
      </c>
      <c r="H1886" s="21">
        <v>2321.6</v>
      </c>
      <c r="I1886" s="18">
        <v>5511.8879999999999</v>
      </c>
      <c r="J1886" s="18">
        <v>20568.047999999999</v>
      </c>
      <c r="K1886" s="18" t="s">
        <v>30</v>
      </c>
      <c r="L1886" s="18" t="s">
        <v>23</v>
      </c>
      <c r="M1886" s="18" t="s">
        <v>32</v>
      </c>
      <c r="N1886" s="22">
        <f t="shared" si="174"/>
        <v>7.3174852178110303E-2</v>
      </c>
      <c r="O1886" s="22">
        <f t="shared" si="175"/>
        <v>0.47856200527704501</v>
      </c>
      <c r="P1886" s="23">
        <f t="shared" si="176"/>
        <v>1.1361906332453799</v>
      </c>
      <c r="Q1886" s="23">
        <f t="shared" si="177"/>
        <v>2.37417643004824</v>
      </c>
      <c r="R1886" s="22">
        <f t="shared" si="178"/>
        <v>2.7315794515418301</v>
      </c>
      <c r="S1886" s="22">
        <f t="shared" si="179"/>
        <v>3.7315794515418301</v>
      </c>
    </row>
    <row r="1887" spans="1:19">
      <c r="A1887" s="18" t="s">
        <v>1926</v>
      </c>
      <c r="B1887" s="18" t="s">
        <v>26</v>
      </c>
      <c r="C1887" s="18" t="s">
        <v>41</v>
      </c>
      <c r="D1887" s="19">
        <v>44777</v>
      </c>
      <c r="E1887" s="20">
        <v>45383</v>
      </c>
      <c r="F1887" s="21">
        <v>72283.199999999997</v>
      </c>
      <c r="G1887" s="21">
        <v>52489.599999999999</v>
      </c>
      <c r="H1887" s="21">
        <v>17630.400000000001</v>
      </c>
      <c r="I1887" s="18">
        <v>699.84</v>
      </c>
      <c r="J1887" s="18">
        <v>1478.7840000000001</v>
      </c>
      <c r="K1887" s="18" t="s">
        <v>22</v>
      </c>
      <c r="L1887" s="18" t="s">
        <v>44</v>
      </c>
      <c r="M1887" s="18" t="s">
        <v>24</v>
      </c>
      <c r="N1887" s="22">
        <f t="shared" si="174"/>
        <v>0.72616596940921296</v>
      </c>
      <c r="O1887" s="22">
        <f t="shared" si="175"/>
        <v>0.33588367981466799</v>
      </c>
      <c r="P1887" s="23">
        <f t="shared" si="176"/>
        <v>1.33329269036152E-2</v>
      </c>
      <c r="Q1887" s="23">
        <f t="shared" si="177"/>
        <v>3.9695072148107802E-2</v>
      </c>
      <c r="R1887" s="22">
        <f t="shared" si="178"/>
        <v>1.1130315500685899</v>
      </c>
      <c r="S1887" s="22">
        <f t="shared" si="179"/>
        <v>2.1130315500685901</v>
      </c>
    </row>
    <row r="1888" spans="1:19">
      <c r="A1888" s="18" t="s">
        <v>1927</v>
      </c>
      <c r="B1888" s="18" t="s">
        <v>28</v>
      </c>
      <c r="C1888" s="18" t="s">
        <v>41</v>
      </c>
      <c r="D1888" s="19">
        <v>44927</v>
      </c>
      <c r="E1888" s="20">
        <v>45555</v>
      </c>
      <c r="F1888" s="21">
        <v>33012.800000000003</v>
      </c>
      <c r="G1888" s="21">
        <v>25115.200000000001</v>
      </c>
      <c r="H1888" s="21">
        <v>4910.3999999999996</v>
      </c>
      <c r="I1888" s="18">
        <v>1676.848</v>
      </c>
      <c r="J1888" s="18">
        <v>4716.88</v>
      </c>
      <c r="K1888" s="18" t="s">
        <v>43</v>
      </c>
      <c r="L1888" s="18" t="s">
        <v>31</v>
      </c>
      <c r="M1888" s="18" t="s">
        <v>32</v>
      </c>
      <c r="N1888" s="22">
        <f t="shared" si="174"/>
        <v>0.76077157950855401</v>
      </c>
      <c r="O1888" s="22">
        <f t="shared" si="175"/>
        <v>0.19551506657323101</v>
      </c>
      <c r="P1888" s="23">
        <f t="shared" si="176"/>
        <v>6.6766261068994096E-2</v>
      </c>
      <c r="Q1888" s="23">
        <f t="shared" si="177"/>
        <v>0.34148908439231002</v>
      </c>
      <c r="R1888" s="22">
        <f t="shared" si="178"/>
        <v>1.8129442859460101</v>
      </c>
      <c r="S1888" s="22">
        <f t="shared" si="179"/>
        <v>2.8129442859460099</v>
      </c>
    </row>
    <row r="1889" spans="1:19">
      <c r="A1889" s="18" t="s">
        <v>1928</v>
      </c>
      <c r="B1889" s="18" t="s">
        <v>34</v>
      </c>
      <c r="C1889" s="18" t="s">
        <v>29</v>
      </c>
      <c r="D1889" s="19">
        <v>44751</v>
      </c>
      <c r="E1889" s="20">
        <v>45373</v>
      </c>
      <c r="F1889" s="21">
        <v>9832</v>
      </c>
      <c r="G1889" s="21">
        <v>8243.2000000000007</v>
      </c>
      <c r="H1889" s="21">
        <v>2894.4</v>
      </c>
      <c r="I1889" s="18">
        <v>3738.672</v>
      </c>
      <c r="J1889" s="18">
        <v>9456.6720000000005</v>
      </c>
      <c r="K1889" s="18" t="s">
        <v>22</v>
      </c>
      <c r="L1889" s="18" t="s">
        <v>23</v>
      </c>
      <c r="M1889" s="18" t="s">
        <v>24</v>
      </c>
      <c r="N1889" s="22">
        <f t="shared" si="174"/>
        <v>0.83840520748576097</v>
      </c>
      <c r="O1889" s="22">
        <f t="shared" si="175"/>
        <v>0.35112577639751602</v>
      </c>
      <c r="P1889" s="23">
        <f t="shared" si="176"/>
        <v>0.45354619565217402</v>
      </c>
      <c r="Q1889" s="23">
        <f t="shared" si="177"/>
        <v>1.29169154228856</v>
      </c>
      <c r="R1889" s="22">
        <f t="shared" si="178"/>
        <v>1.5294200721539599</v>
      </c>
      <c r="S1889" s="22">
        <f t="shared" si="179"/>
        <v>2.5294200721539601</v>
      </c>
    </row>
    <row r="1890" spans="1:19">
      <c r="A1890" s="18" t="s">
        <v>1929</v>
      </c>
      <c r="B1890" s="18" t="s">
        <v>40</v>
      </c>
      <c r="C1890" s="18" t="s">
        <v>29</v>
      </c>
      <c r="D1890" s="19">
        <v>44960</v>
      </c>
      <c r="E1890" s="20">
        <v>45566</v>
      </c>
      <c r="F1890" s="21">
        <v>30856</v>
      </c>
      <c r="G1890" s="21">
        <v>28140.799999999999</v>
      </c>
      <c r="H1890" s="21">
        <v>25536</v>
      </c>
      <c r="I1890" s="18">
        <v>5138.2560000000003</v>
      </c>
      <c r="J1890" s="18">
        <v>15787.584000000001</v>
      </c>
      <c r="K1890" s="18" t="s">
        <v>30</v>
      </c>
      <c r="L1890" s="18" t="s">
        <v>50</v>
      </c>
      <c r="M1890" s="18" t="s">
        <v>32</v>
      </c>
      <c r="N1890" s="22">
        <f t="shared" si="174"/>
        <v>0.912004148301789</v>
      </c>
      <c r="O1890" s="22">
        <f t="shared" si="175"/>
        <v>0.90743688878781004</v>
      </c>
      <c r="P1890" s="23">
        <f t="shared" si="176"/>
        <v>0.18259097111667</v>
      </c>
      <c r="Q1890" s="23">
        <f t="shared" si="177"/>
        <v>0.20121616541353399</v>
      </c>
      <c r="R1890" s="22">
        <f t="shared" si="178"/>
        <v>2.0725569142526199</v>
      </c>
      <c r="S1890" s="22">
        <f t="shared" si="179"/>
        <v>3.0725569142526199</v>
      </c>
    </row>
    <row r="1891" spans="1:19">
      <c r="A1891" s="18" t="s">
        <v>1930</v>
      </c>
      <c r="B1891" s="18" t="s">
        <v>34</v>
      </c>
      <c r="C1891" s="18" t="s">
        <v>48</v>
      </c>
      <c r="D1891" s="19">
        <v>44913</v>
      </c>
      <c r="E1891" s="20">
        <v>45531</v>
      </c>
      <c r="F1891" s="21">
        <v>63974.400000000001</v>
      </c>
      <c r="G1891" s="21">
        <v>51883.199999999997</v>
      </c>
      <c r="H1891" s="21">
        <v>18529.599999999999</v>
      </c>
      <c r="I1891" s="18">
        <v>6372.56</v>
      </c>
      <c r="J1891" s="18">
        <v>24827.648000000001</v>
      </c>
      <c r="K1891" s="18" t="s">
        <v>65</v>
      </c>
      <c r="L1891" s="18" t="s">
        <v>44</v>
      </c>
      <c r="M1891" s="18" t="s">
        <v>32</v>
      </c>
      <c r="N1891" s="22">
        <f t="shared" si="174"/>
        <v>0.81099939975990398</v>
      </c>
      <c r="O1891" s="22">
        <f t="shared" si="175"/>
        <v>0.35714065439294401</v>
      </c>
      <c r="P1891" s="23">
        <f t="shared" si="176"/>
        <v>0.122825114873408</v>
      </c>
      <c r="Q1891" s="23">
        <f t="shared" si="177"/>
        <v>0.343912442794232</v>
      </c>
      <c r="R1891" s="22">
        <f t="shared" si="178"/>
        <v>2.8960242037736799</v>
      </c>
      <c r="S1891" s="22">
        <f t="shared" si="179"/>
        <v>3.8960242037736799</v>
      </c>
    </row>
    <row r="1892" spans="1:19">
      <c r="A1892" s="18" t="s">
        <v>1931</v>
      </c>
      <c r="B1892" s="18" t="s">
        <v>47</v>
      </c>
      <c r="C1892" s="18" t="s">
        <v>41</v>
      </c>
      <c r="D1892" s="19">
        <v>44702</v>
      </c>
      <c r="E1892" s="20">
        <v>45318</v>
      </c>
      <c r="F1892" s="21">
        <v>26257.599999999999</v>
      </c>
      <c r="G1892" s="21">
        <v>16292.8</v>
      </c>
      <c r="H1892" s="21">
        <v>14118.4</v>
      </c>
      <c r="I1892" s="18">
        <v>7890.1760000000004</v>
      </c>
      <c r="J1892" s="18">
        <v>15096.592000000001</v>
      </c>
      <c r="K1892" s="18" t="s">
        <v>30</v>
      </c>
      <c r="L1892" s="18" t="s">
        <v>35</v>
      </c>
      <c r="M1892" s="18" t="s">
        <v>32</v>
      </c>
      <c r="N1892" s="22">
        <f t="shared" si="174"/>
        <v>0.62049844616415795</v>
      </c>
      <c r="O1892" s="22">
        <f t="shared" si="175"/>
        <v>0.86654227634292402</v>
      </c>
      <c r="P1892" s="23">
        <f t="shared" si="176"/>
        <v>0.48427378964941598</v>
      </c>
      <c r="Q1892" s="23">
        <f t="shared" si="177"/>
        <v>0.55885766092475098</v>
      </c>
      <c r="R1892" s="22">
        <f t="shared" si="178"/>
        <v>0.91334033613445398</v>
      </c>
      <c r="S1892" s="22">
        <f t="shared" si="179"/>
        <v>1.9133403361344501</v>
      </c>
    </row>
    <row r="1893" spans="1:19">
      <c r="A1893" s="18" t="s">
        <v>1932</v>
      </c>
      <c r="B1893" s="18" t="s">
        <v>26</v>
      </c>
      <c r="C1893" s="18" t="s">
        <v>48</v>
      </c>
      <c r="D1893" s="19">
        <v>44697</v>
      </c>
      <c r="E1893" s="20">
        <v>45324</v>
      </c>
      <c r="F1893" s="21">
        <v>73940.800000000003</v>
      </c>
      <c r="G1893" s="21">
        <v>8592</v>
      </c>
      <c r="H1893" s="21">
        <v>4380.8</v>
      </c>
      <c r="I1893" s="18">
        <v>6993.616</v>
      </c>
      <c r="J1893" s="18">
        <v>22456.736000000001</v>
      </c>
      <c r="K1893" s="18" t="s">
        <v>30</v>
      </c>
      <c r="L1893" s="18" t="s">
        <v>50</v>
      </c>
      <c r="M1893" s="18" t="s">
        <v>32</v>
      </c>
      <c r="N1893" s="22">
        <f t="shared" si="174"/>
        <v>0.116201068963279</v>
      </c>
      <c r="O1893" s="22">
        <f t="shared" si="175"/>
        <v>0.50986964618249497</v>
      </c>
      <c r="P1893" s="23">
        <f t="shared" si="176"/>
        <v>0.81396834264432005</v>
      </c>
      <c r="Q1893" s="23">
        <f t="shared" si="177"/>
        <v>1.59642439737034</v>
      </c>
      <c r="R1893" s="22">
        <f t="shared" si="178"/>
        <v>2.2110336055053601</v>
      </c>
      <c r="S1893" s="22">
        <f t="shared" si="179"/>
        <v>3.2110336055053601</v>
      </c>
    </row>
    <row r="1894" spans="1:19">
      <c r="A1894" s="18" t="s">
        <v>1933</v>
      </c>
      <c r="B1894" s="18" t="s">
        <v>47</v>
      </c>
      <c r="C1894" s="18" t="s">
        <v>21</v>
      </c>
      <c r="D1894" s="19">
        <v>44857</v>
      </c>
      <c r="E1894" s="20">
        <v>45460</v>
      </c>
      <c r="F1894" s="21">
        <v>61636.800000000003</v>
      </c>
      <c r="G1894" s="21">
        <v>33859.199999999997</v>
      </c>
      <c r="H1894" s="21">
        <v>20640</v>
      </c>
      <c r="I1894" s="18">
        <v>3852.4319999999998</v>
      </c>
      <c r="J1894" s="18">
        <v>8280.4159999999993</v>
      </c>
      <c r="K1894" s="18" t="s">
        <v>38</v>
      </c>
      <c r="L1894" s="18" t="s">
        <v>35</v>
      </c>
      <c r="M1894" s="18" t="s">
        <v>32</v>
      </c>
      <c r="N1894" s="22">
        <f t="shared" si="174"/>
        <v>0.54933416400591895</v>
      </c>
      <c r="O1894" s="22">
        <f t="shared" si="175"/>
        <v>0.60958321519705105</v>
      </c>
      <c r="P1894" s="23">
        <f t="shared" si="176"/>
        <v>0.113777998298838</v>
      </c>
      <c r="Q1894" s="23">
        <f t="shared" si="177"/>
        <v>0.186648837209302</v>
      </c>
      <c r="R1894" s="22">
        <f t="shared" si="178"/>
        <v>1.14939965196011</v>
      </c>
      <c r="S1894" s="22">
        <f t="shared" si="179"/>
        <v>2.1493996519601102</v>
      </c>
    </row>
    <row r="1895" spans="1:19">
      <c r="A1895" s="18" t="s">
        <v>1934</v>
      </c>
      <c r="B1895" s="18" t="s">
        <v>20</v>
      </c>
      <c r="C1895" s="18" t="s">
        <v>41</v>
      </c>
      <c r="D1895" s="19">
        <v>44964</v>
      </c>
      <c r="E1895" s="20">
        <v>45575</v>
      </c>
      <c r="F1895" s="21">
        <v>19683.2</v>
      </c>
      <c r="G1895" s="21">
        <v>14288</v>
      </c>
      <c r="H1895" s="21">
        <v>5792</v>
      </c>
      <c r="I1895" s="18">
        <v>7111.9040000000005</v>
      </c>
      <c r="J1895" s="18">
        <v>11872.96</v>
      </c>
      <c r="K1895" s="18" t="s">
        <v>22</v>
      </c>
      <c r="L1895" s="18" t="s">
        <v>31</v>
      </c>
      <c r="M1895" s="18" t="s">
        <v>32</v>
      </c>
      <c r="N1895" s="22">
        <f t="shared" si="174"/>
        <v>0.72589822793041803</v>
      </c>
      <c r="O1895" s="22">
        <f t="shared" si="175"/>
        <v>0.40537513997760399</v>
      </c>
      <c r="P1895" s="23">
        <f t="shared" si="176"/>
        <v>0.49775363941769302</v>
      </c>
      <c r="Q1895" s="23">
        <f t="shared" si="177"/>
        <v>1.2278839779005499</v>
      </c>
      <c r="R1895" s="22">
        <f t="shared" si="178"/>
        <v>0.66944885645250496</v>
      </c>
      <c r="S1895" s="22">
        <f t="shared" si="179"/>
        <v>1.6694488564525101</v>
      </c>
    </row>
    <row r="1896" spans="1:19">
      <c r="A1896" s="18" t="s">
        <v>1935</v>
      </c>
      <c r="B1896" s="18" t="s">
        <v>34</v>
      </c>
      <c r="C1896" s="18" t="s">
        <v>41</v>
      </c>
      <c r="D1896" s="19">
        <v>44829</v>
      </c>
      <c r="E1896" s="20">
        <v>45454</v>
      </c>
      <c r="F1896" s="21">
        <v>25584</v>
      </c>
      <c r="G1896" s="21">
        <v>19896</v>
      </c>
      <c r="H1896" s="21">
        <v>7550.4</v>
      </c>
      <c r="I1896" s="18">
        <v>6492.0959999999995</v>
      </c>
      <c r="J1896" s="18">
        <v>22769.52</v>
      </c>
      <c r="K1896" s="18" t="s">
        <v>22</v>
      </c>
      <c r="L1896" s="18" t="s">
        <v>23</v>
      </c>
      <c r="M1896" s="18" t="s">
        <v>32</v>
      </c>
      <c r="N1896" s="22">
        <f t="shared" si="174"/>
        <v>0.77767354596622895</v>
      </c>
      <c r="O1896" s="22">
        <f t="shared" si="175"/>
        <v>0.37949336550060297</v>
      </c>
      <c r="P1896" s="23">
        <f t="shared" si="176"/>
        <v>0.32630156815440298</v>
      </c>
      <c r="Q1896" s="23">
        <f t="shared" si="177"/>
        <v>0.85983471074380202</v>
      </c>
      <c r="R1896" s="22">
        <f t="shared" si="178"/>
        <v>2.5072679147073602</v>
      </c>
      <c r="S1896" s="22">
        <f t="shared" si="179"/>
        <v>3.5072679147073602</v>
      </c>
    </row>
    <row r="1897" spans="1:19">
      <c r="A1897" s="18" t="s">
        <v>1936</v>
      </c>
      <c r="B1897" s="18" t="s">
        <v>47</v>
      </c>
      <c r="C1897" s="18" t="s">
        <v>41</v>
      </c>
      <c r="D1897" s="19">
        <v>44919</v>
      </c>
      <c r="E1897" s="20">
        <v>45521</v>
      </c>
      <c r="F1897" s="21">
        <v>78051.199999999997</v>
      </c>
      <c r="G1897" s="21">
        <v>12064</v>
      </c>
      <c r="H1897" s="21">
        <v>1022.4</v>
      </c>
      <c r="I1897" s="18">
        <v>6482.768</v>
      </c>
      <c r="J1897" s="18">
        <v>10674.368</v>
      </c>
      <c r="K1897" s="18" t="s">
        <v>65</v>
      </c>
      <c r="L1897" s="18" t="s">
        <v>31</v>
      </c>
      <c r="M1897" s="18" t="s">
        <v>32</v>
      </c>
      <c r="N1897" s="22">
        <f t="shared" si="174"/>
        <v>0.154565208478537</v>
      </c>
      <c r="O1897" s="22">
        <f t="shared" si="175"/>
        <v>8.4748010610079597E-2</v>
      </c>
      <c r="P1897" s="23">
        <f t="shared" si="176"/>
        <v>0.53736472148541103</v>
      </c>
      <c r="Q1897" s="23">
        <f t="shared" si="177"/>
        <v>6.3407355242566501</v>
      </c>
      <c r="R1897" s="22">
        <f t="shared" si="178"/>
        <v>0.64657566027351299</v>
      </c>
      <c r="S1897" s="22">
        <f t="shared" si="179"/>
        <v>1.64657566027351</v>
      </c>
    </row>
    <row r="1898" spans="1:19">
      <c r="A1898" s="18" t="s">
        <v>1937</v>
      </c>
      <c r="B1898" s="18" t="s">
        <v>47</v>
      </c>
      <c r="C1898" s="18" t="s">
        <v>21</v>
      </c>
      <c r="D1898" s="19">
        <v>44761</v>
      </c>
      <c r="E1898" s="20">
        <v>45391</v>
      </c>
      <c r="F1898" s="21">
        <v>50470.400000000001</v>
      </c>
      <c r="G1898" s="21">
        <v>41020.800000000003</v>
      </c>
      <c r="H1898" s="21">
        <v>29451.200000000001</v>
      </c>
      <c r="I1898" s="18">
        <v>5690.48</v>
      </c>
      <c r="J1898" s="18">
        <v>10225.808000000001</v>
      </c>
      <c r="K1898" s="18" t="s">
        <v>22</v>
      </c>
      <c r="L1898" s="18" t="s">
        <v>44</v>
      </c>
      <c r="M1898" s="18" t="s">
        <v>24</v>
      </c>
      <c r="N1898" s="22">
        <f t="shared" si="174"/>
        <v>0.812769464874461</v>
      </c>
      <c r="O1898" s="22">
        <f t="shared" si="175"/>
        <v>0.71795771901084304</v>
      </c>
      <c r="P1898" s="23">
        <f t="shared" si="176"/>
        <v>0.138721819174663</v>
      </c>
      <c r="Q1898" s="23">
        <f t="shared" si="177"/>
        <v>0.19321725430542699</v>
      </c>
      <c r="R1898" s="22">
        <f t="shared" si="178"/>
        <v>0.79700271330362304</v>
      </c>
      <c r="S1898" s="22">
        <f t="shared" si="179"/>
        <v>1.7970027133036199</v>
      </c>
    </row>
    <row r="1899" spans="1:19">
      <c r="A1899" s="18" t="s">
        <v>1938</v>
      </c>
      <c r="B1899" s="18" t="s">
        <v>28</v>
      </c>
      <c r="C1899" s="18" t="s">
        <v>48</v>
      </c>
      <c r="D1899" s="19">
        <v>44808</v>
      </c>
      <c r="E1899" s="20">
        <v>45428</v>
      </c>
      <c r="F1899" s="21">
        <v>69083.199999999997</v>
      </c>
      <c r="G1899" s="21">
        <v>53883.199999999997</v>
      </c>
      <c r="H1899" s="21">
        <v>35185.599999999999</v>
      </c>
      <c r="I1899" s="18">
        <v>6638.08</v>
      </c>
      <c r="J1899" s="18">
        <v>21707.360000000001</v>
      </c>
      <c r="K1899" s="18" t="s">
        <v>30</v>
      </c>
      <c r="L1899" s="18" t="s">
        <v>44</v>
      </c>
      <c r="M1899" s="18" t="s">
        <v>24</v>
      </c>
      <c r="N1899" s="22">
        <f t="shared" si="174"/>
        <v>0.77997544989230405</v>
      </c>
      <c r="O1899" s="22">
        <f t="shared" si="175"/>
        <v>0.65299759479763597</v>
      </c>
      <c r="P1899" s="23">
        <f t="shared" si="176"/>
        <v>0.123193871188051</v>
      </c>
      <c r="Q1899" s="23">
        <f t="shared" si="177"/>
        <v>0.18865899686235299</v>
      </c>
      <c r="R1899" s="22">
        <f t="shared" si="178"/>
        <v>2.2701263015811799</v>
      </c>
      <c r="S1899" s="22">
        <f t="shared" si="179"/>
        <v>3.2701263015811799</v>
      </c>
    </row>
    <row r="1900" spans="1:19">
      <c r="A1900" s="18" t="s">
        <v>1939</v>
      </c>
      <c r="B1900" s="18" t="s">
        <v>34</v>
      </c>
      <c r="C1900" s="18" t="s">
        <v>21</v>
      </c>
      <c r="D1900" s="19">
        <v>44809</v>
      </c>
      <c r="E1900" s="20">
        <v>45427</v>
      </c>
      <c r="F1900" s="21">
        <v>35425.599999999999</v>
      </c>
      <c r="G1900" s="21">
        <v>8713.6</v>
      </c>
      <c r="H1900" s="21">
        <v>4926.3999999999996</v>
      </c>
      <c r="I1900" s="18">
        <v>2606.16</v>
      </c>
      <c r="J1900" s="18">
        <v>10265.343999999999</v>
      </c>
      <c r="K1900" s="18" t="s">
        <v>43</v>
      </c>
      <c r="L1900" s="18" t="s">
        <v>23</v>
      </c>
      <c r="M1900" s="18" t="s">
        <v>24</v>
      </c>
      <c r="N1900" s="22">
        <f t="shared" si="174"/>
        <v>0.245969016756244</v>
      </c>
      <c r="O1900" s="22">
        <f t="shared" si="175"/>
        <v>0.565369078222549</v>
      </c>
      <c r="P1900" s="23">
        <f t="shared" si="176"/>
        <v>0.29909107601909701</v>
      </c>
      <c r="Q1900" s="23">
        <f t="shared" si="177"/>
        <v>0.52901916206560595</v>
      </c>
      <c r="R1900" s="22">
        <f t="shared" si="178"/>
        <v>2.9388771218958198</v>
      </c>
      <c r="S1900" s="22">
        <f t="shared" si="179"/>
        <v>3.9388771218958198</v>
      </c>
    </row>
    <row r="1901" spans="1:19">
      <c r="A1901" s="18" t="s">
        <v>1940</v>
      </c>
      <c r="B1901" s="18" t="s">
        <v>28</v>
      </c>
      <c r="C1901" s="18" t="s">
        <v>41</v>
      </c>
      <c r="D1901" s="19">
        <v>44731</v>
      </c>
      <c r="E1901" s="20">
        <v>45352</v>
      </c>
      <c r="F1901" s="21">
        <v>5659.2</v>
      </c>
      <c r="G1901" s="21">
        <v>3476.8</v>
      </c>
      <c r="H1901" s="21">
        <v>2851.2</v>
      </c>
      <c r="I1901" s="18">
        <v>2643.9839999999999</v>
      </c>
      <c r="J1901" s="18">
        <v>3649.136</v>
      </c>
      <c r="K1901" s="18" t="s">
        <v>30</v>
      </c>
      <c r="L1901" s="18" t="s">
        <v>31</v>
      </c>
      <c r="M1901" s="18" t="s">
        <v>24</v>
      </c>
      <c r="N1901" s="22">
        <f t="shared" si="174"/>
        <v>0.61436245405711098</v>
      </c>
      <c r="O1901" s="22">
        <f t="shared" si="175"/>
        <v>0.820064427059365</v>
      </c>
      <c r="P1901" s="23">
        <f t="shared" si="176"/>
        <v>0.76046479521399002</v>
      </c>
      <c r="Q1901" s="23">
        <f t="shared" si="177"/>
        <v>0.92732323232323199</v>
      </c>
      <c r="R1901" s="22">
        <f t="shared" si="178"/>
        <v>0.38016568935364198</v>
      </c>
      <c r="S1901" s="22">
        <f t="shared" si="179"/>
        <v>1.38016568935364</v>
      </c>
    </row>
    <row r="1902" spans="1:19">
      <c r="A1902" s="18" t="s">
        <v>1941</v>
      </c>
      <c r="B1902" s="18" t="s">
        <v>47</v>
      </c>
      <c r="C1902" s="18" t="s">
        <v>29</v>
      </c>
      <c r="D1902" s="19">
        <v>44857</v>
      </c>
      <c r="E1902" s="20">
        <v>45464</v>
      </c>
      <c r="F1902" s="21">
        <v>70296</v>
      </c>
      <c r="G1902" s="21">
        <v>1294.4000000000001</v>
      </c>
      <c r="H1902" s="21">
        <v>296</v>
      </c>
      <c r="I1902" s="18">
        <v>2189.232</v>
      </c>
      <c r="J1902" s="18">
        <v>7268.3360000000002</v>
      </c>
      <c r="K1902" s="18" t="s">
        <v>30</v>
      </c>
      <c r="L1902" s="18" t="s">
        <v>23</v>
      </c>
      <c r="M1902" s="18" t="s">
        <v>24</v>
      </c>
      <c r="N1902" s="22">
        <f t="shared" si="174"/>
        <v>1.8413565494480501E-2</v>
      </c>
      <c r="O1902" s="22">
        <f t="shared" si="175"/>
        <v>0.22867737948084099</v>
      </c>
      <c r="P1902" s="23">
        <f t="shared" si="176"/>
        <v>1.69131025957973</v>
      </c>
      <c r="Q1902" s="23">
        <f t="shared" si="177"/>
        <v>7.3960540540540496</v>
      </c>
      <c r="R1902" s="22">
        <f t="shared" si="178"/>
        <v>2.3200391735549299</v>
      </c>
      <c r="S1902" s="22">
        <f t="shared" si="179"/>
        <v>3.3200391735549299</v>
      </c>
    </row>
    <row r="1903" spans="1:19">
      <c r="A1903" s="18" t="s">
        <v>1942</v>
      </c>
      <c r="B1903" s="18" t="s">
        <v>26</v>
      </c>
      <c r="C1903" s="18" t="s">
        <v>29</v>
      </c>
      <c r="D1903" s="19">
        <v>44773</v>
      </c>
      <c r="E1903" s="20">
        <v>45396</v>
      </c>
      <c r="F1903" s="21">
        <v>50974.400000000001</v>
      </c>
      <c r="G1903" s="21">
        <v>25836.799999999999</v>
      </c>
      <c r="H1903" s="21">
        <v>6833.6</v>
      </c>
      <c r="I1903" s="18">
        <v>911.31200000000001</v>
      </c>
      <c r="J1903" s="18">
        <v>2105.7600000000002</v>
      </c>
      <c r="K1903" s="18" t="s">
        <v>43</v>
      </c>
      <c r="L1903" s="18" t="s">
        <v>23</v>
      </c>
      <c r="M1903" s="18" t="s">
        <v>24</v>
      </c>
      <c r="N1903" s="22">
        <f t="shared" si="174"/>
        <v>0.50685834458080903</v>
      </c>
      <c r="O1903" s="22">
        <f t="shared" si="175"/>
        <v>0.26449095863264799</v>
      </c>
      <c r="P1903" s="23">
        <f t="shared" si="176"/>
        <v>3.52718602922963E-2</v>
      </c>
      <c r="Q1903" s="23">
        <f t="shared" si="177"/>
        <v>0.13335752751112201</v>
      </c>
      <c r="R1903" s="22">
        <f t="shared" si="178"/>
        <v>1.3106905209192901</v>
      </c>
      <c r="S1903" s="22">
        <f t="shared" si="179"/>
        <v>2.3106905209192901</v>
      </c>
    </row>
    <row r="1904" spans="1:19">
      <c r="A1904" s="18" t="s">
        <v>1943</v>
      </c>
      <c r="B1904" s="18" t="s">
        <v>26</v>
      </c>
      <c r="C1904" s="18" t="s">
        <v>21</v>
      </c>
      <c r="D1904" s="19">
        <v>44834</v>
      </c>
      <c r="E1904" s="20">
        <v>45456</v>
      </c>
      <c r="F1904" s="21">
        <v>68859.199999999997</v>
      </c>
      <c r="G1904" s="21">
        <v>44417.599999999999</v>
      </c>
      <c r="H1904" s="21">
        <v>19480</v>
      </c>
      <c r="I1904" s="18">
        <v>6182.0159999999996</v>
      </c>
      <c r="J1904" s="18">
        <v>15500.544</v>
      </c>
      <c r="K1904" s="18" t="s">
        <v>22</v>
      </c>
      <c r="L1904" s="18" t="s">
        <v>31</v>
      </c>
      <c r="M1904" s="18" t="s">
        <v>24</v>
      </c>
      <c r="N1904" s="22">
        <f t="shared" si="174"/>
        <v>0.64504960847642701</v>
      </c>
      <c r="O1904" s="22">
        <f t="shared" si="175"/>
        <v>0.43856489319549002</v>
      </c>
      <c r="P1904" s="23">
        <f t="shared" si="176"/>
        <v>0.139179424372321</v>
      </c>
      <c r="Q1904" s="23">
        <f t="shared" si="177"/>
        <v>0.31735195071868599</v>
      </c>
      <c r="R1904" s="22">
        <f t="shared" si="178"/>
        <v>1.50736070563389</v>
      </c>
      <c r="S1904" s="22">
        <f t="shared" si="179"/>
        <v>2.5073607056338898</v>
      </c>
    </row>
    <row r="1905" spans="1:19">
      <c r="A1905" s="18" t="s">
        <v>1944</v>
      </c>
      <c r="B1905" s="18" t="s">
        <v>40</v>
      </c>
      <c r="C1905" s="18" t="s">
        <v>41</v>
      </c>
      <c r="D1905" s="19">
        <v>44739</v>
      </c>
      <c r="E1905" s="20">
        <v>45353</v>
      </c>
      <c r="F1905" s="21">
        <v>33385.599999999999</v>
      </c>
      <c r="G1905" s="21">
        <v>9000</v>
      </c>
      <c r="H1905" s="21">
        <v>1547.2</v>
      </c>
      <c r="I1905" s="18">
        <v>7349.9840000000004</v>
      </c>
      <c r="J1905" s="18">
        <v>13361.776</v>
      </c>
      <c r="K1905" s="18" t="s">
        <v>30</v>
      </c>
      <c r="L1905" s="18" t="s">
        <v>44</v>
      </c>
      <c r="M1905" s="18" t="s">
        <v>32</v>
      </c>
      <c r="N1905" s="22">
        <f t="shared" si="174"/>
        <v>0.26957730278922598</v>
      </c>
      <c r="O1905" s="22">
        <f t="shared" si="175"/>
        <v>0.17191111111111099</v>
      </c>
      <c r="P1905" s="23">
        <f t="shared" si="176"/>
        <v>0.816664888888889</v>
      </c>
      <c r="Q1905" s="23">
        <f t="shared" si="177"/>
        <v>4.7505067218200603</v>
      </c>
      <c r="R1905" s="22">
        <f t="shared" si="178"/>
        <v>0.81793266488743399</v>
      </c>
      <c r="S1905" s="22">
        <f t="shared" si="179"/>
        <v>1.8179326648874301</v>
      </c>
    </row>
    <row r="1906" spans="1:19">
      <c r="A1906" s="18" t="s">
        <v>1945</v>
      </c>
      <c r="B1906" s="18" t="s">
        <v>40</v>
      </c>
      <c r="C1906" s="18" t="s">
        <v>48</v>
      </c>
      <c r="D1906" s="19">
        <v>44981</v>
      </c>
      <c r="E1906" s="20">
        <v>45595</v>
      </c>
      <c r="F1906" s="21">
        <v>67160</v>
      </c>
      <c r="G1906" s="21">
        <v>21283.200000000001</v>
      </c>
      <c r="H1906" s="21">
        <v>13769.6</v>
      </c>
      <c r="I1906" s="18">
        <v>1030.24</v>
      </c>
      <c r="J1906" s="18">
        <v>4058.7840000000001</v>
      </c>
      <c r="K1906" s="18" t="s">
        <v>38</v>
      </c>
      <c r="L1906" s="18" t="s">
        <v>44</v>
      </c>
      <c r="M1906" s="18" t="s">
        <v>32</v>
      </c>
      <c r="N1906" s="22">
        <f t="shared" si="174"/>
        <v>0.31690291840381202</v>
      </c>
      <c r="O1906" s="22">
        <f t="shared" si="175"/>
        <v>0.64697038039392596</v>
      </c>
      <c r="P1906" s="23">
        <f t="shared" si="176"/>
        <v>4.8406254698541602E-2</v>
      </c>
      <c r="Q1906" s="23">
        <f t="shared" si="177"/>
        <v>7.4819893097838694E-2</v>
      </c>
      <c r="R1906" s="22">
        <f t="shared" si="178"/>
        <v>2.9396490138220202</v>
      </c>
      <c r="S1906" s="22">
        <f t="shared" si="179"/>
        <v>3.9396490138220202</v>
      </c>
    </row>
    <row r="1907" spans="1:19">
      <c r="A1907" s="18" t="s">
        <v>1946</v>
      </c>
      <c r="B1907" s="18" t="s">
        <v>26</v>
      </c>
      <c r="C1907" s="18" t="s">
        <v>48</v>
      </c>
      <c r="D1907" s="19">
        <v>44924</v>
      </c>
      <c r="E1907" s="20">
        <v>45541</v>
      </c>
      <c r="F1907" s="21">
        <v>79643.199999999997</v>
      </c>
      <c r="G1907" s="21">
        <v>7206.4</v>
      </c>
      <c r="H1907" s="21">
        <v>620.79999999999995</v>
      </c>
      <c r="I1907" s="18">
        <v>1904.5440000000001</v>
      </c>
      <c r="J1907" s="18">
        <v>3399.68</v>
      </c>
      <c r="K1907" s="18" t="s">
        <v>43</v>
      </c>
      <c r="L1907" s="18" t="s">
        <v>31</v>
      </c>
      <c r="M1907" s="18" t="s">
        <v>24</v>
      </c>
      <c r="N1907" s="22">
        <f t="shared" si="174"/>
        <v>9.0483556662715695E-2</v>
      </c>
      <c r="O1907" s="22">
        <f t="shared" si="175"/>
        <v>8.6145648312610998E-2</v>
      </c>
      <c r="P1907" s="23">
        <f t="shared" si="176"/>
        <v>0.264285079928952</v>
      </c>
      <c r="Q1907" s="23">
        <f t="shared" si="177"/>
        <v>3.06788659793814</v>
      </c>
      <c r="R1907" s="22">
        <f t="shared" si="178"/>
        <v>0.78503620814221098</v>
      </c>
      <c r="S1907" s="22">
        <f t="shared" si="179"/>
        <v>1.78503620814221</v>
      </c>
    </row>
    <row r="1908" spans="1:19">
      <c r="A1908" s="18" t="s">
        <v>1947</v>
      </c>
      <c r="B1908" s="18" t="s">
        <v>34</v>
      </c>
      <c r="C1908" s="18" t="s">
        <v>29</v>
      </c>
      <c r="D1908" s="19">
        <v>44795</v>
      </c>
      <c r="E1908" s="20">
        <v>45396</v>
      </c>
      <c r="F1908" s="21">
        <v>22016</v>
      </c>
      <c r="G1908" s="21">
        <v>7144</v>
      </c>
      <c r="H1908" s="21">
        <v>2662.4</v>
      </c>
      <c r="I1908" s="18">
        <v>4112.3040000000001</v>
      </c>
      <c r="J1908" s="18">
        <v>5611.1040000000003</v>
      </c>
      <c r="K1908" s="18" t="s">
        <v>43</v>
      </c>
      <c r="L1908" s="18" t="s">
        <v>31</v>
      </c>
      <c r="M1908" s="18" t="s">
        <v>24</v>
      </c>
      <c r="N1908" s="22">
        <f t="shared" si="174"/>
        <v>0.32449127906976699</v>
      </c>
      <c r="O1908" s="22">
        <f t="shared" si="175"/>
        <v>0.37267637178051499</v>
      </c>
      <c r="P1908" s="23">
        <f t="shared" si="176"/>
        <v>0.57563045912653998</v>
      </c>
      <c r="Q1908" s="23">
        <f t="shared" si="177"/>
        <v>1.5445853365384601</v>
      </c>
      <c r="R1908" s="22">
        <f t="shared" si="178"/>
        <v>0.36446721837685198</v>
      </c>
      <c r="S1908" s="22">
        <f t="shared" si="179"/>
        <v>1.36446721837685</v>
      </c>
    </row>
    <row r="1909" spans="1:19">
      <c r="A1909" s="18" t="s">
        <v>1948</v>
      </c>
      <c r="B1909" s="18" t="s">
        <v>20</v>
      </c>
      <c r="C1909" s="18" t="s">
        <v>21</v>
      </c>
      <c r="D1909" s="19">
        <v>44706</v>
      </c>
      <c r="E1909" s="20">
        <v>45332</v>
      </c>
      <c r="F1909" s="21">
        <v>52584</v>
      </c>
      <c r="G1909" s="21">
        <v>7632</v>
      </c>
      <c r="H1909" s="21">
        <v>3062.4</v>
      </c>
      <c r="I1909" s="18">
        <v>4343.424</v>
      </c>
      <c r="J1909" s="18">
        <v>9327.4079999999994</v>
      </c>
      <c r="K1909" s="18" t="s">
        <v>30</v>
      </c>
      <c r="L1909" s="18" t="s">
        <v>31</v>
      </c>
      <c r="M1909" s="18" t="s">
        <v>32</v>
      </c>
      <c r="N1909" s="22">
        <f t="shared" si="174"/>
        <v>0.14513920584208101</v>
      </c>
      <c r="O1909" s="22">
        <f t="shared" si="175"/>
        <v>0.40125786163521998</v>
      </c>
      <c r="P1909" s="23">
        <f t="shared" si="176"/>
        <v>0.56910691823899395</v>
      </c>
      <c r="Q1909" s="23">
        <f t="shared" si="177"/>
        <v>1.4183072100313501</v>
      </c>
      <c r="R1909" s="22">
        <f t="shared" si="178"/>
        <v>1.14747811864557</v>
      </c>
      <c r="S1909" s="22">
        <f t="shared" si="179"/>
        <v>2.1474781186455698</v>
      </c>
    </row>
    <row r="1910" spans="1:19">
      <c r="A1910" s="18" t="s">
        <v>1949</v>
      </c>
      <c r="B1910" s="18" t="s">
        <v>34</v>
      </c>
      <c r="C1910" s="18" t="s">
        <v>48</v>
      </c>
      <c r="D1910" s="19">
        <v>44917</v>
      </c>
      <c r="E1910" s="20">
        <v>45518</v>
      </c>
      <c r="F1910" s="21">
        <v>79236.800000000003</v>
      </c>
      <c r="G1910" s="21">
        <v>34676.800000000003</v>
      </c>
      <c r="H1910" s="21">
        <v>32136</v>
      </c>
      <c r="I1910" s="18">
        <v>6297.424</v>
      </c>
      <c r="J1910" s="18">
        <v>15785.44</v>
      </c>
      <c r="K1910" s="18" t="s">
        <v>43</v>
      </c>
      <c r="L1910" s="18" t="s">
        <v>23</v>
      </c>
      <c r="M1910" s="18" t="s">
        <v>32</v>
      </c>
      <c r="N1910" s="22">
        <f t="shared" si="174"/>
        <v>0.43763503826504901</v>
      </c>
      <c r="O1910" s="22">
        <f t="shared" si="175"/>
        <v>0.92672910995247504</v>
      </c>
      <c r="P1910" s="23">
        <f t="shared" si="176"/>
        <v>0.18160337747427699</v>
      </c>
      <c r="Q1910" s="23">
        <f t="shared" si="177"/>
        <v>0.195961662932537</v>
      </c>
      <c r="R1910" s="22">
        <f t="shared" si="178"/>
        <v>1.50665033829706</v>
      </c>
      <c r="S1910" s="22">
        <f t="shared" si="179"/>
        <v>2.5066503382970602</v>
      </c>
    </row>
    <row r="1911" spans="1:19">
      <c r="A1911" s="18" t="s">
        <v>1950</v>
      </c>
      <c r="B1911" s="18" t="s">
        <v>40</v>
      </c>
      <c r="C1911" s="18" t="s">
        <v>41</v>
      </c>
      <c r="D1911" s="19">
        <v>44790</v>
      </c>
      <c r="E1911" s="20">
        <v>45405</v>
      </c>
      <c r="F1911" s="21">
        <v>44344</v>
      </c>
      <c r="G1911" s="21">
        <v>6153.6</v>
      </c>
      <c r="H1911" s="21">
        <v>4558.3999999999996</v>
      </c>
      <c r="I1911" s="18">
        <v>5180</v>
      </c>
      <c r="J1911" s="18">
        <v>12270.752</v>
      </c>
      <c r="K1911" s="18" t="s">
        <v>38</v>
      </c>
      <c r="L1911" s="18" t="s">
        <v>44</v>
      </c>
      <c r="M1911" s="18" t="s">
        <v>24</v>
      </c>
      <c r="N1911" s="22">
        <f t="shared" si="174"/>
        <v>0.13876961933970799</v>
      </c>
      <c r="O1911" s="22">
        <f t="shared" si="175"/>
        <v>0.74076963078523095</v>
      </c>
      <c r="P1911" s="23">
        <f t="shared" si="176"/>
        <v>0.84178367134685395</v>
      </c>
      <c r="Q1911" s="23">
        <f t="shared" si="177"/>
        <v>1.13636363636364</v>
      </c>
      <c r="R1911" s="22">
        <f t="shared" si="178"/>
        <v>1.36887104247104</v>
      </c>
      <c r="S1911" s="22">
        <f t="shared" si="179"/>
        <v>2.36887104247104</v>
      </c>
    </row>
    <row r="1912" spans="1:19">
      <c r="A1912" s="18" t="s">
        <v>1951</v>
      </c>
      <c r="B1912" s="18" t="s">
        <v>20</v>
      </c>
      <c r="C1912" s="18" t="s">
        <v>41</v>
      </c>
      <c r="D1912" s="19">
        <v>44723</v>
      </c>
      <c r="E1912" s="20">
        <v>45331</v>
      </c>
      <c r="F1912" s="21">
        <v>23224</v>
      </c>
      <c r="G1912" s="21">
        <v>16136</v>
      </c>
      <c r="H1912" s="21">
        <v>4993.6000000000004</v>
      </c>
      <c r="I1912" s="18">
        <v>381.6</v>
      </c>
      <c r="J1912" s="18">
        <v>1257.92</v>
      </c>
      <c r="K1912" s="18" t="s">
        <v>43</v>
      </c>
      <c r="L1912" s="18" t="s">
        <v>50</v>
      </c>
      <c r="M1912" s="18" t="s">
        <v>32</v>
      </c>
      <c r="N1912" s="22">
        <f t="shared" si="174"/>
        <v>0.694798484326559</v>
      </c>
      <c r="O1912" s="22">
        <f t="shared" si="175"/>
        <v>0.30946950917203803</v>
      </c>
      <c r="P1912" s="23">
        <f t="shared" si="176"/>
        <v>2.3648983639067901E-2</v>
      </c>
      <c r="Q1912" s="23">
        <f t="shared" si="177"/>
        <v>7.6417814802947806E-2</v>
      </c>
      <c r="R1912" s="22">
        <f t="shared" si="178"/>
        <v>2.2964360587002099</v>
      </c>
      <c r="S1912" s="22">
        <f t="shared" si="179"/>
        <v>3.2964360587002099</v>
      </c>
    </row>
    <row r="1913" spans="1:19">
      <c r="A1913" s="18" t="s">
        <v>1952</v>
      </c>
      <c r="B1913" s="18" t="s">
        <v>26</v>
      </c>
      <c r="C1913" s="18" t="s">
        <v>41</v>
      </c>
      <c r="D1913" s="19">
        <v>44736</v>
      </c>
      <c r="E1913" s="20">
        <v>45356</v>
      </c>
      <c r="F1913" s="21">
        <v>36632</v>
      </c>
      <c r="G1913" s="21">
        <v>15350.4</v>
      </c>
      <c r="H1913" s="21">
        <v>8273.6</v>
      </c>
      <c r="I1913" s="18">
        <v>5340.0959999999995</v>
      </c>
      <c r="J1913" s="18">
        <v>9915.0400000000009</v>
      </c>
      <c r="K1913" s="18" t="s">
        <v>22</v>
      </c>
      <c r="L1913" s="18" t="s">
        <v>44</v>
      </c>
      <c r="M1913" s="18" t="s">
        <v>32</v>
      </c>
      <c r="N1913" s="22">
        <f t="shared" si="174"/>
        <v>0.41904345927058301</v>
      </c>
      <c r="O1913" s="22">
        <f t="shared" si="175"/>
        <v>0.53898269751928296</v>
      </c>
      <c r="P1913" s="23">
        <f t="shared" si="176"/>
        <v>0.347879924953096</v>
      </c>
      <c r="Q1913" s="23">
        <f t="shared" si="177"/>
        <v>0.64543801972539105</v>
      </c>
      <c r="R1913" s="22">
        <f t="shared" si="178"/>
        <v>0.85671568451203906</v>
      </c>
      <c r="S1913" s="22">
        <f t="shared" si="179"/>
        <v>1.8567156845120401</v>
      </c>
    </row>
    <row r="1914" spans="1:19">
      <c r="A1914" s="18" t="s">
        <v>1953</v>
      </c>
      <c r="B1914" s="18" t="s">
        <v>40</v>
      </c>
      <c r="C1914" s="18" t="s">
        <v>41</v>
      </c>
      <c r="D1914" s="19">
        <v>44819</v>
      </c>
      <c r="E1914" s="20">
        <v>45434</v>
      </c>
      <c r="F1914" s="21">
        <v>3641.6</v>
      </c>
      <c r="G1914" s="21">
        <v>1244.8</v>
      </c>
      <c r="H1914" s="21">
        <v>368</v>
      </c>
      <c r="I1914" s="18">
        <v>4372.1279999999997</v>
      </c>
      <c r="J1914" s="18">
        <v>13677.904</v>
      </c>
      <c r="K1914" s="18" t="s">
        <v>30</v>
      </c>
      <c r="L1914" s="18" t="s">
        <v>44</v>
      </c>
      <c r="M1914" s="18" t="s">
        <v>32</v>
      </c>
      <c r="N1914" s="22">
        <f t="shared" si="174"/>
        <v>0.34182776801406001</v>
      </c>
      <c r="O1914" s="22">
        <f t="shared" si="175"/>
        <v>0.29562982005141403</v>
      </c>
      <c r="P1914" s="23">
        <f t="shared" si="176"/>
        <v>3.5123136246786602</v>
      </c>
      <c r="Q1914" s="23">
        <f t="shared" si="177"/>
        <v>11.8807826086957</v>
      </c>
      <c r="R1914" s="22">
        <f t="shared" si="178"/>
        <v>2.1284317385035401</v>
      </c>
      <c r="S1914" s="22">
        <f t="shared" si="179"/>
        <v>3.1284317385035401</v>
      </c>
    </row>
    <row r="1915" spans="1:19">
      <c r="A1915" s="18" t="s">
        <v>1954</v>
      </c>
      <c r="B1915" s="18" t="s">
        <v>28</v>
      </c>
      <c r="C1915" s="18" t="s">
        <v>41</v>
      </c>
      <c r="D1915" s="19">
        <v>44914</v>
      </c>
      <c r="E1915" s="20">
        <v>45536</v>
      </c>
      <c r="F1915" s="21">
        <v>12480</v>
      </c>
      <c r="G1915" s="21">
        <v>3568</v>
      </c>
      <c r="H1915" s="21">
        <v>3515.2</v>
      </c>
      <c r="I1915" s="18">
        <v>1963.0239999999999</v>
      </c>
      <c r="J1915" s="18">
        <v>3847.0079999999998</v>
      </c>
      <c r="K1915" s="18" t="s">
        <v>65</v>
      </c>
      <c r="L1915" s="18" t="s">
        <v>50</v>
      </c>
      <c r="M1915" s="18" t="s">
        <v>32</v>
      </c>
      <c r="N1915" s="22">
        <f t="shared" si="174"/>
        <v>0.28589743589743599</v>
      </c>
      <c r="O1915" s="22">
        <f t="shared" si="175"/>
        <v>0.98520179372197303</v>
      </c>
      <c r="P1915" s="23">
        <f t="shared" si="176"/>
        <v>0.55017488789237701</v>
      </c>
      <c r="Q1915" s="23">
        <f t="shared" si="177"/>
        <v>0.55843878015475601</v>
      </c>
      <c r="R1915" s="22">
        <f t="shared" si="178"/>
        <v>0.95973559161783095</v>
      </c>
      <c r="S1915" s="22">
        <f t="shared" si="179"/>
        <v>1.9597355916178301</v>
      </c>
    </row>
    <row r="1916" spans="1:19">
      <c r="A1916" s="18" t="s">
        <v>1955</v>
      </c>
      <c r="B1916" s="18" t="s">
        <v>47</v>
      </c>
      <c r="C1916" s="18" t="s">
        <v>48</v>
      </c>
      <c r="D1916" s="19">
        <v>44857</v>
      </c>
      <c r="E1916" s="20">
        <v>45479</v>
      </c>
      <c r="F1916" s="21">
        <v>75692.800000000003</v>
      </c>
      <c r="G1916" s="21">
        <v>49700.800000000003</v>
      </c>
      <c r="H1916" s="21">
        <v>37912</v>
      </c>
      <c r="I1916" s="18">
        <v>2338.8000000000002</v>
      </c>
      <c r="J1916" s="18">
        <v>9016.6880000000001</v>
      </c>
      <c r="K1916" s="18" t="s">
        <v>65</v>
      </c>
      <c r="L1916" s="18" t="s">
        <v>31</v>
      </c>
      <c r="M1916" s="18" t="s">
        <v>24</v>
      </c>
      <c r="N1916" s="22">
        <f t="shared" si="174"/>
        <v>0.65661198951551503</v>
      </c>
      <c r="O1916" s="22">
        <f t="shared" si="175"/>
        <v>0.76280462286321304</v>
      </c>
      <c r="P1916" s="23">
        <f t="shared" si="176"/>
        <v>4.7057592634323797E-2</v>
      </c>
      <c r="Q1916" s="23">
        <f t="shared" si="177"/>
        <v>6.1690230006330497E-2</v>
      </c>
      <c r="R1916" s="22">
        <f t="shared" si="178"/>
        <v>2.8552625277920298</v>
      </c>
      <c r="S1916" s="22">
        <f t="shared" si="179"/>
        <v>3.8552625277920298</v>
      </c>
    </row>
    <row r="1917" spans="1:19">
      <c r="A1917" s="18" t="s">
        <v>1956</v>
      </c>
      <c r="B1917" s="18" t="s">
        <v>47</v>
      </c>
      <c r="C1917" s="18" t="s">
        <v>41</v>
      </c>
      <c r="D1917" s="19">
        <v>44805</v>
      </c>
      <c r="E1917" s="20">
        <v>45433</v>
      </c>
      <c r="F1917" s="21">
        <v>23300.799999999999</v>
      </c>
      <c r="G1917" s="21">
        <v>14435.2</v>
      </c>
      <c r="H1917" s="21">
        <v>8427.2000000000007</v>
      </c>
      <c r="I1917" s="18">
        <v>5139.4719999999998</v>
      </c>
      <c r="J1917" s="18">
        <v>18159.648000000001</v>
      </c>
      <c r="K1917" s="18" t="s">
        <v>38</v>
      </c>
      <c r="L1917" s="18" t="s">
        <v>44</v>
      </c>
      <c r="M1917" s="18" t="s">
        <v>32</v>
      </c>
      <c r="N1917" s="22">
        <f t="shared" si="174"/>
        <v>0.61951520977820496</v>
      </c>
      <c r="O1917" s="22">
        <f t="shared" si="175"/>
        <v>0.583795167368654</v>
      </c>
      <c r="P1917" s="23">
        <f t="shared" si="176"/>
        <v>0.35603746397694502</v>
      </c>
      <c r="Q1917" s="23">
        <f t="shared" si="177"/>
        <v>0.60986709701917596</v>
      </c>
      <c r="R1917" s="22">
        <f t="shared" si="178"/>
        <v>2.53336840827229</v>
      </c>
      <c r="S1917" s="22">
        <f t="shared" si="179"/>
        <v>3.53336840827229</v>
      </c>
    </row>
    <row r="1918" spans="1:19">
      <c r="A1918" s="18" t="s">
        <v>1957</v>
      </c>
      <c r="B1918" s="18" t="s">
        <v>40</v>
      </c>
      <c r="C1918" s="18" t="s">
        <v>21</v>
      </c>
      <c r="D1918" s="19">
        <v>44850</v>
      </c>
      <c r="E1918" s="20">
        <v>45461</v>
      </c>
      <c r="F1918" s="21">
        <v>63742.400000000001</v>
      </c>
      <c r="G1918" s="21">
        <v>38380.800000000003</v>
      </c>
      <c r="H1918" s="21">
        <v>17600</v>
      </c>
      <c r="I1918" s="18">
        <v>395.488</v>
      </c>
      <c r="J1918" s="18">
        <v>895.53599999999994</v>
      </c>
      <c r="K1918" s="18" t="s">
        <v>30</v>
      </c>
      <c r="L1918" s="18" t="s">
        <v>35</v>
      </c>
      <c r="M1918" s="18" t="s">
        <v>32</v>
      </c>
      <c r="N1918" s="22">
        <f t="shared" si="174"/>
        <v>0.60212354727779305</v>
      </c>
      <c r="O1918" s="22">
        <f t="shared" si="175"/>
        <v>0.45856261464065401</v>
      </c>
      <c r="P1918" s="23">
        <f t="shared" si="176"/>
        <v>1.0304318826079699E-2</v>
      </c>
      <c r="Q1918" s="23">
        <f t="shared" si="177"/>
        <v>2.24709090909091E-2</v>
      </c>
      <c r="R1918" s="22">
        <f t="shared" si="178"/>
        <v>1.26438223157213</v>
      </c>
      <c r="S1918" s="22">
        <f t="shared" si="179"/>
        <v>2.2643822315721298</v>
      </c>
    </row>
    <row r="1919" spans="1:19">
      <c r="A1919" s="18" t="s">
        <v>1958</v>
      </c>
      <c r="B1919" s="18" t="s">
        <v>47</v>
      </c>
      <c r="C1919" s="18" t="s">
        <v>29</v>
      </c>
      <c r="D1919" s="19">
        <v>44695</v>
      </c>
      <c r="E1919" s="20">
        <v>45312</v>
      </c>
      <c r="F1919" s="21">
        <v>37718.400000000001</v>
      </c>
      <c r="G1919" s="21">
        <v>4668.8</v>
      </c>
      <c r="H1919" s="21">
        <v>3096</v>
      </c>
      <c r="I1919" s="18">
        <v>1524.96</v>
      </c>
      <c r="J1919" s="18">
        <v>4094.6239999999998</v>
      </c>
      <c r="K1919" s="18" t="s">
        <v>30</v>
      </c>
      <c r="L1919" s="18" t="s">
        <v>50</v>
      </c>
      <c r="M1919" s="18" t="s">
        <v>32</v>
      </c>
      <c r="N1919" s="22">
        <f t="shared" si="174"/>
        <v>0.12378043607364</v>
      </c>
      <c r="O1919" s="22">
        <f t="shared" si="175"/>
        <v>0.66312542837559996</v>
      </c>
      <c r="P1919" s="23">
        <f t="shared" si="176"/>
        <v>0.32662782727895801</v>
      </c>
      <c r="Q1919" s="23">
        <f t="shared" si="177"/>
        <v>0.49255813953488398</v>
      </c>
      <c r="R1919" s="22">
        <f t="shared" si="178"/>
        <v>1.6850697723218999</v>
      </c>
      <c r="S1919" s="22">
        <f t="shared" si="179"/>
        <v>2.6850697723219001</v>
      </c>
    </row>
    <row r="1920" spans="1:19">
      <c r="A1920" s="18" t="s">
        <v>1959</v>
      </c>
      <c r="B1920" s="18" t="s">
        <v>28</v>
      </c>
      <c r="C1920" s="18" t="s">
        <v>41</v>
      </c>
      <c r="D1920" s="19">
        <v>44951</v>
      </c>
      <c r="E1920" s="20">
        <v>45562</v>
      </c>
      <c r="F1920" s="21">
        <v>62025.599999999999</v>
      </c>
      <c r="G1920" s="21">
        <v>24377.599999999999</v>
      </c>
      <c r="H1920" s="21">
        <v>5011.2</v>
      </c>
      <c r="I1920" s="18">
        <v>3032.192</v>
      </c>
      <c r="J1920" s="18">
        <v>11189.696</v>
      </c>
      <c r="K1920" s="18" t="s">
        <v>43</v>
      </c>
      <c r="L1920" s="18" t="s">
        <v>31</v>
      </c>
      <c r="M1920" s="18" t="s">
        <v>32</v>
      </c>
      <c r="N1920" s="22">
        <f t="shared" si="174"/>
        <v>0.393024815560027</v>
      </c>
      <c r="O1920" s="22">
        <f t="shared" si="175"/>
        <v>0.20556576529272799</v>
      </c>
      <c r="P1920" s="23">
        <f t="shared" si="176"/>
        <v>0.124384352848517</v>
      </c>
      <c r="Q1920" s="23">
        <f t="shared" si="177"/>
        <v>0.60508301404853104</v>
      </c>
      <c r="R1920" s="22">
        <f t="shared" si="178"/>
        <v>2.6902992950314499</v>
      </c>
      <c r="S1920" s="22">
        <f t="shared" si="179"/>
        <v>3.6902992950314499</v>
      </c>
    </row>
    <row r="1921" spans="1:19">
      <c r="A1921" s="18" t="s">
        <v>1960</v>
      </c>
      <c r="B1921" s="18" t="s">
        <v>34</v>
      </c>
      <c r="C1921" s="18" t="s">
        <v>48</v>
      </c>
      <c r="D1921" s="19">
        <v>44912</v>
      </c>
      <c r="E1921" s="20">
        <v>45514</v>
      </c>
      <c r="F1921" s="21">
        <v>32472</v>
      </c>
      <c r="G1921" s="21">
        <v>19851.2</v>
      </c>
      <c r="H1921" s="21">
        <v>11238.4</v>
      </c>
      <c r="I1921" s="18">
        <v>3035.8560000000002</v>
      </c>
      <c r="J1921" s="18">
        <v>5960.7039999999997</v>
      </c>
      <c r="K1921" s="18" t="s">
        <v>38</v>
      </c>
      <c r="L1921" s="18" t="s">
        <v>44</v>
      </c>
      <c r="M1921" s="18" t="s">
        <v>32</v>
      </c>
      <c r="N1921" s="22">
        <f t="shared" si="174"/>
        <v>0.61133284060113302</v>
      </c>
      <c r="O1921" s="22">
        <f t="shared" si="175"/>
        <v>0.56613202224550696</v>
      </c>
      <c r="P1921" s="23">
        <f t="shared" si="176"/>
        <v>0.152930603691464</v>
      </c>
      <c r="Q1921" s="23">
        <f t="shared" si="177"/>
        <v>0.27013240318906601</v>
      </c>
      <c r="R1921" s="22">
        <f t="shared" si="178"/>
        <v>0.96343436579337105</v>
      </c>
      <c r="S1921" s="22">
        <f t="shared" si="179"/>
        <v>1.9634343657933699</v>
      </c>
    </row>
    <row r="1922" spans="1:19">
      <c r="A1922" s="18" t="s">
        <v>1961</v>
      </c>
      <c r="B1922" s="18" t="s">
        <v>40</v>
      </c>
      <c r="C1922" s="18" t="s">
        <v>48</v>
      </c>
      <c r="D1922" s="19">
        <v>44709</v>
      </c>
      <c r="E1922" s="20">
        <v>45312</v>
      </c>
      <c r="F1922" s="21">
        <v>55947.199999999997</v>
      </c>
      <c r="G1922" s="21">
        <v>23294.400000000001</v>
      </c>
      <c r="H1922" s="21">
        <v>12342.4</v>
      </c>
      <c r="I1922" s="18">
        <v>4526.6239999999998</v>
      </c>
      <c r="J1922" s="18">
        <v>11415.951999999999</v>
      </c>
      <c r="K1922" s="18" t="s">
        <v>22</v>
      </c>
      <c r="L1922" s="18" t="s">
        <v>35</v>
      </c>
      <c r="M1922" s="18" t="s">
        <v>32</v>
      </c>
      <c r="N1922" s="22">
        <f t="shared" ref="N1922:N1985" si="180">G1922/F1922</f>
        <v>0.416364000343181</v>
      </c>
      <c r="O1922" s="22">
        <f t="shared" ref="O1922:O1985" si="181">H1922/G1922</f>
        <v>0.529844082697987</v>
      </c>
      <c r="P1922" s="23">
        <f t="shared" ref="P1922:P1985" si="182">I1922/G1922</f>
        <v>0.19432241225358901</v>
      </c>
      <c r="Q1922" s="23">
        <f t="shared" ref="Q1922:Q1985" si="183">I1922/H1922</f>
        <v>0.36675395385014298</v>
      </c>
      <c r="R1922" s="22">
        <f t="shared" ref="R1922:R1985" si="184">(J1922-I1922)/I1922</f>
        <v>1.52195720254212</v>
      </c>
      <c r="S1922" s="22">
        <f t="shared" ref="S1922:S1985" si="185">J1922/I1922</f>
        <v>2.5219572025421102</v>
      </c>
    </row>
    <row r="1923" spans="1:19">
      <c r="A1923" s="18" t="s">
        <v>1962</v>
      </c>
      <c r="B1923" s="18" t="s">
        <v>26</v>
      </c>
      <c r="C1923" s="18" t="s">
        <v>29</v>
      </c>
      <c r="D1923" s="19">
        <v>44837</v>
      </c>
      <c r="E1923" s="20">
        <v>45456</v>
      </c>
      <c r="F1923" s="21">
        <v>41616</v>
      </c>
      <c r="G1923" s="21">
        <v>33033.599999999999</v>
      </c>
      <c r="H1923" s="21">
        <v>15603.2</v>
      </c>
      <c r="I1923" s="18">
        <v>4080.0479999999998</v>
      </c>
      <c r="J1923" s="18">
        <v>11564.304</v>
      </c>
      <c r="K1923" s="18" t="s">
        <v>65</v>
      </c>
      <c r="L1923" s="18" t="s">
        <v>50</v>
      </c>
      <c r="M1923" s="18" t="s">
        <v>32</v>
      </c>
      <c r="N1923" s="22">
        <f t="shared" si="180"/>
        <v>0.79377162629757803</v>
      </c>
      <c r="O1923" s="22">
        <f t="shared" si="181"/>
        <v>0.47234331105298799</v>
      </c>
      <c r="P1923" s="23">
        <f t="shared" si="182"/>
        <v>0.12351206044754399</v>
      </c>
      <c r="Q1923" s="23">
        <f t="shared" si="183"/>
        <v>0.261487899917966</v>
      </c>
      <c r="R1923" s="22">
        <f t="shared" si="184"/>
        <v>1.83435488994247</v>
      </c>
      <c r="S1923" s="22">
        <f t="shared" si="185"/>
        <v>2.8343548899424702</v>
      </c>
    </row>
    <row r="1924" spans="1:19">
      <c r="A1924" s="18" t="s">
        <v>1963</v>
      </c>
      <c r="B1924" s="18" t="s">
        <v>34</v>
      </c>
      <c r="C1924" s="18" t="s">
        <v>21</v>
      </c>
      <c r="D1924" s="19">
        <v>44749</v>
      </c>
      <c r="E1924" s="20">
        <v>45360</v>
      </c>
      <c r="F1924" s="21">
        <v>13814.4</v>
      </c>
      <c r="G1924" s="21">
        <v>11830.4</v>
      </c>
      <c r="H1924" s="21">
        <v>10382.4</v>
      </c>
      <c r="I1924" s="18">
        <v>6232.5280000000002</v>
      </c>
      <c r="J1924" s="18">
        <v>22602.752</v>
      </c>
      <c r="K1924" s="18" t="s">
        <v>22</v>
      </c>
      <c r="L1924" s="18" t="s">
        <v>31</v>
      </c>
      <c r="M1924" s="18" t="s">
        <v>32</v>
      </c>
      <c r="N1924" s="22">
        <f t="shared" si="180"/>
        <v>0.85638174658327504</v>
      </c>
      <c r="O1924" s="22">
        <f t="shared" si="181"/>
        <v>0.87760346226670305</v>
      </c>
      <c r="P1924" s="23">
        <f t="shared" si="182"/>
        <v>0.526823099810657</v>
      </c>
      <c r="Q1924" s="23">
        <f t="shared" si="183"/>
        <v>0.60029742641393102</v>
      </c>
      <c r="R1924" s="22">
        <f t="shared" si="184"/>
        <v>2.6265784927079299</v>
      </c>
      <c r="S1924" s="22">
        <f t="shared" si="185"/>
        <v>3.6265784927079299</v>
      </c>
    </row>
    <row r="1925" spans="1:19">
      <c r="A1925" s="18" t="s">
        <v>1964</v>
      </c>
      <c r="B1925" s="18" t="s">
        <v>26</v>
      </c>
      <c r="C1925" s="18" t="s">
        <v>48</v>
      </c>
      <c r="D1925" s="19">
        <v>44834</v>
      </c>
      <c r="E1925" s="20">
        <v>45443</v>
      </c>
      <c r="F1925" s="21">
        <v>26747.200000000001</v>
      </c>
      <c r="G1925" s="21">
        <v>1700.8</v>
      </c>
      <c r="H1925" s="21">
        <v>25.6</v>
      </c>
      <c r="I1925" s="18">
        <v>6205.6959999999999</v>
      </c>
      <c r="J1925" s="18">
        <v>13710.24</v>
      </c>
      <c r="K1925" s="18" t="s">
        <v>22</v>
      </c>
      <c r="L1925" s="18" t="s">
        <v>31</v>
      </c>
      <c r="M1925" s="18" t="s">
        <v>32</v>
      </c>
      <c r="N1925" s="22">
        <f t="shared" si="180"/>
        <v>6.3587964347670001E-2</v>
      </c>
      <c r="O1925" s="22">
        <f t="shared" si="181"/>
        <v>1.5051740357478799E-2</v>
      </c>
      <c r="P1925" s="23">
        <f t="shared" si="182"/>
        <v>3.6486923800564401</v>
      </c>
      <c r="Q1925" s="23">
        <f t="shared" si="183"/>
        <v>242.41</v>
      </c>
      <c r="R1925" s="22">
        <f t="shared" si="184"/>
        <v>1.2092993275855</v>
      </c>
      <c r="S1925" s="22">
        <f t="shared" si="185"/>
        <v>2.2092993275855002</v>
      </c>
    </row>
    <row r="1926" spans="1:19">
      <c r="A1926" s="18" t="s">
        <v>1965</v>
      </c>
      <c r="B1926" s="18" t="s">
        <v>28</v>
      </c>
      <c r="C1926" s="18" t="s">
        <v>21</v>
      </c>
      <c r="D1926" s="19">
        <v>44853</v>
      </c>
      <c r="E1926" s="20">
        <v>45482</v>
      </c>
      <c r="F1926" s="21">
        <v>46888</v>
      </c>
      <c r="G1926" s="21">
        <v>8513.6</v>
      </c>
      <c r="H1926" s="21">
        <v>7755.2</v>
      </c>
      <c r="I1926" s="18">
        <v>7044.7359999999999</v>
      </c>
      <c r="J1926" s="18">
        <v>12315.824000000001</v>
      </c>
      <c r="K1926" s="18" t="s">
        <v>65</v>
      </c>
      <c r="L1926" s="18" t="s">
        <v>50</v>
      </c>
      <c r="M1926" s="18" t="s">
        <v>32</v>
      </c>
      <c r="N1926" s="22">
        <f t="shared" si="180"/>
        <v>0.181573110390718</v>
      </c>
      <c r="O1926" s="22">
        <f t="shared" si="181"/>
        <v>0.91091900018793504</v>
      </c>
      <c r="P1926" s="23">
        <f t="shared" si="182"/>
        <v>0.82746852095470802</v>
      </c>
      <c r="Q1926" s="23">
        <f t="shared" si="183"/>
        <v>0.90838869403754896</v>
      </c>
      <c r="R1926" s="22">
        <f t="shared" si="184"/>
        <v>0.74823073568690202</v>
      </c>
      <c r="S1926" s="22">
        <f t="shared" si="185"/>
        <v>1.7482307356869</v>
      </c>
    </row>
    <row r="1927" spans="1:19">
      <c r="A1927" s="18" t="s">
        <v>1966</v>
      </c>
      <c r="B1927" s="18" t="s">
        <v>20</v>
      </c>
      <c r="C1927" s="18" t="s">
        <v>21</v>
      </c>
      <c r="D1927" s="19">
        <v>44780</v>
      </c>
      <c r="E1927" s="20">
        <v>45407</v>
      </c>
      <c r="F1927" s="21">
        <v>18356.8</v>
      </c>
      <c r="G1927" s="21">
        <v>16801.599999999999</v>
      </c>
      <c r="H1927" s="21">
        <v>12244.8</v>
      </c>
      <c r="I1927" s="18">
        <v>846.83199999999999</v>
      </c>
      <c r="J1927" s="18">
        <v>2241.424</v>
      </c>
      <c r="K1927" s="18" t="s">
        <v>22</v>
      </c>
      <c r="L1927" s="18" t="s">
        <v>23</v>
      </c>
      <c r="M1927" s="18" t="s">
        <v>32</v>
      </c>
      <c r="N1927" s="22">
        <f t="shared" si="180"/>
        <v>0.91527935152096196</v>
      </c>
      <c r="O1927" s="22">
        <f t="shared" si="181"/>
        <v>0.72878773450147605</v>
      </c>
      <c r="P1927" s="23">
        <f t="shared" si="182"/>
        <v>5.0401866488905801E-2</v>
      </c>
      <c r="Q1927" s="23">
        <f t="shared" si="183"/>
        <v>6.9158499934666107E-2</v>
      </c>
      <c r="R1927" s="22">
        <f t="shared" si="184"/>
        <v>1.64683431896763</v>
      </c>
      <c r="S1927" s="22">
        <f t="shared" si="185"/>
        <v>2.6468343189676302</v>
      </c>
    </row>
    <row r="1928" spans="1:19">
      <c r="A1928" s="18" t="s">
        <v>1967</v>
      </c>
      <c r="B1928" s="18" t="s">
        <v>26</v>
      </c>
      <c r="C1928" s="18" t="s">
        <v>29</v>
      </c>
      <c r="D1928" s="19">
        <v>44973</v>
      </c>
      <c r="E1928" s="20">
        <v>45583</v>
      </c>
      <c r="F1928" s="21">
        <v>70108.800000000003</v>
      </c>
      <c r="G1928" s="21">
        <v>3465.6</v>
      </c>
      <c r="H1928" s="21">
        <v>155.19999999999999</v>
      </c>
      <c r="I1928" s="18">
        <v>2427.232</v>
      </c>
      <c r="J1928" s="18">
        <v>7024.2719999999999</v>
      </c>
      <c r="K1928" s="18" t="s">
        <v>65</v>
      </c>
      <c r="L1928" s="18" t="s">
        <v>50</v>
      </c>
      <c r="M1928" s="18" t="s">
        <v>24</v>
      </c>
      <c r="N1928" s="22">
        <f t="shared" si="180"/>
        <v>4.9431740380665501E-2</v>
      </c>
      <c r="O1928" s="22">
        <f t="shared" si="181"/>
        <v>4.4783010156971399E-2</v>
      </c>
      <c r="P1928" s="23">
        <f t="shared" si="182"/>
        <v>0.70037857802400705</v>
      </c>
      <c r="Q1928" s="23">
        <f t="shared" si="183"/>
        <v>15.639381443298999</v>
      </c>
      <c r="R1928" s="22">
        <f t="shared" si="184"/>
        <v>1.89394338901267</v>
      </c>
      <c r="S1928" s="22">
        <f t="shared" si="185"/>
        <v>2.8939433890126698</v>
      </c>
    </row>
    <row r="1929" spans="1:19">
      <c r="A1929" s="18" t="s">
        <v>1968</v>
      </c>
      <c r="B1929" s="18" t="s">
        <v>34</v>
      </c>
      <c r="C1929" s="18" t="s">
        <v>48</v>
      </c>
      <c r="D1929" s="19">
        <v>44972</v>
      </c>
      <c r="E1929" s="20">
        <v>45591</v>
      </c>
      <c r="F1929" s="21">
        <v>34123.199999999997</v>
      </c>
      <c r="G1929" s="21">
        <v>713.6</v>
      </c>
      <c r="H1929" s="21">
        <v>577.6</v>
      </c>
      <c r="I1929" s="18">
        <v>5754.2560000000003</v>
      </c>
      <c r="J1929" s="18">
        <v>17530.975999999999</v>
      </c>
      <c r="K1929" s="18" t="s">
        <v>65</v>
      </c>
      <c r="L1929" s="18" t="s">
        <v>44</v>
      </c>
      <c r="M1929" s="18" t="s">
        <v>32</v>
      </c>
      <c r="N1929" s="22">
        <f t="shared" si="180"/>
        <v>2.09124583860834E-2</v>
      </c>
      <c r="O1929" s="22">
        <f t="shared" si="181"/>
        <v>0.80941704035874396</v>
      </c>
      <c r="P1929" s="23">
        <f t="shared" si="182"/>
        <v>8.0636995515695098</v>
      </c>
      <c r="Q1929" s="23">
        <f t="shared" si="183"/>
        <v>9.9623545706371193</v>
      </c>
      <c r="R1929" s="22">
        <f t="shared" si="184"/>
        <v>2.0466103697854199</v>
      </c>
      <c r="S1929" s="22">
        <f t="shared" si="185"/>
        <v>3.0466103697854199</v>
      </c>
    </row>
    <row r="1930" spans="1:19">
      <c r="A1930" s="18" t="s">
        <v>1969</v>
      </c>
      <c r="B1930" s="18" t="s">
        <v>47</v>
      </c>
      <c r="C1930" s="18" t="s">
        <v>21</v>
      </c>
      <c r="D1930" s="19">
        <v>44938</v>
      </c>
      <c r="E1930" s="20">
        <v>45545</v>
      </c>
      <c r="F1930" s="21">
        <v>55481.599999999999</v>
      </c>
      <c r="G1930" s="21">
        <v>2216</v>
      </c>
      <c r="H1930" s="21">
        <v>1888</v>
      </c>
      <c r="I1930" s="18">
        <v>3701.04</v>
      </c>
      <c r="J1930" s="18">
        <v>6427.6959999999999</v>
      </c>
      <c r="K1930" s="18" t="s">
        <v>22</v>
      </c>
      <c r="L1930" s="18" t="s">
        <v>35</v>
      </c>
      <c r="M1930" s="18" t="s">
        <v>24</v>
      </c>
      <c r="N1930" s="22">
        <f t="shared" si="180"/>
        <v>3.99411696850848E-2</v>
      </c>
      <c r="O1930" s="22">
        <f t="shared" si="181"/>
        <v>0.85198555956678701</v>
      </c>
      <c r="P1930" s="23">
        <f t="shared" si="182"/>
        <v>1.6701444043321301</v>
      </c>
      <c r="Q1930" s="23">
        <f t="shared" si="183"/>
        <v>1.9602966101694901</v>
      </c>
      <c r="R1930" s="22">
        <f t="shared" si="184"/>
        <v>0.73672697403972898</v>
      </c>
      <c r="S1930" s="22">
        <f t="shared" si="185"/>
        <v>1.73672697403973</v>
      </c>
    </row>
    <row r="1931" spans="1:19">
      <c r="A1931" s="18" t="s">
        <v>1970</v>
      </c>
      <c r="B1931" s="18" t="s">
        <v>28</v>
      </c>
      <c r="C1931" s="18" t="s">
        <v>41</v>
      </c>
      <c r="D1931" s="19">
        <v>44990</v>
      </c>
      <c r="E1931" s="20">
        <v>45619</v>
      </c>
      <c r="F1931" s="21">
        <v>31252.799999999999</v>
      </c>
      <c r="G1931" s="21">
        <v>10380.799999999999</v>
      </c>
      <c r="H1931" s="21">
        <v>4148.8</v>
      </c>
      <c r="I1931" s="18">
        <v>4349.2640000000001</v>
      </c>
      <c r="J1931" s="18">
        <v>12462.368</v>
      </c>
      <c r="K1931" s="18" t="s">
        <v>43</v>
      </c>
      <c r="L1931" s="18" t="s">
        <v>23</v>
      </c>
      <c r="M1931" s="18" t="s">
        <v>32</v>
      </c>
      <c r="N1931" s="22">
        <f t="shared" si="180"/>
        <v>0.33215583883684002</v>
      </c>
      <c r="O1931" s="22">
        <f t="shared" si="181"/>
        <v>0.39966091245376101</v>
      </c>
      <c r="P1931" s="23">
        <f t="shared" si="182"/>
        <v>0.418971948212084</v>
      </c>
      <c r="Q1931" s="23">
        <f t="shared" si="183"/>
        <v>1.0483185499421499</v>
      </c>
      <c r="R1931" s="22">
        <f t="shared" si="184"/>
        <v>1.8653969959055099</v>
      </c>
      <c r="S1931" s="22">
        <f t="shared" si="185"/>
        <v>2.8653969959055101</v>
      </c>
    </row>
    <row r="1932" spans="1:19">
      <c r="A1932" s="18" t="s">
        <v>1971</v>
      </c>
      <c r="B1932" s="18" t="s">
        <v>28</v>
      </c>
      <c r="C1932" s="18" t="s">
        <v>41</v>
      </c>
      <c r="D1932" s="19">
        <v>44709</v>
      </c>
      <c r="E1932" s="20">
        <v>45329</v>
      </c>
      <c r="F1932" s="21">
        <v>53824</v>
      </c>
      <c r="G1932" s="21">
        <v>33184</v>
      </c>
      <c r="H1932" s="21">
        <v>15195.2</v>
      </c>
      <c r="I1932" s="18">
        <v>6079.424</v>
      </c>
      <c r="J1932" s="18">
        <v>20972.047999999999</v>
      </c>
      <c r="K1932" s="18" t="s">
        <v>30</v>
      </c>
      <c r="L1932" s="18" t="s">
        <v>50</v>
      </c>
      <c r="M1932" s="18" t="s">
        <v>24</v>
      </c>
      <c r="N1932" s="22">
        <f t="shared" si="180"/>
        <v>0.61652794292508895</v>
      </c>
      <c r="O1932" s="22">
        <f t="shared" si="181"/>
        <v>0.45790742526518802</v>
      </c>
      <c r="P1932" s="23">
        <f t="shared" si="182"/>
        <v>0.18320347155255501</v>
      </c>
      <c r="Q1932" s="23">
        <f t="shared" si="183"/>
        <v>0.40008844898389001</v>
      </c>
      <c r="R1932" s="22">
        <f t="shared" si="184"/>
        <v>2.4496768114874001</v>
      </c>
      <c r="S1932" s="22">
        <f t="shared" si="185"/>
        <v>3.4496768114874001</v>
      </c>
    </row>
    <row r="1933" spans="1:19">
      <c r="A1933" s="18" t="s">
        <v>1972</v>
      </c>
      <c r="B1933" s="18" t="s">
        <v>40</v>
      </c>
      <c r="C1933" s="18" t="s">
        <v>41</v>
      </c>
      <c r="D1933" s="19">
        <v>44926</v>
      </c>
      <c r="E1933" s="20">
        <v>45528</v>
      </c>
      <c r="F1933" s="21">
        <v>39264</v>
      </c>
      <c r="G1933" s="21">
        <v>12476.8</v>
      </c>
      <c r="H1933" s="21">
        <v>1550.4</v>
      </c>
      <c r="I1933" s="18">
        <v>5644.848</v>
      </c>
      <c r="J1933" s="18">
        <v>17097.552</v>
      </c>
      <c r="K1933" s="18" t="s">
        <v>30</v>
      </c>
      <c r="L1933" s="18" t="s">
        <v>23</v>
      </c>
      <c r="M1933" s="18" t="s">
        <v>32</v>
      </c>
      <c r="N1933" s="22">
        <f t="shared" si="180"/>
        <v>0.31776691116544398</v>
      </c>
      <c r="O1933" s="22">
        <f t="shared" si="181"/>
        <v>0.12426263144396001</v>
      </c>
      <c r="P1933" s="23">
        <f t="shared" si="182"/>
        <v>0.45242754552449299</v>
      </c>
      <c r="Q1933" s="23">
        <f t="shared" si="183"/>
        <v>3.6408978328173398</v>
      </c>
      <c r="R1933" s="22">
        <f t="shared" si="184"/>
        <v>2.0288773054650902</v>
      </c>
      <c r="S1933" s="22">
        <f t="shared" si="185"/>
        <v>3.0288773054650902</v>
      </c>
    </row>
    <row r="1934" spans="1:19">
      <c r="A1934" s="18" t="s">
        <v>1973</v>
      </c>
      <c r="B1934" s="18" t="s">
        <v>20</v>
      </c>
      <c r="C1934" s="18" t="s">
        <v>21</v>
      </c>
      <c r="D1934" s="19">
        <v>44775</v>
      </c>
      <c r="E1934" s="20">
        <v>45404</v>
      </c>
      <c r="F1934" s="21">
        <v>61744</v>
      </c>
      <c r="G1934" s="21">
        <v>29089.599999999999</v>
      </c>
      <c r="H1934" s="21">
        <v>6822.4</v>
      </c>
      <c r="I1934" s="18">
        <v>995.48800000000006</v>
      </c>
      <c r="J1934" s="18">
        <v>2993.6</v>
      </c>
      <c r="K1934" s="18" t="s">
        <v>38</v>
      </c>
      <c r="L1934" s="18" t="s">
        <v>35</v>
      </c>
      <c r="M1934" s="18" t="s">
        <v>32</v>
      </c>
      <c r="N1934" s="22">
        <f t="shared" si="180"/>
        <v>0.47113241772479902</v>
      </c>
      <c r="O1934" s="22">
        <f t="shared" si="181"/>
        <v>0.234530553874924</v>
      </c>
      <c r="P1934" s="23">
        <f t="shared" si="182"/>
        <v>3.42214399647984E-2</v>
      </c>
      <c r="Q1934" s="23">
        <f t="shared" si="183"/>
        <v>0.14591463414634101</v>
      </c>
      <c r="R1934" s="22">
        <f t="shared" si="184"/>
        <v>2.0071683435661698</v>
      </c>
      <c r="S1934" s="22">
        <f t="shared" si="185"/>
        <v>3.0071683435661698</v>
      </c>
    </row>
    <row r="1935" spans="1:19">
      <c r="A1935" s="18" t="s">
        <v>1974</v>
      </c>
      <c r="B1935" s="18" t="s">
        <v>26</v>
      </c>
      <c r="C1935" s="18" t="s">
        <v>29</v>
      </c>
      <c r="D1935" s="19">
        <v>44739</v>
      </c>
      <c r="E1935" s="20">
        <v>45369</v>
      </c>
      <c r="F1935" s="21">
        <v>73596.800000000003</v>
      </c>
      <c r="G1935" s="21">
        <v>57896</v>
      </c>
      <c r="H1935" s="21">
        <v>10281.6</v>
      </c>
      <c r="I1935" s="18">
        <v>5087.12</v>
      </c>
      <c r="J1935" s="18">
        <v>8793.2479999999996</v>
      </c>
      <c r="K1935" s="18" t="s">
        <v>30</v>
      </c>
      <c r="L1935" s="18" t="s">
        <v>23</v>
      </c>
      <c r="M1935" s="18" t="s">
        <v>32</v>
      </c>
      <c r="N1935" s="22">
        <f t="shared" si="180"/>
        <v>0.78666463759293903</v>
      </c>
      <c r="O1935" s="22">
        <f t="shared" si="181"/>
        <v>0.17758739809313301</v>
      </c>
      <c r="P1935" s="23">
        <f t="shared" si="182"/>
        <v>8.7866519275943106E-2</v>
      </c>
      <c r="Q1935" s="23">
        <f t="shared" si="183"/>
        <v>0.49477902272019902</v>
      </c>
      <c r="R1935" s="22">
        <f t="shared" si="184"/>
        <v>0.72853166428155802</v>
      </c>
      <c r="S1935" s="22">
        <f t="shared" si="185"/>
        <v>1.72853166428156</v>
      </c>
    </row>
    <row r="1936" spans="1:19">
      <c r="A1936" s="18" t="s">
        <v>1975</v>
      </c>
      <c r="B1936" s="18" t="s">
        <v>47</v>
      </c>
      <c r="C1936" s="18" t="s">
        <v>29</v>
      </c>
      <c r="D1936" s="19">
        <v>44768</v>
      </c>
      <c r="E1936" s="20">
        <v>45387</v>
      </c>
      <c r="F1936" s="21">
        <v>74467.199999999997</v>
      </c>
      <c r="G1936" s="21">
        <v>41337.599999999999</v>
      </c>
      <c r="H1936" s="21">
        <v>3588.8</v>
      </c>
      <c r="I1936" s="18">
        <v>3838.4960000000001</v>
      </c>
      <c r="J1936" s="18">
        <v>14869.584000000001</v>
      </c>
      <c r="K1936" s="18" t="s">
        <v>22</v>
      </c>
      <c r="L1936" s="18" t="s">
        <v>35</v>
      </c>
      <c r="M1936" s="18" t="s">
        <v>32</v>
      </c>
      <c r="N1936" s="22">
        <f t="shared" si="180"/>
        <v>0.55511151218254495</v>
      </c>
      <c r="O1936" s="22">
        <f t="shared" si="181"/>
        <v>8.6816844712803806E-2</v>
      </c>
      <c r="P1936" s="23">
        <f t="shared" si="182"/>
        <v>9.2857253444805707E-2</v>
      </c>
      <c r="Q1936" s="23">
        <f t="shared" si="183"/>
        <v>1.0695764600980799</v>
      </c>
      <c r="R1936" s="22">
        <f t="shared" si="184"/>
        <v>2.8738047401899101</v>
      </c>
      <c r="S1936" s="22">
        <f t="shared" si="185"/>
        <v>3.8738047401899101</v>
      </c>
    </row>
    <row r="1937" spans="1:19">
      <c r="A1937" s="18" t="s">
        <v>1976</v>
      </c>
      <c r="B1937" s="18" t="s">
        <v>20</v>
      </c>
      <c r="C1937" s="18" t="s">
        <v>21</v>
      </c>
      <c r="D1937" s="19">
        <v>44764</v>
      </c>
      <c r="E1937" s="20">
        <v>45376</v>
      </c>
      <c r="F1937" s="21">
        <v>3819.2</v>
      </c>
      <c r="G1937" s="21">
        <v>3809.6</v>
      </c>
      <c r="H1937" s="21">
        <v>1696</v>
      </c>
      <c r="I1937" s="18">
        <v>3974.6559999999999</v>
      </c>
      <c r="J1937" s="18">
        <v>12426.144</v>
      </c>
      <c r="K1937" s="18" t="s">
        <v>22</v>
      </c>
      <c r="L1937" s="18" t="s">
        <v>31</v>
      </c>
      <c r="M1937" s="18" t="s">
        <v>32</v>
      </c>
      <c r="N1937" s="22">
        <f t="shared" si="180"/>
        <v>0.99748638458315897</v>
      </c>
      <c r="O1937" s="22">
        <f t="shared" si="181"/>
        <v>0.44519109617807601</v>
      </c>
      <c r="P1937" s="23">
        <f t="shared" si="182"/>
        <v>1.04332633347333</v>
      </c>
      <c r="Q1937" s="23">
        <f t="shared" si="183"/>
        <v>2.3435471698113202</v>
      </c>
      <c r="R1937" s="22">
        <f t="shared" si="184"/>
        <v>2.1263445188715702</v>
      </c>
      <c r="S1937" s="22">
        <f t="shared" si="185"/>
        <v>3.1263445188715702</v>
      </c>
    </row>
    <row r="1938" spans="1:19">
      <c r="A1938" s="18" t="s">
        <v>1977</v>
      </c>
      <c r="B1938" s="18" t="s">
        <v>28</v>
      </c>
      <c r="C1938" s="18" t="s">
        <v>21</v>
      </c>
      <c r="D1938" s="19">
        <v>44918</v>
      </c>
      <c r="E1938" s="20">
        <v>45540</v>
      </c>
      <c r="F1938" s="21">
        <v>4577.6000000000004</v>
      </c>
      <c r="G1938" s="21">
        <v>169.6</v>
      </c>
      <c r="H1938" s="21">
        <v>65.599999999999994</v>
      </c>
      <c r="I1938" s="18">
        <v>2210.56</v>
      </c>
      <c r="J1938" s="18">
        <v>6005.12</v>
      </c>
      <c r="K1938" s="18" t="s">
        <v>65</v>
      </c>
      <c r="L1938" s="18" t="s">
        <v>31</v>
      </c>
      <c r="M1938" s="18" t="s">
        <v>32</v>
      </c>
      <c r="N1938" s="22">
        <f t="shared" si="180"/>
        <v>3.7049982523593102E-2</v>
      </c>
      <c r="O1938" s="22">
        <f t="shared" si="181"/>
        <v>0.38679245283018898</v>
      </c>
      <c r="P1938" s="23">
        <f t="shared" si="182"/>
        <v>13.033962264150899</v>
      </c>
      <c r="Q1938" s="23">
        <f t="shared" si="183"/>
        <v>33.697560975609797</v>
      </c>
      <c r="R1938" s="22">
        <f t="shared" si="184"/>
        <v>1.7165605095541401</v>
      </c>
      <c r="S1938" s="22">
        <f t="shared" si="185"/>
        <v>2.7165605095541401</v>
      </c>
    </row>
    <row r="1939" spans="1:19">
      <c r="A1939" s="18" t="s">
        <v>1978</v>
      </c>
      <c r="B1939" s="18" t="s">
        <v>40</v>
      </c>
      <c r="C1939" s="18" t="s">
        <v>48</v>
      </c>
      <c r="D1939" s="19">
        <v>44897</v>
      </c>
      <c r="E1939" s="20">
        <v>45525</v>
      </c>
      <c r="F1939" s="21">
        <v>67814.399999999994</v>
      </c>
      <c r="G1939" s="21">
        <v>61320</v>
      </c>
      <c r="H1939" s="21">
        <v>9792</v>
      </c>
      <c r="I1939" s="18">
        <v>7106.96</v>
      </c>
      <c r="J1939" s="18">
        <v>17674.191999999999</v>
      </c>
      <c r="K1939" s="18" t="s">
        <v>65</v>
      </c>
      <c r="L1939" s="18" t="s">
        <v>23</v>
      </c>
      <c r="M1939" s="18" t="s">
        <v>32</v>
      </c>
      <c r="N1939" s="22">
        <f t="shared" si="180"/>
        <v>0.90423272933182297</v>
      </c>
      <c r="O1939" s="22">
        <f t="shared" si="181"/>
        <v>0.15968688845401199</v>
      </c>
      <c r="P1939" s="23">
        <f t="shared" si="182"/>
        <v>0.115899543378995</v>
      </c>
      <c r="Q1939" s="23">
        <f t="shared" si="183"/>
        <v>0.72579248366013105</v>
      </c>
      <c r="R1939" s="22">
        <f t="shared" si="184"/>
        <v>1.48688496910071</v>
      </c>
      <c r="S1939" s="22">
        <f t="shared" si="185"/>
        <v>2.4868849691007102</v>
      </c>
    </row>
    <row r="1940" spans="1:19">
      <c r="A1940" s="18" t="s">
        <v>1979</v>
      </c>
      <c r="B1940" s="18" t="s">
        <v>40</v>
      </c>
      <c r="C1940" s="18" t="s">
        <v>48</v>
      </c>
      <c r="D1940" s="19">
        <v>44838</v>
      </c>
      <c r="E1940" s="20">
        <v>45446</v>
      </c>
      <c r="F1940" s="21">
        <v>41284.800000000003</v>
      </c>
      <c r="G1940" s="21">
        <v>16550.400000000001</v>
      </c>
      <c r="H1940" s="21">
        <v>15779.2</v>
      </c>
      <c r="I1940" s="18">
        <v>3376.9119999999998</v>
      </c>
      <c r="J1940" s="18">
        <v>10866.768</v>
      </c>
      <c r="K1940" s="18" t="s">
        <v>22</v>
      </c>
      <c r="L1940" s="18" t="s">
        <v>50</v>
      </c>
      <c r="M1940" s="18" t="s">
        <v>32</v>
      </c>
      <c r="N1940" s="22">
        <f t="shared" si="180"/>
        <v>0.40088361818393198</v>
      </c>
      <c r="O1940" s="22">
        <f t="shared" si="181"/>
        <v>0.95340293890177896</v>
      </c>
      <c r="P1940" s="23">
        <f t="shared" si="182"/>
        <v>0.20403808971384399</v>
      </c>
      <c r="Q1940" s="23">
        <f t="shared" si="183"/>
        <v>0.21401034272966901</v>
      </c>
      <c r="R1940" s="22">
        <f t="shared" si="184"/>
        <v>2.2179600771355599</v>
      </c>
      <c r="S1940" s="22">
        <f t="shared" si="185"/>
        <v>3.2179600771355599</v>
      </c>
    </row>
    <row r="1941" spans="1:19">
      <c r="A1941" s="18" t="s">
        <v>1980</v>
      </c>
      <c r="B1941" s="18" t="s">
        <v>26</v>
      </c>
      <c r="C1941" s="18" t="s">
        <v>48</v>
      </c>
      <c r="D1941" s="19">
        <v>44761</v>
      </c>
      <c r="E1941" s="20">
        <v>45363</v>
      </c>
      <c r="F1941" s="21">
        <v>79072</v>
      </c>
      <c r="G1941" s="21">
        <v>57584</v>
      </c>
      <c r="H1941" s="21">
        <v>46958.400000000001</v>
      </c>
      <c r="I1941" s="18">
        <v>1041.4880000000001</v>
      </c>
      <c r="J1941" s="18">
        <v>2936.7040000000002</v>
      </c>
      <c r="K1941" s="18" t="s">
        <v>43</v>
      </c>
      <c r="L1941" s="18" t="s">
        <v>50</v>
      </c>
      <c r="M1941" s="18" t="s">
        <v>32</v>
      </c>
      <c r="N1941" s="22">
        <f t="shared" si="180"/>
        <v>0.72824767300687998</v>
      </c>
      <c r="O1941" s="22">
        <f t="shared" si="181"/>
        <v>0.81547652125590397</v>
      </c>
      <c r="P1941" s="23">
        <f t="shared" si="182"/>
        <v>1.8086412892470101E-2</v>
      </c>
      <c r="Q1941" s="23">
        <f t="shared" si="183"/>
        <v>2.2178949879041902E-2</v>
      </c>
      <c r="R1941" s="22">
        <f t="shared" si="184"/>
        <v>1.81971947828492</v>
      </c>
      <c r="S1941" s="22">
        <f t="shared" si="185"/>
        <v>2.8197194782849202</v>
      </c>
    </row>
    <row r="1942" spans="1:19">
      <c r="A1942" s="18" t="s">
        <v>1981</v>
      </c>
      <c r="B1942" s="18" t="s">
        <v>20</v>
      </c>
      <c r="C1942" s="18" t="s">
        <v>41</v>
      </c>
      <c r="D1942" s="19">
        <v>44778</v>
      </c>
      <c r="E1942" s="20">
        <v>45398</v>
      </c>
      <c r="F1942" s="21">
        <v>64812.800000000003</v>
      </c>
      <c r="G1942" s="21">
        <v>40993.599999999999</v>
      </c>
      <c r="H1942" s="21">
        <v>40241.599999999999</v>
      </c>
      <c r="I1942" s="18">
        <v>1730.704</v>
      </c>
      <c r="J1942" s="18">
        <v>2837.2159999999999</v>
      </c>
      <c r="K1942" s="18" t="s">
        <v>30</v>
      </c>
      <c r="L1942" s="18" t="s">
        <v>50</v>
      </c>
      <c r="M1942" s="18" t="s">
        <v>32</v>
      </c>
      <c r="N1942" s="22">
        <f t="shared" si="180"/>
        <v>0.63249234719067804</v>
      </c>
      <c r="O1942" s="22">
        <f t="shared" si="181"/>
        <v>0.98165567308067603</v>
      </c>
      <c r="P1942" s="23">
        <f t="shared" si="182"/>
        <v>4.2218882947582102E-2</v>
      </c>
      <c r="Q1942" s="23">
        <f t="shared" si="183"/>
        <v>4.30078326905491E-2</v>
      </c>
      <c r="R1942" s="22">
        <f t="shared" si="184"/>
        <v>0.63934214053934102</v>
      </c>
      <c r="S1942" s="22">
        <f t="shared" si="185"/>
        <v>1.63934214053934</v>
      </c>
    </row>
    <row r="1943" spans="1:19">
      <c r="A1943" s="18" t="s">
        <v>1982</v>
      </c>
      <c r="B1943" s="18" t="s">
        <v>40</v>
      </c>
      <c r="C1943" s="18" t="s">
        <v>29</v>
      </c>
      <c r="D1943" s="19">
        <v>44902</v>
      </c>
      <c r="E1943" s="20">
        <v>45521</v>
      </c>
      <c r="F1943" s="21">
        <v>2820.8</v>
      </c>
      <c r="G1943" s="21">
        <v>753.6</v>
      </c>
      <c r="H1943" s="21">
        <v>200</v>
      </c>
      <c r="I1943" s="18">
        <v>4328.6239999999998</v>
      </c>
      <c r="J1943" s="18">
        <v>10142.255999999999</v>
      </c>
      <c r="K1943" s="18" t="s">
        <v>43</v>
      </c>
      <c r="L1943" s="18" t="s">
        <v>31</v>
      </c>
      <c r="M1943" s="18" t="s">
        <v>32</v>
      </c>
      <c r="N1943" s="22">
        <f t="shared" si="180"/>
        <v>0.26715825297787898</v>
      </c>
      <c r="O1943" s="22">
        <f t="shared" si="181"/>
        <v>0.26539278131634803</v>
      </c>
      <c r="P1943" s="23">
        <f t="shared" si="182"/>
        <v>5.7439278131634799</v>
      </c>
      <c r="Q1943" s="23">
        <f t="shared" si="183"/>
        <v>21.64312</v>
      </c>
      <c r="R1943" s="22">
        <f t="shared" si="184"/>
        <v>1.3430669884933399</v>
      </c>
      <c r="S1943" s="22">
        <f t="shared" si="185"/>
        <v>2.3430669884933399</v>
      </c>
    </row>
    <row r="1944" spans="1:19">
      <c r="A1944" s="18" t="s">
        <v>1983</v>
      </c>
      <c r="B1944" s="18" t="s">
        <v>40</v>
      </c>
      <c r="C1944" s="18" t="s">
        <v>41</v>
      </c>
      <c r="D1944" s="19">
        <v>44931</v>
      </c>
      <c r="E1944" s="20">
        <v>45553</v>
      </c>
      <c r="F1944" s="21">
        <v>6600</v>
      </c>
      <c r="G1944" s="21">
        <v>5419.2</v>
      </c>
      <c r="H1944" s="21">
        <v>2640</v>
      </c>
      <c r="I1944" s="18">
        <v>5082.4799999999996</v>
      </c>
      <c r="J1944" s="18">
        <v>11673.824000000001</v>
      </c>
      <c r="K1944" s="18" t="s">
        <v>30</v>
      </c>
      <c r="L1944" s="18" t="s">
        <v>23</v>
      </c>
      <c r="M1944" s="18" t="s">
        <v>32</v>
      </c>
      <c r="N1944" s="22">
        <f t="shared" si="180"/>
        <v>0.82109090909090898</v>
      </c>
      <c r="O1944" s="22">
        <f t="shared" si="181"/>
        <v>0.48715677590788298</v>
      </c>
      <c r="P1944" s="23">
        <f t="shared" si="182"/>
        <v>0.93786536758193095</v>
      </c>
      <c r="Q1944" s="23">
        <f t="shared" si="183"/>
        <v>1.9251818181818201</v>
      </c>
      <c r="R1944" s="22">
        <f t="shared" si="184"/>
        <v>1.2968755410744399</v>
      </c>
      <c r="S1944" s="22">
        <f t="shared" si="185"/>
        <v>2.2968755410744399</v>
      </c>
    </row>
    <row r="1945" spans="1:19">
      <c r="A1945" s="18" t="s">
        <v>1984</v>
      </c>
      <c r="B1945" s="18" t="s">
        <v>26</v>
      </c>
      <c r="C1945" s="18" t="s">
        <v>29</v>
      </c>
      <c r="D1945" s="19">
        <v>44759</v>
      </c>
      <c r="E1945" s="20">
        <v>45383</v>
      </c>
      <c r="F1945" s="21">
        <v>32172.799999999999</v>
      </c>
      <c r="G1945" s="21">
        <v>29476.799999999999</v>
      </c>
      <c r="H1945" s="21">
        <v>13456</v>
      </c>
      <c r="I1945" s="18">
        <v>6547.52</v>
      </c>
      <c r="J1945" s="18">
        <v>17225.504000000001</v>
      </c>
      <c r="K1945" s="18" t="s">
        <v>22</v>
      </c>
      <c r="L1945" s="18" t="s">
        <v>44</v>
      </c>
      <c r="M1945" s="18" t="s">
        <v>32</v>
      </c>
      <c r="N1945" s="22">
        <f t="shared" si="180"/>
        <v>0.91620250646508805</v>
      </c>
      <c r="O1945" s="22">
        <f t="shared" si="181"/>
        <v>0.456494599142376</v>
      </c>
      <c r="P1945" s="23">
        <f t="shared" si="182"/>
        <v>0.22212451826521201</v>
      </c>
      <c r="Q1945" s="23">
        <f t="shared" si="183"/>
        <v>0.48658739595719402</v>
      </c>
      <c r="R1945" s="22">
        <f t="shared" si="184"/>
        <v>1.6308440447681001</v>
      </c>
      <c r="S1945" s="22">
        <f t="shared" si="185"/>
        <v>2.6308440447681001</v>
      </c>
    </row>
    <row r="1946" spans="1:19">
      <c r="A1946" s="18" t="s">
        <v>1985</v>
      </c>
      <c r="B1946" s="18" t="s">
        <v>47</v>
      </c>
      <c r="C1946" s="18" t="s">
        <v>41</v>
      </c>
      <c r="D1946" s="19">
        <v>44754</v>
      </c>
      <c r="E1946" s="20">
        <v>45355</v>
      </c>
      <c r="F1946" s="21">
        <v>23782.400000000001</v>
      </c>
      <c r="G1946" s="21">
        <v>18616</v>
      </c>
      <c r="H1946" s="21">
        <v>2166.4</v>
      </c>
      <c r="I1946" s="18">
        <v>3547.7759999999998</v>
      </c>
      <c r="J1946" s="18">
        <v>11636.72</v>
      </c>
      <c r="K1946" s="18" t="s">
        <v>30</v>
      </c>
      <c r="L1946" s="18" t="s">
        <v>31</v>
      </c>
      <c r="M1946" s="18" t="s">
        <v>32</v>
      </c>
      <c r="N1946" s="22">
        <f t="shared" si="180"/>
        <v>0.78276372443487596</v>
      </c>
      <c r="O1946" s="22">
        <f t="shared" si="181"/>
        <v>0.11637301246239801</v>
      </c>
      <c r="P1946" s="23">
        <f t="shared" si="182"/>
        <v>0.190576708207993</v>
      </c>
      <c r="Q1946" s="23">
        <f t="shared" si="183"/>
        <v>1.63763663220089</v>
      </c>
      <c r="R1946" s="22">
        <f t="shared" si="184"/>
        <v>2.2800041490781799</v>
      </c>
      <c r="S1946" s="22">
        <f t="shared" si="185"/>
        <v>3.2800041490781799</v>
      </c>
    </row>
    <row r="1947" spans="1:19">
      <c r="A1947" s="18" t="s">
        <v>1986</v>
      </c>
      <c r="B1947" s="18" t="s">
        <v>40</v>
      </c>
      <c r="C1947" s="18" t="s">
        <v>29</v>
      </c>
      <c r="D1947" s="19">
        <v>44750</v>
      </c>
      <c r="E1947" s="20">
        <v>45361</v>
      </c>
      <c r="F1947" s="21">
        <v>5801.6</v>
      </c>
      <c r="G1947" s="21">
        <v>5472</v>
      </c>
      <c r="H1947" s="21">
        <v>2420.8000000000002</v>
      </c>
      <c r="I1947" s="18">
        <v>2852.72</v>
      </c>
      <c r="J1947" s="18">
        <v>7490.9920000000002</v>
      </c>
      <c r="K1947" s="18" t="s">
        <v>38</v>
      </c>
      <c r="L1947" s="18" t="s">
        <v>31</v>
      </c>
      <c r="M1947" s="18" t="s">
        <v>32</v>
      </c>
      <c r="N1947" s="22">
        <f t="shared" si="180"/>
        <v>0.94318808604522897</v>
      </c>
      <c r="O1947" s="22">
        <f t="shared" si="181"/>
        <v>0.44239766081871301</v>
      </c>
      <c r="P1947" s="23">
        <f t="shared" si="182"/>
        <v>0.52133040935672503</v>
      </c>
      <c r="Q1947" s="23">
        <f t="shared" si="183"/>
        <v>1.1784203569068099</v>
      </c>
      <c r="R1947" s="22">
        <f t="shared" si="184"/>
        <v>1.6259121119493001</v>
      </c>
      <c r="S1947" s="22">
        <f t="shared" si="185"/>
        <v>2.6259121119493001</v>
      </c>
    </row>
    <row r="1948" spans="1:19">
      <c r="A1948" s="18" t="s">
        <v>1987</v>
      </c>
      <c r="B1948" s="18" t="s">
        <v>28</v>
      </c>
      <c r="C1948" s="18" t="s">
        <v>29</v>
      </c>
      <c r="D1948" s="19">
        <v>44694</v>
      </c>
      <c r="E1948" s="20">
        <v>45300</v>
      </c>
      <c r="F1948" s="21">
        <v>18347.2</v>
      </c>
      <c r="G1948" s="21">
        <v>15356.8</v>
      </c>
      <c r="H1948" s="21">
        <v>4451.2</v>
      </c>
      <c r="I1948" s="18">
        <v>7722.1760000000004</v>
      </c>
      <c r="J1948" s="18">
        <v>19105.727999999999</v>
      </c>
      <c r="K1948" s="18" t="s">
        <v>30</v>
      </c>
      <c r="L1948" s="18" t="s">
        <v>35</v>
      </c>
      <c r="M1948" s="18" t="s">
        <v>24</v>
      </c>
      <c r="N1948" s="22">
        <f t="shared" si="180"/>
        <v>0.83701055201883701</v>
      </c>
      <c r="O1948" s="22">
        <f t="shared" si="181"/>
        <v>0.28985205251093998</v>
      </c>
      <c r="P1948" s="23">
        <f t="shared" si="182"/>
        <v>0.50285059387372399</v>
      </c>
      <c r="Q1948" s="23">
        <f t="shared" si="183"/>
        <v>1.7348526240115001</v>
      </c>
      <c r="R1948" s="22">
        <f t="shared" si="184"/>
        <v>1.4741378595877599</v>
      </c>
      <c r="S1948" s="22">
        <f t="shared" si="185"/>
        <v>2.4741378595877599</v>
      </c>
    </row>
    <row r="1949" spans="1:19">
      <c r="A1949" s="18" t="s">
        <v>1988</v>
      </c>
      <c r="B1949" s="18" t="s">
        <v>26</v>
      </c>
      <c r="C1949" s="18" t="s">
        <v>48</v>
      </c>
      <c r="D1949" s="19">
        <v>44868</v>
      </c>
      <c r="E1949" s="20">
        <v>45484</v>
      </c>
      <c r="F1949" s="21">
        <v>23659.200000000001</v>
      </c>
      <c r="G1949" s="21">
        <v>20699.2</v>
      </c>
      <c r="H1949" s="21">
        <v>14953.6</v>
      </c>
      <c r="I1949" s="18">
        <v>386.33600000000001</v>
      </c>
      <c r="J1949" s="18">
        <v>1175.424</v>
      </c>
      <c r="K1949" s="18" t="s">
        <v>65</v>
      </c>
      <c r="L1949" s="18" t="s">
        <v>35</v>
      </c>
      <c r="M1949" s="18" t="s">
        <v>32</v>
      </c>
      <c r="N1949" s="22">
        <f t="shared" si="180"/>
        <v>0.87489010617434204</v>
      </c>
      <c r="O1949" s="22">
        <f t="shared" si="181"/>
        <v>0.72242405503594298</v>
      </c>
      <c r="P1949" s="23">
        <f t="shared" si="182"/>
        <v>1.8664296204684201E-2</v>
      </c>
      <c r="Q1949" s="23">
        <f t="shared" si="183"/>
        <v>2.58356516156645E-2</v>
      </c>
      <c r="R1949" s="22">
        <f t="shared" si="184"/>
        <v>2.04249150998095</v>
      </c>
      <c r="S1949" s="22">
        <f t="shared" si="185"/>
        <v>3.04249150998095</v>
      </c>
    </row>
    <row r="1950" spans="1:19">
      <c r="A1950" s="18" t="s">
        <v>1989</v>
      </c>
      <c r="B1950" s="18" t="s">
        <v>40</v>
      </c>
      <c r="C1950" s="18" t="s">
        <v>48</v>
      </c>
      <c r="D1950" s="19">
        <v>44965</v>
      </c>
      <c r="E1950" s="20">
        <v>45571</v>
      </c>
      <c r="F1950" s="21">
        <v>22374.400000000001</v>
      </c>
      <c r="G1950" s="21">
        <v>4150.3999999999996</v>
      </c>
      <c r="H1950" s="21">
        <v>1124.8</v>
      </c>
      <c r="I1950" s="18">
        <v>3387.6</v>
      </c>
      <c r="J1950" s="18">
        <v>9068.8960000000006</v>
      </c>
      <c r="K1950" s="18" t="s">
        <v>43</v>
      </c>
      <c r="L1950" s="18" t="s">
        <v>44</v>
      </c>
      <c r="M1950" s="18" t="s">
        <v>32</v>
      </c>
      <c r="N1950" s="22">
        <f t="shared" si="180"/>
        <v>0.18549771167048101</v>
      </c>
      <c r="O1950" s="22">
        <f t="shared" si="181"/>
        <v>0.27101002313030098</v>
      </c>
      <c r="P1950" s="23">
        <f t="shared" si="182"/>
        <v>0.81621048573631505</v>
      </c>
      <c r="Q1950" s="23">
        <f t="shared" si="183"/>
        <v>3.0117354196301598</v>
      </c>
      <c r="R1950" s="22">
        <f t="shared" si="184"/>
        <v>1.67708584248435</v>
      </c>
      <c r="S1950" s="22">
        <f t="shared" si="185"/>
        <v>2.6770858424843502</v>
      </c>
    </row>
    <row r="1951" spans="1:19">
      <c r="A1951" s="18" t="s">
        <v>1990</v>
      </c>
      <c r="B1951" s="18" t="s">
        <v>47</v>
      </c>
      <c r="C1951" s="18" t="s">
        <v>41</v>
      </c>
      <c r="D1951" s="19">
        <v>44751</v>
      </c>
      <c r="E1951" s="20">
        <v>45359</v>
      </c>
      <c r="F1951" s="21">
        <v>13132.8</v>
      </c>
      <c r="G1951" s="21">
        <v>265.60000000000002</v>
      </c>
      <c r="H1951" s="21">
        <v>182.4</v>
      </c>
      <c r="I1951" s="18">
        <v>5154.8959999999997</v>
      </c>
      <c r="J1951" s="18">
        <v>13651.103999999999</v>
      </c>
      <c r="K1951" s="18" t="s">
        <v>43</v>
      </c>
      <c r="L1951" s="18" t="s">
        <v>35</v>
      </c>
      <c r="M1951" s="18" t="s">
        <v>24</v>
      </c>
      <c r="N1951" s="22">
        <f t="shared" si="180"/>
        <v>2.0224171539960999E-2</v>
      </c>
      <c r="O1951" s="22">
        <f t="shared" si="181"/>
        <v>0.686746987951807</v>
      </c>
      <c r="P1951" s="23">
        <f t="shared" si="182"/>
        <v>19.4084939759036</v>
      </c>
      <c r="Q1951" s="23">
        <f t="shared" si="183"/>
        <v>28.261491228070199</v>
      </c>
      <c r="R1951" s="22">
        <f t="shared" si="184"/>
        <v>1.6481822329684199</v>
      </c>
      <c r="S1951" s="22">
        <f t="shared" si="185"/>
        <v>2.6481822329684199</v>
      </c>
    </row>
    <row r="1952" spans="1:19">
      <c r="A1952" s="18" t="s">
        <v>1991</v>
      </c>
      <c r="B1952" s="18" t="s">
        <v>20</v>
      </c>
      <c r="C1952" s="18" t="s">
        <v>29</v>
      </c>
      <c r="D1952" s="19">
        <v>44977</v>
      </c>
      <c r="E1952" s="20">
        <v>45605</v>
      </c>
      <c r="F1952" s="21">
        <v>47283.199999999997</v>
      </c>
      <c r="G1952" s="21">
        <v>28222.400000000001</v>
      </c>
      <c r="H1952" s="21">
        <v>2166.4</v>
      </c>
      <c r="I1952" s="18">
        <v>2225.5039999999999</v>
      </c>
      <c r="J1952" s="18">
        <v>7268.7039999999997</v>
      </c>
      <c r="K1952" s="18" t="s">
        <v>65</v>
      </c>
      <c r="L1952" s="18" t="s">
        <v>35</v>
      </c>
      <c r="M1952" s="18" t="s">
        <v>32</v>
      </c>
      <c r="N1952" s="22">
        <f t="shared" si="180"/>
        <v>0.59688007579859204</v>
      </c>
      <c r="O1952" s="22">
        <f t="shared" si="181"/>
        <v>7.6761721186008297E-2</v>
      </c>
      <c r="P1952" s="23">
        <f t="shared" si="182"/>
        <v>7.8855944214524604E-2</v>
      </c>
      <c r="Q1952" s="23">
        <f t="shared" si="183"/>
        <v>1.02728212703102</v>
      </c>
      <c r="R1952" s="22">
        <f t="shared" si="184"/>
        <v>2.26609343321782</v>
      </c>
      <c r="S1952" s="22">
        <f t="shared" si="185"/>
        <v>3.26609343321782</v>
      </c>
    </row>
    <row r="1953" spans="1:19">
      <c r="A1953" s="18" t="s">
        <v>1992</v>
      </c>
      <c r="B1953" s="18" t="s">
        <v>28</v>
      </c>
      <c r="C1953" s="18" t="s">
        <v>41</v>
      </c>
      <c r="D1953" s="19">
        <v>44911</v>
      </c>
      <c r="E1953" s="20">
        <v>45530</v>
      </c>
      <c r="F1953" s="21">
        <v>30424</v>
      </c>
      <c r="G1953" s="21">
        <v>7555.2</v>
      </c>
      <c r="H1953" s="21">
        <v>2443.1999999999998</v>
      </c>
      <c r="I1953" s="18">
        <v>6127.4719999999998</v>
      </c>
      <c r="J1953" s="18">
        <v>7477.7920000000004</v>
      </c>
      <c r="K1953" s="18" t="s">
        <v>30</v>
      </c>
      <c r="L1953" s="18" t="s">
        <v>23</v>
      </c>
      <c r="M1953" s="18" t="s">
        <v>32</v>
      </c>
      <c r="N1953" s="22">
        <f t="shared" si="180"/>
        <v>0.248330265579805</v>
      </c>
      <c r="O1953" s="22">
        <f t="shared" si="181"/>
        <v>0.32337992376111802</v>
      </c>
      <c r="P1953" s="23">
        <f t="shared" si="182"/>
        <v>0.81102710715798398</v>
      </c>
      <c r="Q1953" s="23">
        <f t="shared" si="183"/>
        <v>2.50796987557302</v>
      </c>
      <c r="R1953" s="22">
        <f t="shared" si="184"/>
        <v>0.22037146803771601</v>
      </c>
      <c r="S1953" s="22">
        <f t="shared" si="185"/>
        <v>1.22037146803772</v>
      </c>
    </row>
    <row r="1954" spans="1:19">
      <c r="A1954" s="18" t="s">
        <v>1993</v>
      </c>
      <c r="B1954" s="18" t="s">
        <v>26</v>
      </c>
      <c r="C1954" s="18" t="s">
        <v>48</v>
      </c>
      <c r="D1954" s="19">
        <v>44746</v>
      </c>
      <c r="E1954" s="20">
        <v>45359</v>
      </c>
      <c r="F1954" s="21">
        <v>66627.199999999997</v>
      </c>
      <c r="G1954" s="21">
        <v>8782.4</v>
      </c>
      <c r="H1954" s="21">
        <v>3532.8</v>
      </c>
      <c r="I1954" s="18">
        <v>3230.72</v>
      </c>
      <c r="J1954" s="18">
        <v>8933.1839999999993</v>
      </c>
      <c r="K1954" s="18" t="s">
        <v>65</v>
      </c>
      <c r="L1954" s="18" t="s">
        <v>31</v>
      </c>
      <c r="M1954" s="18" t="s">
        <v>24</v>
      </c>
      <c r="N1954" s="22">
        <f t="shared" si="180"/>
        <v>0.131814033908074</v>
      </c>
      <c r="O1954" s="22">
        <f t="shared" si="181"/>
        <v>0.40225906358170899</v>
      </c>
      <c r="P1954" s="23">
        <f t="shared" si="182"/>
        <v>0.367862998724722</v>
      </c>
      <c r="Q1954" s="23">
        <f t="shared" si="183"/>
        <v>0.91449275362318805</v>
      </c>
      <c r="R1954" s="22">
        <f t="shared" si="184"/>
        <v>1.76507527733756</v>
      </c>
      <c r="S1954" s="22">
        <f t="shared" si="185"/>
        <v>2.76507527733756</v>
      </c>
    </row>
    <row r="1955" spans="1:19">
      <c r="A1955" s="18" t="s">
        <v>1994</v>
      </c>
      <c r="B1955" s="18" t="s">
        <v>28</v>
      </c>
      <c r="C1955" s="18" t="s">
        <v>29</v>
      </c>
      <c r="D1955" s="19">
        <v>44882</v>
      </c>
      <c r="E1955" s="20">
        <v>45503</v>
      </c>
      <c r="F1955" s="21">
        <v>40872</v>
      </c>
      <c r="G1955" s="21">
        <v>14270.4</v>
      </c>
      <c r="H1955" s="21">
        <v>3769.6</v>
      </c>
      <c r="I1955" s="18">
        <v>1764.864</v>
      </c>
      <c r="J1955" s="18">
        <v>5328.6080000000002</v>
      </c>
      <c r="K1955" s="18" t="s">
        <v>43</v>
      </c>
      <c r="L1955" s="18" t="s">
        <v>23</v>
      </c>
      <c r="M1955" s="18" t="s">
        <v>32</v>
      </c>
      <c r="N1955" s="22">
        <f t="shared" si="180"/>
        <v>0.34914856136230199</v>
      </c>
      <c r="O1955" s="22">
        <f t="shared" si="181"/>
        <v>0.2641551743469</v>
      </c>
      <c r="P1955" s="23">
        <f t="shared" si="182"/>
        <v>0.123673057517659</v>
      </c>
      <c r="Q1955" s="23">
        <f t="shared" si="183"/>
        <v>0.468183361629881</v>
      </c>
      <c r="R1955" s="22">
        <f t="shared" si="184"/>
        <v>2.0192740063823602</v>
      </c>
      <c r="S1955" s="22">
        <f t="shared" si="185"/>
        <v>3.0192740063823602</v>
      </c>
    </row>
    <row r="1956" spans="1:19">
      <c r="A1956" s="18" t="s">
        <v>1995</v>
      </c>
      <c r="B1956" s="18" t="s">
        <v>28</v>
      </c>
      <c r="C1956" s="18" t="s">
        <v>21</v>
      </c>
      <c r="D1956" s="19">
        <v>44753</v>
      </c>
      <c r="E1956" s="20">
        <v>45364</v>
      </c>
      <c r="F1956" s="21">
        <v>48059.199999999997</v>
      </c>
      <c r="G1956" s="21">
        <v>4865.6000000000004</v>
      </c>
      <c r="H1956" s="21">
        <v>22.4</v>
      </c>
      <c r="I1956" s="18">
        <v>7639.152</v>
      </c>
      <c r="J1956" s="18">
        <v>18152.351999999999</v>
      </c>
      <c r="K1956" s="18" t="s">
        <v>22</v>
      </c>
      <c r="L1956" s="18" t="s">
        <v>23</v>
      </c>
      <c r="M1956" s="18" t="s">
        <v>32</v>
      </c>
      <c r="N1956" s="22">
        <f t="shared" si="180"/>
        <v>0.10124180177780701</v>
      </c>
      <c r="O1956" s="22">
        <f t="shared" si="181"/>
        <v>4.6037487668530103E-3</v>
      </c>
      <c r="P1956" s="23">
        <f t="shared" si="182"/>
        <v>1.5700328839197599</v>
      </c>
      <c r="Q1956" s="23">
        <f t="shared" si="183"/>
        <v>341.03357142857101</v>
      </c>
      <c r="R1956" s="22">
        <f t="shared" si="184"/>
        <v>1.3762260523157499</v>
      </c>
      <c r="S1956" s="22">
        <f t="shared" si="185"/>
        <v>2.3762260523157499</v>
      </c>
    </row>
    <row r="1957" spans="1:19">
      <c r="A1957" s="18" t="s">
        <v>1996</v>
      </c>
      <c r="B1957" s="18" t="s">
        <v>40</v>
      </c>
      <c r="C1957" s="18" t="s">
        <v>21</v>
      </c>
      <c r="D1957" s="19">
        <v>44903</v>
      </c>
      <c r="E1957" s="20">
        <v>45511</v>
      </c>
      <c r="F1957" s="21">
        <v>37934.400000000001</v>
      </c>
      <c r="G1957" s="21">
        <v>9262.4</v>
      </c>
      <c r="H1957" s="21">
        <v>3532.8</v>
      </c>
      <c r="I1957" s="18">
        <v>5884.88</v>
      </c>
      <c r="J1957" s="18">
        <v>7916.4319999999998</v>
      </c>
      <c r="K1957" s="18" t="s">
        <v>22</v>
      </c>
      <c r="L1957" s="18" t="s">
        <v>31</v>
      </c>
      <c r="M1957" s="18" t="s">
        <v>24</v>
      </c>
      <c r="N1957" s="22">
        <f t="shared" si="180"/>
        <v>0.24416888101564799</v>
      </c>
      <c r="O1957" s="22">
        <f t="shared" si="181"/>
        <v>0.38141302470202099</v>
      </c>
      <c r="P1957" s="23">
        <f t="shared" si="182"/>
        <v>0.63535152876144396</v>
      </c>
      <c r="Q1957" s="23">
        <f t="shared" si="183"/>
        <v>1.66578351449275</v>
      </c>
      <c r="R1957" s="22">
        <f t="shared" si="184"/>
        <v>0.34521553540598998</v>
      </c>
      <c r="S1957" s="22">
        <f t="shared" si="185"/>
        <v>1.34521553540599</v>
      </c>
    </row>
    <row r="1958" spans="1:19">
      <c r="A1958" s="18" t="s">
        <v>1997</v>
      </c>
      <c r="B1958" s="18" t="s">
        <v>40</v>
      </c>
      <c r="C1958" s="18" t="s">
        <v>41</v>
      </c>
      <c r="D1958" s="19">
        <v>44903</v>
      </c>
      <c r="E1958" s="20">
        <v>45529</v>
      </c>
      <c r="F1958" s="21">
        <v>31624</v>
      </c>
      <c r="G1958" s="21">
        <v>10315.200000000001</v>
      </c>
      <c r="H1958" s="21">
        <v>1224</v>
      </c>
      <c r="I1958" s="18">
        <v>2979.9520000000002</v>
      </c>
      <c r="J1958" s="18">
        <v>5401.1679999999997</v>
      </c>
      <c r="K1958" s="18" t="s">
        <v>43</v>
      </c>
      <c r="L1958" s="18" t="s">
        <v>31</v>
      </c>
      <c r="M1958" s="18" t="s">
        <v>32</v>
      </c>
      <c r="N1958" s="22">
        <f t="shared" si="180"/>
        <v>0.32618264609157599</v>
      </c>
      <c r="O1958" s="22">
        <f t="shared" si="181"/>
        <v>0.118659841786878</v>
      </c>
      <c r="P1958" s="23">
        <f t="shared" si="182"/>
        <v>0.28888940592523699</v>
      </c>
      <c r="Q1958" s="23">
        <f t="shared" si="183"/>
        <v>2.4346013071895398</v>
      </c>
      <c r="R1958" s="22">
        <f t="shared" si="184"/>
        <v>0.81250167787937499</v>
      </c>
      <c r="S1958" s="22">
        <f t="shared" si="185"/>
        <v>1.8125016778793701</v>
      </c>
    </row>
    <row r="1959" spans="1:19">
      <c r="A1959" s="18" t="s">
        <v>1998</v>
      </c>
      <c r="B1959" s="18" t="s">
        <v>34</v>
      </c>
      <c r="C1959" s="18" t="s">
        <v>48</v>
      </c>
      <c r="D1959" s="19">
        <v>44807</v>
      </c>
      <c r="E1959" s="20">
        <v>45416</v>
      </c>
      <c r="F1959" s="21">
        <v>76736</v>
      </c>
      <c r="G1959" s="21">
        <v>60163.199999999997</v>
      </c>
      <c r="H1959" s="21">
        <v>4003.2</v>
      </c>
      <c r="I1959" s="18">
        <v>3842.9119999999998</v>
      </c>
      <c r="J1959" s="18">
        <v>10563.552</v>
      </c>
      <c r="K1959" s="18" t="s">
        <v>22</v>
      </c>
      <c r="L1959" s="18" t="s">
        <v>50</v>
      </c>
      <c r="M1959" s="18" t="s">
        <v>32</v>
      </c>
      <c r="N1959" s="22">
        <f t="shared" si="180"/>
        <v>0.78402835696413697</v>
      </c>
      <c r="O1959" s="22">
        <f t="shared" si="181"/>
        <v>6.6539013882240303E-2</v>
      </c>
      <c r="P1959" s="23">
        <f t="shared" si="182"/>
        <v>6.3874793893941795E-2</v>
      </c>
      <c r="Q1959" s="23">
        <f t="shared" si="183"/>
        <v>0.95996003197442004</v>
      </c>
      <c r="R1959" s="22">
        <f t="shared" si="184"/>
        <v>1.74884046264916</v>
      </c>
      <c r="S1959" s="22">
        <f t="shared" si="185"/>
        <v>2.7488404626491598</v>
      </c>
    </row>
    <row r="1960" spans="1:19">
      <c r="A1960" s="18" t="s">
        <v>1999</v>
      </c>
      <c r="B1960" s="18" t="s">
        <v>40</v>
      </c>
      <c r="C1960" s="18" t="s">
        <v>48</v>
      </c>
      <c r="D1960" s="19">
        <v>44730</v>
      </c>
      <c r="E1960" s="20">
        <v>45352</v>
      </c>
      <c r="F1960" s="21">
        <v>7372.8</v>
      </c>
      <c r="G1960" s="21">
        <v>4972.8</v>
      </c>
      <c r="H1960" s="21">
        <v>4817.6000000000004</v>
      </c>
      <c r="I1960" s="18">
        <v>216.624</v>
      </c>
      <c r="J1960" s="18">
        <v>573.80799999999999</v>
      </c>
      <c r="K1960" s="18" t="s">
        <v>38</v>
      </c>
      <c r="L1960" s="18" t="s">
        <v>23</v>
      </c>
      <c r="M1960" s="18" t="s">
        <v>32</v>
      </c>
      <c r="N1960" s="22">
        <f t="shared" si="180"/>
        <v>0.67447916666666696</v>
      </c>
      <c r="O1960" s="22">
        <f t="shared" si="181"/>
        <v>0.96879021879021898</v>
      </c>
      <c r="P1960" s="23">
        <f t="shared" si="182"/>
        <v>4.3561776061776102E-2</v>
      </c>
      <c r="Q1960" s="23">
        <f t="shared" si="183"/>
        <v>4.4965127864496801E-2</v>
      </c>
      <c r="R1960" s="22">
        <f t="shared" si="184"/>
        <v>1.64886623827461</v>
      </c>
      <c r="S1960" s="22">
        <f t="shared" si="185"/>
        <v>2.6488662382746102</v>
      </c>
    </row>
    <row r="1961" spans="1:19">
      <c r="A1961" s="18" t="s">
        <v>2000</v>
      </c>
      <c r="B1961" s="18" t="s">
        <v>40</v>
      </c>
      <c r="C1961" s="18" t="s">
        <v>29</v>
      </c>
      <c r="D1961" s="19">
        <v>44931</v>
      </c>
      <c r="E1961" s="20">
        <v>45550</v>
      </c>
      <c r="F1961" s="21">
        <v>30688</v>
      </c>
      <c r="G1961" s="21">
        <v>27940.799999999999</v>
      </c>
      <c r="H1961" s="21">
        <v>23308.799999999999</v>
      </c>
      <c r="I1961" s="18">
        <v>5517.5680000000002</v>
      </c>
      <c r="J1961" s="18">
        <v>12315.744000000001</v>
      </c>
      <c r="K1961" s="18" t="s">
        <v>43</v>
      </c>
      <c r="L1961" s="18" t="s">
        <v>50</v>
      </c>
      <c r="M1961" s="18" t="s">
        <v>32</v>
      </c>
      <c r="N1961" s="22">
        <f t="shared" si="180"/>
        <v>0.91047966631908195</v>
      </c>
      <c r="O1961" s="22">
        <f t="shared" si="181"/>
        <v>0.83422092423982097</v>
      </c>
      <c r="P1961" s="23">
        <f t="shared" si="182"/>
        <v>0.197473515432629</v>
      </c>
      <c r="Q1961" s="23">
        <f t="shared" si="183"/>
        <v>0.236716090060406</v>
      </c>
      <c r="R1961" s="22">
        <f t="shared" si="184"/>
        <v>1.2320964598895701</v>
      </c>
      <c r="S1961" s="22">
        <f t="shared" si="185"/>
        <v>2.2320964598895698</v>
      </c>
    </row>
    <row r="1962" spans="1:19">
      <c r="A1962" s="18" t="s">
        <v>2001</v>
      </c>
      <c r="B1962" s="18" t="s">
        <v>28</v>
      </c>
      <c r="C1962" s="18" t="s">
        <v>41</v>
      </c>
      <c r="D1962" s="19">
        <v>44896</v>
      </c>
      <c r="E1962" s="20">
        <v>45508</v>
      </c>
      <c r="F1962" s="21">
        <v>11230.4</v>
      </c>
      <c r="G1962" s="21">
        <v>552</v>
      </c>
      <c r="H1962" s="21">
        <v>283.2</v>
      </c>
      <c r="I1962" s="18">
        <v>5386.4639999999999</v>
      </c>
      <c r="J1962" s="18">
        <v>16899.536</v>
      </c>
      <c r="K1962" s="18" t="s">
        <v>22</v>
      </c>
      <c r="L1962" s="18" t="s">
        <v>23</v>
      </c>
      <c r="M1962" s="18" t="s">
        <v>32</v>
      </c>
      <c r="N1962" s="22">
        <f t="shared" si="180"/>
        <v>4.9152300897563797E-2</v>
      </c>
      <c r="O1962" s="22">
        <f t="shared" si="181"/>
        <v>0.51304347826086905</v>
      </c>
      <c r="P1962" s="23">
        <f t="shared" si="182"/>
        <v>9.7580869565217405</v>
      </c>
      <c r="Q1962" s="23">
        <f t="shared" si="183"/>
        <v>19.02</v>
      </c>
      <c r="R1962" s="22">
        <f t="shared" si="184"/>
        <v>2.1374081401082399</v>
      </c>
      <c r="S1962" s="22">
        <f t="shared" si="185"/>
        <v>3.1374081401082399</v>
      </c>
    </row>
    <row r="1963" spans="1:19">
      <c r="A1963" s="18" t="s">
        <v>2002</v>
      </c>
      <c r="B1963" s="18" t="s">
        <v>40</v>
      </c>
      <c r="C1963" s="18" t="s">
        <v>21</v>
      </c>
      <c r="D1963" s="19">
        <v>44842</v>
      </c>
      <c r="E1963" s="20">
        <v>45456</v>
      </c>
      <c r="F1963" s="21">
        <v>47140.800000000003</v>
      </c>
      <c r="G1963" s="21">
        <v>15910.4</v>
      </c>
      <c r="H1963" s="21">
        <v>15136</v>
      </c>
      <c r="I1963" s="18">
        <v>4338.6400000000003</v>
      </c>
      <c r="J1963" s="18">
        <v>16380.976000000001</v>
      </c>
      <c r="K1963" s="18" t="s">
        <v>38</v>
      </c>
      <c r="L1963" s="18" t="s">
        <v>23</v>
      </c>
      <c r="M1963" s="18" t="s">
        <v>24</v>
      </c>
      <c r="N1963" s="22">
        <f t="shared" si="180"/>
        <v>0.337508060957811</v>
      </c>
      <c r="O1963" s="22">
        <f t="shared" si="181"/>
        <v>0.95132743362831895</v>
      </c>
      <c r="P1963" s="23">
        <f t="shared" si="182"/>
        <v>0.27269207562349201</v>
      </c>
      <c r="Q1963" s="23">
        <f t="shared" si="183"/>
        <v>0.28664376321353102</v>
      </c>
      <c r="R1963" s="22">
        <f t="shared" si="184"/>
        <v>2.7756015709992101</v>
      </c>
      <c r="S1963" s="22">
        <f t="shared" si="185"/>
        <v>3.7756015709992101</v>
      </c>
    </row>
    <row r="1964" spans="1:19">
      <c r="A1964" s="18" t="s">
        <v>2003</v>
      </c>
      <c r="B1964" s="18" t="s">
        <v>34</v>
      </c>
      <c r="C1964" s="18" t="s">
        <v>48</v>
      </c>
      <c r="D1964" s="19">
        <v>44884</v>
      </c>
      <c r="E1964" s="20">
        <v>45489</v>
      </c>
      <c r="F1964" s="21">
        <v>23121.599999999999</v>
      </c>
      <c r="G1964" s="21">
        <v>13121.6</v>
      </c>
      <c r="H1964" s="21">
        <v>10504</v>
      </c>
      <c r="I1964" s="18">
        <v>2038.944</v>
      </c>
      <c r="J1964" s="18">
        <v>6913.9040000000005</v>
      </c>
      <c r="K1964" s="18" t="s">
        <v>30</v>
      </c>
      <c r="L1964" s="18" t="s">
        <v>44</v>
      </c>
      <c r="M1964" s="18" t="s">
        <v>24</v>
      </c>
      <c r="N1964" s="22">
        <f t="shared" si="180"/>
        <v>0.567503978963394</v>
      </c>
      <c r="O1964" s="22">
        <f t="shared" si="181"/>
        <v>0.80051213266674803</v>
      </c>
      <c r="P1964" s="23">
        <f t="shared" si="182"/>
        <v>0.155388367272284</v>
      </c>
      <c r="Q1964" s="23">
        <f t="shared" si="183"/>
        <v>0.194111195734958</v>
      </c>
      <c r="R1964" s="22">
        <f t="shared" si="184"/>
        <v>2.39092392924965</v>
      </c>
      <c r="S1964" s="22">
        <f t="shared" si="185"/>
        <v>3.39092392924965</v>
      </c>
    </row>
    <row r="1965" spans="1:19">
      <c r="A1965" s="18" t="s">
        <v>2004</v>
      </c>
      <c r="B1965" s="18" t="s">
        <v>26</v>
      </c>
      <c r="C1965" s="18" t="s">
        <v>29</v>
      </c>
      <c r="D1965" s="19">
        <v>44827</v>
      </c>
      <c r="E1965" s="20">
        <v>45452</v>
      </c>
      <c r="F1965" s="21">
        <v>2968</v>
      </c>
      <c r="G1965" s="21">
        <v>649.6</v>
      </c>
      <c r="H1965" s="21">
        <v>320</v>
      </c>
      <c r="I1965" s="18">
        <v>6677.232</v>
      </c>
      <c r="J1965" s="18">
        <v>26654.335999999999</v>
      </c>
      <c r="K1965" s="18" t="s">
        <v>22</v>
      </c>
      <c r="L1965" s="18" t="s">
        <v>35</v>
      </c>
      <c r="M1965" s="18" t="s">
        <v>24</v>
      </c>
      <c r="N1965" s="22">
        <f t="shared" si="180"/>
        <v>0.218867924528302</v>
      </c>
      <c r="O1965" s="22">
        <f t="shared" si="181"/>
        <v>0.49261083743842399</v>
      </c>
      <c r="P1965" s="23">
        <f t="shared" si="182"/>
        <v>10.278990147783301</v>
      </c>
      <c r="Q1965" s="23">
        <f t="shared" si="183"/>
        <v>20.866350000000001</v>
      </c>
      <c r="R1965" s="22">
        <f t="shared" si="184"/>
        <v>2.9918241570758699</v>
      </c>
      <c r="S1965" s="22">
        <f t="shared" si="185"/>
        <v>3.9918241570758699</v>
      </c>
    </row>
    <row r="1966" spans="1:19">
      <c r="A1966" s="18" t="s">
        <v>2005</v>
      </c>
      <c r="B1966" s="18" t="s">
        <v>20</v>
      </c>
      <c r="C1966" s="18" t="s">
        <v>41</v>
      </c>
      <c r="D1966" s="19">
        <v>44742</v>
      </c>
      <c r="E1966" s="20">
        <v>45367</v>
      </c>
      <c r="F1966" s="21">
        <v>40128</v>
      </c>
      <c r="G1966" s="21">
        <v>19665.599999999999</v>
      </c>
      <c r="H1966" s="21">
        <v>4062.4</v>
      </c>
      <c r="I1966" s="18">
        <v>6332.3680000000004</v>
      </c>
      <c r="J1966" s="18">
        <v>11405.536</v>
      </c>
      <c r="K1966" s="18" t="s">
        <v>22</v>
      </c>
      <c r="L1966" s="18" t="s">
        <v>35</v>
      </c>
      <c r="M1966" s="18" t="s">
        <v>24</v>
      </c>
      <c r="N1966" s="22">
        <f t="shared" si="180"/>
        <v>0.49007177033492799</v>
      </c>
      <c r="O1966" s="22">
        <f t="shared" si="181"/>
        <v>0.20657391587340301</v>
      </c>
      <c r="P1966" s="23">
        <f t="shared" si="182"/>
        <v>0.32200227808965898</v>
      </c>
      <c r="Q1966" s="23">
        <f t="shared" si="183"/>
        <v>1.55877510831036</v>
      </c>
      <c r="R1966" s="22">
        <f t="shared" si="184"/>
        <v>0.80114863823454296</v>
      </c>
      <c r="S1966" s="22">
        <f t="shared" si="185"/>
        <v>1.8011486382345401</v>
      </c>
    </row>
    <row r="1967" spans="1:19">
      <c r="A1967" s="18" t="s">
        <v>2006</v>
      </c>
      <c r="B1967" s="18" t="s">
        <v>40</v>
      </c>
      <c r="C1967" s="18" t="s">
        <v>21</v>
      </c>
      <c r="D1967" s="19">
        <v>44902</v>
      </c>
      <c r="E1967" s="20">
        <v>45531</v>
      </c>
      <c r="F1967" s="21">
        <v>29240</v>
      </c>
      <c r="G1967" s="21">
        <v>3353.6</v>
      </c>
      <c r="H1967" s="21">
        <v>977.6</v>
      </c>
      <c r="I1967" s="18">
        <v>4781.5839999999998</v>
      </c>
      <c r="J1967" s="18">
        <v>17059.151999999998</v>
      </c>
      <c r="K1967" s="18" t="s">
        <v>22</v>
      </c>
      <c r="L1967" s="18" t="s">
        <v>35</v>
      </c>
      <c r="M1967" s="18" t="s">
        <v>24</v>
      </c>
      <c r="N1967" s="22">
        <f t="shared" si="180"/>
        <v>0.11469220246238</v>
      </c>
      <c r="O1967" s="22">
        <f t="shared" si="181"/>
        <v>0.29150763358778597</v>
      </c>
      <c r="P1967" s="23">
        <f t="shared" si="182"/>
        <v>1.42580629770992</v>
      </c>
      <c r="Q1967" s="23">
        <f t="shared" si="183"/>
        <v>4.8911456628477898</v>
      </c>
      <c r="R1967" s="22">
        <f t="shared" si="184"/>
        <v>2.5676779912263399</v>
      </c>
      <c r="S1967" s="22">
        <f t="shared" si="185"/>
        <v>3.5676779912263399</v>
      </c>
    </row>
    <row r="1968" spans="1:19">
      <c r="A1968" s="18" t="s">
        <v>2007</v>
      </c>
      <c r="B1968" s="18" t="s">
        <v>20</v>
      </c>
      <c r="C1968" s="18" t="s">
        <v>48</v>
      </c>
      <c r="D1968" s="19">
        <v>44740</v>
      </c>
      <c r="E1968" s="20">
        <v>45353</v>
      </c>
      <c r="F1968" s="21">
        <v>44267.199999999997</v>
      </c>
      <c r="G1968" s="21">
        <v>3740.8</v>
      </c>
      <c r="H1968" s="21">
        <v>2051.1999999999998</v>
      </c>
      <c r="I1968" s="18">
        <v>683.952</v>
      </c>
      <c r="J1968" s="18">
        <v>1303.8879999999999</v>
      </c>
      <c r="K1968" s="18" t="s">
        <v>30</v>
      </c>
      <c r="L1968" s="18" t="s">
        <v>44</v>
      </c>
      <c r="M1968" s="18" t="s">
        <v>24</v>
      </c>
      <c r="N1968" s="22">
        <f t="shared" si="180"/>
        <v>8.4505005963783603E-2</v>
      </c>
      <c r="O1968" s="22">
        <f t="shared" si="181"/>
        <v>0.54833190761334505</v>
      </c>
      <c r="P1968" s="23">
        <f t="shared" si="182"/>
        <v>0.182835757057314</v>
      </c>
      <c r="Q1968" s="23">
        <f t="shared" si="183"/>
        <v>0.33343993759750401</v>
      </c>
      <c r="R1968" s="22">
        <f t="shared" si="184"/>
        <v>0.90640278849977796</v>
      </c>
      <c r="S1968" s="22">
        <f t="shared" si="185"/>
        <v>1.9064027884997801</v>
      </c>
    </row>
    <row r="1969" spans="1:19">
      <c r="A1969" s="18" t="s">
        <v>2008</v>
      </c>
      <c r="B1969" s="18" t="s">
        <v>28</v>
      </c>
      <c r="C1969" s="18" t="s">
        <v>48</v>
      </c>
      <c r="D1969" s="19">
        <v>44911</v>
      </c>
      <c r="E1969" s="20">
        <v>45529</v>
      </c>
      <c r="F1969" s="21">
        <v>39779.199999999997</v>
      </c>
      <c r="G1969" s="21">
        <v>18524.8</v>
      </c>
      <c r="H1969" s="21">
        <v>10721.6</v>
      </c>
      <c r="I1969" s="18">
        <v>7054.4160000000002</v>
      </c>
      <c r="J1969" s="18">
        <v>8906.5120000000006</v>
      </c>
      <c r="K1969" s="18" t="s">
        <v>22</v>
      </c>
      <c r="L1969" s="18" t="s">
        <v>50</v>
      </c>
      <c r="M1969" s="18" t="s">
        <v>32</v>
      </c>
      <c r="N1969" s="22">
        <f t="shared" si="180"/>
        <v>0.46569061217922902</v>
      </c>
      <c r="O1969" s="22">
        <f t="shared" si="181"/>
        <v>0.57877008118846096</v>
      </c>
      <c r="P1969" s="23">
        <f t="shared" si="182"/>
        <v>0.38080929348764903</v>
      </c>
      <c r="Q1969" s="23">
        <f t="shared" si="183"/>
        <v>0.65796299059841801</v>
      </c>
      <c r="R1969" s="22">
        <f t="shared" si="184"/>
        <v>0.26254419926468803</v>
      </c>
      <c r="S1969" s="22">
        <f t="shared" si="185"/>
        <v>1.26254419926469</v>
      </c>
    </row>
    <row r="1970" spans="1:19">
      <c r="A1970" s="18" t="s">
        <v>2009</v>
      </c>
      <c r="B1970" s="18" t="s">
        <v>26</v>
      </c>
      <c r="C1970" s="18" t="s">
        <v>21</v>
      </c>
      <c r="D1970" s="19">
        <v>44900</v>
      </c>
      <c r="E1970" s="20">
        <v>45507</v>
      </c>
      <c r="F1970" s="21">
        <v>43020.800000000003</v>
      </c>
      <c r="G1970" s="21">
        <v>7060.8</v>
      </c>
      <c r="H1970" s="21">
        <v>5048</v>
      </c>
      <c r="I1970" s="18">
        <v>7044.2879999999996</v>
      </c>
      <c r="J1970" s="18">
        <v>13735.824000000001</v>
      </c>
      <c r="K1970" s="18" t="s">
        <v>22</v>
      </c>
      <c r="L1970" s="18" t="s">
        <v>23</v>
      </c>
      <c r="M1970" s="18" t="s">
        <v>32</v>
      </c>
      <c r="N1970" s="22">
        <f t="shared" si="180"/>
        <v>0.16412526033918501</v>
      </c>
      <c r="O1970" s="22">
        <f t="shared" si="181"/>
        <v>0.71493315205075902</v>
      </c>
      <c r="P1970" s="23">
        <f t="shared" si="182"/>
        <v>0.997661454792658</v>
      </c>
      <c r="Q1970" s="23">
        <f t="shared" si="183"/>
        <v>1.3954611727416799</v>
      </c>
      <c r="R1970" s="22">
        <f t="shared" si="184"/>
        <v>0.94992368284772</v>
      </c>
      <c r="S1970" s="22">
        <f t="shared" si="185"/>
        <v>1.94992368284772</v>
      </c>
    </row>
    <row r="1971" spans="1:19">
      <c r="A1971" s="18" t="s">
        <v>2010</v>
      </c>
      <c r="B1971" s="18" t="s">
        <v>34</v>
      </c>
      <c r="C1971" s="18" t="s">
        <v>29</v>
      </c>
      <c r="D1971" s="19">
        <v>44848</v>
      </c>
      <c r="E1971" s="20">
        <v>45478</v>
      </c>
      <c r="F1971" s="21">
        <v>52718.400000000001</v>
      </c>
      <c r="G1971" s="21">
        <v>4878.3999999999996</v>
      </c>
      <c r="H1971" s="21">
        <v>2518.4</v>
      </c>
      <c r="I1971" s="18">
        <v>5598.1120000000001</v>
      </c>
      <c r="J1971" s="18">
        <v>13192.096</v>
      </c>
      <c r="K1971" s="18" t="s">
        <v>30</v>
      </c>
      <c r="L1971" s="18" t="s">
        <v>35</v>
      </c>
      <c r="M1971" s="18" t="s">
        <v>24</v>
      </c>
      <c r="N1971" s="22">
        <f t="shared" si="180"/>
        <v>9.2536951045555205E-2</v>
      </c>
      <c r="O1971" s="22">
        <f t="shared" si="181"/>
        <v>0.51623483109216095</v>
      </c>
      <c r="P1971" s="23">
        <f t="shared" si="182"/>
        <v>1.14753033781568</v>
      </c>
      <c r="Q1971" s="23">
        <f t="shared" si="183"/>
        <v>2.2228843710292199</v>
      </c>
      <c r="R1971" s="22">
        <f t="shared" si="184"/>
        <v>1.3565259144511601</v>
      </c>
      <c r="S1971" s="22">
        <f t="shared" si="185"/>
        <v>2.3565259144511601</v>
      </c>
    </row>
    <row r="1972" spans="1:19">
      <c r="A1972" s="18" t="s">
        <v>2011</v>
      </c>
      <c r="B1972" s="18" t="s">
        <v>28</v>
      </c>
      <c r="C1972" s="18" t="s">
        <v>21</v>
      </c>
      <c r="D1972" s="19">
        <v>44777</v>
      </c>
      <c r="E1972" s="20">
        <v>45388</v>
      </c>
      <c r="F1972" s="21">
        <v>62345.599999999999</v>
      </c>
      <c r="G1972" s="21">
        <v>46016</v>
      </c>
      <c r="H1972" s="21">
        <v>42812.800000000003</v>
      </c>
      <c r="I1972" s="18">
        <v>7008.5919999999996</v>
      </c>
      <c r="J1972" s="18">
        <v>21778.799999999999</v>
      </c>
      <c r="K1972" s="18" t="s">
        <v>65</v>
      </c>
      <c r="L1972" s="18" t="s">
        <v>44</v>
      </c>
      <c r="M1972" s="18" t="s">
        <v>24</v>
      </c>
      <c r="N1972" s="22">
        <f t="shared" si="180"/>
        <v>0.73807935122927704</v>
      </c>
      <c r="O1972" s="22">
        <f t="shared" si="181"/>
        <v>0.93038942976356098</v>
      </c>
      <c r="P1972" s="23">
        <f t="shared" si="182"/>
        <v>0.15230771905424201</v>
      </c>
      <c r="Q1972" s="23">
        <f t="shared" si="183"/>
        <v>0.163703191568877</v>
      </c>
      <c r="R1972" s="22">
        <f t="shared" si="184"/>
        <v>2.1074429785611701</v>
      </c>
      <c r="S1972" s="22">
        <f t="shared" si="185"/>
        <v>3.1074429785611701</v>
      </c>
    </row>
    <row r="1973" spans="1:19">
      <c r="A1973" s="18" t="s">
        <v>2012</v>
      </c>
      <c r="B1973" s="18" t="s">
        <v>34</v>
      </c>
      <c r="C1973" s="18" t="s">
        <v>48</v>
      </c>
      <c r="D1973" s="19">
        <v>44891</v>
      </c>
      <c r="E1973" s="20">
        <v>45494</v>
      </c>
      <c r="F1973" s="21">
        <v>45259.199999999997</v>
      </c>
      <c r="G1973" s="21">
        <v>2408</v>
      </c>
      <c r="H1973" s="21">
        <v>564.79999999999995</v>
      </c>
      <c r="I1973" s="18">
        <v>5829.4560000000001</v>
      </c>
      <c r="J1973" s="18">
        <v>22909.84</v>
      </c>
      <c r="K1973" s="18" t="s">
        <v>43</v>
      </c>
      <c r="L1973" s="18" t="s">
        <v>44</v>
      </c>
      <c r="M1973" s="18" t="s">
        <v>32</v>
      </c>
      <c r="N1973" s="22">
        <f t="shared" si="180"/>
        <v>5.3204652313783699E-2</v>
      </c>
      <c r="O1973" s="22">
        <f t="shared" si="181"/>
        <v>0.23455149501661099</v>
      </c>
      <c r="P1973" s="23">
        <f t="shared" si="182"/>
        <v>2.42087043189369</v>
      </c>
      <c r="Q1973" s="23">
        <f t="shared" si="183"/>
        <v>10.321274787535399</v>
      </c>
      <c r="R1973" s="22">
        <f t="shared" si="184"/>
        <v>2.9300133665988701</v>
      </c>
      <c r="S1973" s="22">
        <f t="shared" si="185"/>
        <v>3.9300133665988701</v>
      </c>
    </row>
    <row r="1974" spans="1:19">
      <c r="A1974" s="18" t="s">
        <v>2013</v>
      </c>
      <c r="B1974" s="18" t="s">
        <v>28</v>
      </c>
      <c r="C1974" s="18" t="s">
        <v>41</v>
      </c>
      <c r="D1974" s="19">
        <v>44899</v>
      </c>
      <c r="E1974" s="20">
        <v>45521</v>
      </c>
      <c r="F1974" s="21">
        <v>52345.599999999999</v>
      </c>
      <c r="G1974" s="21">
        <v>51379.199999999997</v>
      </c>
      <c r="H1974" s="21">
        <v>30572.799999999999</v>
      </c>
      <c r="I1974" s="18">
        <v>5903.0720000000001</v>
      </c>
      <c r="J1974" s="18">
        <v>22965.903999999999</v>
      </c>
      <c r="K1974" s="18" t="s">
        <v>65</v>
      </c>
      <c r="L1974" s="18" t="s">
        <v>44</v>
      </c>
      <c r="M1974" s="18" t="s">
        <v>32</v>
      </c>
      <c r="N1974" s="22">
        <f t="shared" si="180"/>
        <v>0.98153808534050602</v>
      </c>
      <c r="O1974" s="22">
        <f t="shared" si="181"/>
        <v>0.59504235176880904</v>
      </c>
      <c r="P1974" s="23">
        <f t="shared" si="182"/>
        <v>0.114892252117588</v>
      </c>
      <c r="Q1974" s="23">
        <f t="shared" si="183"/>
        <v>0.19308247854301899</v>
      </c>
      <c r="R1974" s="22">
        <f t="shared" si="184"/>
        <v>2.8905004038575202</v>
      </c>
      <c r="S1974" s="22">
        <f t="shared" si="185"/>
        <v>3.8905004038575202</v>
      </c>
    </row>
    <row r="1975" spans="1:19">
      <c r="A1975" s="18" t="s">
        <v>2014</v>
      </c>
      <c r="B1975" s="18" t="s">
        <v>26</v>
      </c>
      <c r="C1975" s="18" t="s">
        <v>41</v>
      </c>
      <c r="D1975" s="19">
        <v>44702</v>
      </c>
      <c r="E1975" s="20">
        <v>45324</v>
      </c>
      <c r="F1975" s="21">
        <v>50899.199999999997</v>
      </c>
      <c r="G1975" s="21">
        <v>37361.599999999999</v>
      </c>
      <c r="H1975" s="21">
        <v>22276.799999999999</v>
      </c>
      <c r="I1975" s="18">
        <v>6806.1279999999997</v>
      </c>
      <c r="J1975" s="18">
        <v>22566.624</v>
      </c>
      <c r="K1975" s="18" t="s">
        <v>22</v>
      </c>
      <c r="L1975" s="18" t="s">
        <v>31</v>
      </c>
      <c r="M1975" s="18" t="s">
        <v>32</v>
      </c>
      <c r="N1975" s="22">
        <f t="shared" si="180"/>
        <v>0.734031183201308</v>
      </c>
      <c r="O1975" s="22">
        <f t="shared" si="181"/>
        <v>0.59624855466575299</v>
      </c>
      <c r="P1975" s="23">
        <f t="shared" si="182"/>
        <v>0.182169071988352</v>
      </c>
      <c r="Q1975" s="23">
        <f t="shared" si="183"/>
        <v>0.30552538964303699</v>
      </c>
      <c r="R1975" s="22">
        <f t="shared" si="184"/>
        <v>2.3156332058403799</v>
      </c>
      <c r="S1975" s="22">
        <f t="shared" si="185"/>
        <v>3.3156332058403799</v>
      </c>
    </row>
    <row r="1976" spans="1:19">
      <c r="A1976" s="18" t="s">
        <v>2015</v>
      </c>
      <c r="B1976" s="18" t="s">
        <v>20</v>
      </c>
      <c r="C1976" s="18" t="s">
        <v>41</v>
      </c>
      <c r="D1976" s="19">
        <v>44865</v>
      </c>
      <c r="E1976" s="20">
        <v>45493</v>
      </c>
      <c r="F1976" s="21">
        <v>20188.8</v>
      </c>
      <c r="G1976" s="21">
        <v>13720</v>
      </c>
      <c r="H1976" s="21">
        <v>11979.2</v>
      </c>
      <c r="I1976" s="18">
        <v>927.904</v>
      </c>
      <c r="J1976" s="18">
        <v>2311.3119999999999</v>
      </c>
      <c r="K1976" s="18" t="s">
        <v>65</v>
      </c>
      <c r="L1976" s="18" t="s">
        <v>23</v>
      </c>
      <c r="M1976" s="18" t="s">
        <v>24</v>
      </c>
      <c r="N1976" s="22">
        <f t="shared" si="180"/>
        <v>0.67958472024092598</v>
      </c>
      <c r="O1976" s="22">
        <f t="shared" si="181"/>
        <v>0.873119533527697</v>
      </c>
      <c r="P1976" s="23">
        <f t="shared" si="182"/>
        <v>6.7631486880466496E-2</v>
      </c>
      <c r="Q1976" s="23">
        <f t="shared" si="183"/>
        <v>7.7459596634165906E-2</v>
      </c>
      <c r="R1976" s="22">
        <f t="shared" si="184"/>
        <v>1.49089560989068</v>
      </c>
      <c r="S1976" s="22">
        <f t="shared" si="185"/>
        <v>2.4908956098906798</v>
      </c>
    </row>
    <row r="1977" spans="1:19">
      <c r="A1977" s="18" t="s">
        <v>2016</v>
      </c>
      <c r="B1977" s="18" t="s">
        <v>20</v>
      </c>
      <c r="C1977" s="18" t="s">
        <v>41</v>
      </c>
      <c r="D1977" s="19">
        <v>44718</v>
      </c>
      <c r="E1977" s="20">
        <v>45333</v>
      </c>
      <c r="F1977" s="21">
        <v>27945.599999999999</v>
      </c>
      <c r="G1977" s="21">
        <v>6539.2</v>
      </c>
      <c r="H1977" s="21">
        <v>4971.2</v>
      </c>
      <c r="I1977" s="18">
        <v>6362.6080000000002</v>
      </c>
      <c r="J1977" s="18">
        <v>11999.984</v>
      </c>
      <c r="K1977" s="18" t="s">
        <v>43</v>
      </c>
      <c r="L1977" s="18" t="s">
        <v>35</v>
      </c>
      <c r="M1977" s="18" t="s">
        <v>24</v>
      </c>
      <c r="N1977" s="22">
        <f t="shared" si="180"/>
        <v>0.23399748081987901</v>
      </c>
      <c r="O1977" s="22">
        <f t="shared" si="181"/>
        <v>0.76021531685833099</v>
      </c>
      <c r="P1977" s="23">
        <f t="shared" si="182"/>
        <v>0.97299486175678995</v>
      </c>
      <c r="Q1977" s="23">
        <f t="shared" si="183"/>
        <v>1.27989378822015</v>
      </c>
      <c r="R1977" s="22">
        <f t="shared" si="184"/>
        <v>0.88601655170332705</v>
      </c>
      <c r="S1977" s="22">
        <f t="shared" si="185"/>
        <v>1.88601655170333</v>
      </c>
    </row>
    <row r="1978" spans="1:19">
      <c r="A1978" s="18" t="s">
        <v>2017</v>
      </c>
      <c r="B1978" s="18" t="s">
        <v>26</v>
      </c>
      <c r="C1978" s="18" t="s">
        <v>41</v>
      </c>
      <c r="D1978" s="19">
        <v>44765</v>
      </c>
      <c r="E1978" s="20">
        <v>45374</v>
      </c>
      <c r="F1978" s="21">
        <v>21888</v>
      </c>
      <c r="G1978" s="21">
        <v>16155.2</v>
      </c>
      <c r="H1978" s="21">
        <v>6435.2</v>
      </c>
      <c r="I1978" s="18">
        <v>3578.5439999999999</v>
      </c>
      <c r="J1978" s="18">
        <v>4452.6400000000003</v>
      </c>
      <c r="K1978" s="18" t="s">
        <v>43</v>
      </c>
      <c r="L1978" s="18" t="s">
        <v>50</v>
      </c>
      <c r="M1978" s="18" t="s">
        <v>32</v>
      </c>
      <c r="N1978" s="22">
        <f t="shared" si="180"/>
        <v>0.73808479532163795</v>
      </c>
      <c r="O1978" s="22">
        <f t="shared" si="181"/>
        <v>0.39833613944736102</v>
      </c>
      <c r="P1978" s="23">
        <f t="shared" si="182"/>
        <v>0.22151034960879501</v>
      </c>
      <c r="Q1978" s="23">
        <f t="shared" si="183"/>
        <v>0.55608901044256598</v>
      </c>
      <c r="R1978" s="22">
        <f t="shared" si="184"/>
        <v>0.244260235447713</v>
      </c>
      <c r="S1978" s="22">
        <f t="shared" si="185"/>
        <v>1.2442602354477099</v>
      </c>
    </row>
    <row r="1979" spans="1:19">
      <c r="A1979" s="18" t="s">
        <v>2018</v>
      </c>
      <c r="B1979" s="18" t="s">
        <v>47</v>
      </c>
      <c r="C1979" s="18" t="s">
        <v>29</v>
      </c>
      <c r="D1979" s="19">
        <v>44794</v>
      </c>
      <c r="E1979" s="20">
        <v>45422</v>
      </c>
      <c r="F1979" s="21">
        <v>48603.199999999997</v>
      </c>
      <c r="G1979" s="21">
        <v>5776</v>
      </c>
      <c r="H1979" s="21">
        <v>5204.8</v>
      </c>
      <c r="I1979" s="18">
        <v>4423.68</v>
      </c>
      <c r="J1979" s="18">
        <v>13756.976000000001</v>
      </c>
      <c r="K1979" s="18" t="s">
        <v>43</v>
      </c>
      <c r="L1979" s="18" t="s">
        <v>31</v>
      </c>
      <c r="M1979" s="18" t="s">
        <v>32</v>
      </c>
      <c r="N1979" s="22">
        <f t="shared" si="180"/>
        <v>0.11883991177535599</v>
      </c>
      <c r="O1979" s="22">
        <f t="shared" si="181"/>
        <v>0.90110803324099698</v>
      </c>
      <c r="P1979" s="23">
        <f t="shared" si="182"/>
        <v>0.76587257617728499</v>
      </c>
      <c r="Q1979" s="23">
        <f t="shared" si="183"/>
        <v>0.84992314786351097</v>
      </c>
      <c r="R1979" s="22">
        <f t="shared" si="184"/>
        <v>2.1098488136574098</v>
      </c>
      <c r="S1979" s="22">
        <f t="shared" si="185"/>
        <v>3.1098488136574098</v>
      </c>
    </row>
    <row r="1980" spans="1:19">
      <c r="A1980" s="18" t="s">
        <v>2019</v>
      </c>
      <c r="B1980" s="18" t="s">
        <v>28</v>
      </c>
      <c r="C1980" s="18" t="s">
        <v>29</v>
      </c>
      <c r="D1980" s="19">
        <v>44934</v>
      </c>
      <c r="E1980" s="20">
        <v>45544</v>
      </c>
      <c r="F1980" s="21">
        <v>7523.2</v>
      </c>
      <c r="G1980" s="21">
        <v>2092.8000000000002</v>
      </c>
      <c r="H1980" s="21">
        <v>1662.4</v>
      </c>
      <c r="I1980" s="18">
        <v>1879.184</v>
      </c>
      <c r="J1980" s="18">
        <v>2990.6239999999998</v>
      </c>
      <c r="K1980" s="18" t="s">
        <v>30</v>
      </c>
      <c r="L1980" s="18" t="s">
        <v>31</v>
      </c>
      <c r="M1980" s="18" t="s">
        <v>32</v>
      </c>
      <c r="N1980" s="22">
        <f t="shared" si="180"/>
        <v>0.27817949808592102</v>
      </c>
      <c r="O1980" s="22">
        <f t="shared" si="181"/>
        <v>0.79434250764526004</v>
      </c>
      <c r="P1980" s="23">
        <f t="shared" si="182"/>
        <v>0.89792813455657505</v>
      </c>
      <c r="Q1980" s="23">
        <f t="shared" si="183"/>
        <v>1.13040423484119</v>
      </c>
      <c r="R1980" s="22">
        <f t="shared" si="184"/>
        <v>0.59144820304983403</v>
      </c>
      <c r="S1980" s="22">
        <f t="shared" si="185"/>
        <v>1.59144820304983</v>
      </c>
    </row>
    <row r="1981" spans="1:19">
      <c r="A1981" s="18" t="s">
        <v>2020</v>
      </c>
      <c r="B1981" s="18" t="s">
        <v>34</v>
      </c>
      <c r="C1981" s="18" t="s">
        <v>29</v>
      </c>
      <c r="D1981" s="19">
        <v>44759</v>
      </c>
      <c r="E1981" s="20">
        <v>45369</v>
      </c>
      <c r="F1981" s="21">
        <v>65448</v>
      </c>
      <c r="G1981" s="21">
        <v>61534.400000000001</v>
      </c>
      <c r="H1981" s="21">
        <v>57022.400000000001</v>
      </c>
      <c r="I1981" s="18">
        <v>4448.3680000000004</v>
      </c>
      <c r="J1981" s="18">
        <v>17033.184000000001</v>
      </c>
      <c r="K1981" s="18" t="s">
        <v>30</v>
      </c>
      <c r="L1981" s="18" t="s">
        <v>35</v>
      </c>
      <c r="M1981" s="18" t="s">
        <v>24</v>
      </c>
      <c r="N1981" s="22">
        <f t="shared" si="180"/>
        <v>0.94020290917980698</v>
      </c>
      <c r="O1981" s="22">
        <f t="shared" si="181"/>
        <v>0.92667516056059696</v>
      </c>
      <c r="P1981" s="23">
        <f t="shared" si="182"/>
        <v>7.2290751189578506E-2</v>
      </c>
      <c r="Q1981" s="23">
        <f t="shared" si="183"/>
        <v>7.8010886949689995E-2</v>
      </c>
      <c r="R1981" s="22">
        <f t="shared" si="184"/>
        <v>2.8290860828061</v>
      </c>
      <c r="S1981" s="22">
        <f t="shared" si="185"/>
        <v>3.8290860828061</v>
      </c>
    </row>
    <row r="1982" spans="1:19">
      <c r="A1982" s="18" t="s">
        <v>2021</v>
      </c>
      <c r="B1982" s="18" t="s">
        <v>26</v>
      </c>
      <c r="C1982" s="18" t="s">
        <v>41</v>
      </c>
      <c r="D1982" s="19">
        <v>44943</v>
      </c>
      <c r="E1982" s="20">
        <v>45545</v>
      </c>
      <c r="F1982" s="21">
        <v>41478.400000000001</v>
      </c>
      <c r="G1982" s="21">
        <v>30195.200000000001</v>
      </c>
      <c r="H1982" s="21">
        <v>14206.4</v>
      </c>
      <c r="I1982" s="18">
        <v>1740.048</v>
      </c>
      <c r="J1982" s="18">
        <v>2807.5520000000001</v>
      </c>
      <c r="K1982" s="18" t="s">
        <v>38</v>
      </c>
      <c r="L1982" s="18" t="s">
        <v>44</v>
      </c>
      <c r="M1982" s="18" t="s">
        <v>32</v>
      </c>
      <c r="N1982" s="22">
        <f t="shared" si="180"/>
        <v>0.72797407807437098</v>
      </c>
      <c r="O1982" s="22">
        <f t="shared" si="181"/>
        <v>0.47048537515896599</v>
      </c>
      <c r="P1982" s="23">
        <f t="shared" si="182"/>
        <v>5.7626642645188603E-2</v>
      </c>
      <c r="Q1982" s="23">
        <f t="shared" si="183"/>
        <v>0.122483387768893</v>
      </c>
      <c r="R1982" s="22">
        <f t="shared" si="184"/>
        <v>0.61349112208398904</v>
      </c>
      <c r="S1982" s="22">
        <f t="shared" si="185"/>
        <v>1.61349112208399</v>
      </c>
    </row>
    <row r="1983" spans="1:19">
      <c r="A1983" s="18" t="s">
        <v>2022</v>
      </c>
      <c r="B1983" s="18" t="s">
        <v>26</v>
      </c>
      <c r="C1983" s="18" t="s">
        <v>48</v>
      </c>
      <c r="D1983" s="19">
        <v>44875</v>
      </c>
      <c r="E1983" s="20">
        <v>45478</v>
      </c>
      <c r="F1983" s="21">
        <v>11713.6</v>
      </c>
      <c r="G1983" s="21">
        <v>7976</v>
      </c>
      <c r="H1983" s="21">
        <v>4257.6000000000004</v>
      </c>
      <c r="I1983" s="18">
        <v>2159.4560000000001</v>
      </c>
      <c r="J1983" s="18">
        <v>3769.5839999999998</v>
      </c>
      <c r="K1983" s="18" t="s">
        <v>30</v>
      </c>
      <c r="L1983" s="18" t="s">
        <v>23</v>
      </c>
      <c r="M1983" s="18" t="s">
        <v>24</v>
      </c>
      <c r="N1983" s="22">
        <f t="shared" si="180"/>
        <v>0.68091790738970104</v>
      </c>
      <c r="O1983" s="22">
        <f t="shared" si="181"/>
        <v>0.533801404212638</v>
      </c>
      <c r="P1983" s="23">
        <f t="shared" si="182"/>
        <v>0.270744232698094</v>
      </c>
      <c r="Q1983" s="23">
        <f t="shared" si="183"/>
        <v>0.50720030063885801</v>
      </c>
      <c r="R1983" s="22">
        <f t="shared" si="184"/>
        <v>0.74561741475630905</v>
      </c>
      <c r="S1983" s="22">
        <f t="shared" si="185"/>
        <v>1.7456174147563099</v>
      </c>
    </row>
    <row r="1984" spans="1:19">
      <c r="A1984" s="18" t="s">
        <v>2023</v>
      </c>
      <c r="B1984" s="18" t="s">
        <v>28</v>
      </c>
      <c r="C1984" s="18" t="s">
        <v>41</v>
      </c>
      <c r="D1984" s="19">
        <v>44788</v>
      </c>
      <c r="E1984" s="20">
        <v>45415</v>
      </c>
      <c r="F1984" s="21">
        <v>12262.4</v>
      </c>
      <c r="G1984" s="21">
        <v>6800</v>
      </c>
      <c r="H1984" s="21">
        <v>2521.6</v>
      </c>
      <c r="I1984" s="18">
        <v>7593.9520000000002</v>
      </c>
      <c r="J1984" s="18">
        <v>23230.175999999999</v>
      </c>
      <c r="K1984" s="18" t="s">
        <v>30</v>
      </c>
      <c r="L1984" s="18" t="s">
        <v>35</v>
      </c>
      <c r="M1984" s="18" t="s">
        <v>32</v>
      </c>
      <c r="N1984" s="22">
        <f t="shared" si="180"/>
        <v>0.55454070981210901</v>
      </c>
      <c r="O1984" s="22">
        <f t="shared" si="181"/>
        <v>0.370823529411765</v>
      </c>
      <c r="P1984" s="23">
        <f t="shared" si="182"/>
        <v>1.1167576470588201</v>
      </c>
      <c r="Q1984" s="23">
        <f t="shared" si="183"/>
        <v>3.0115609137055799</v>
      </c>
      <c r="R1984" s="22">
        <f t="shared" si="184"/>
        <v>2.0590364542730799</v>
      </c>
      <c r="S1984" s="22">
        <f t="shared" si="185"/>
        <v>3.0590364542730799</v>
      </c>
    </row>
    <row r="1985" spans="1:19">
      <c r="A1985" s="18" t="s">
        <v>2024</v>
      </c>
      <c r="B1985" s="18" t="s">
        <v>26</v>
      </c>
      <c r="C1985" s="18" t="s">
        <v>41</v>
      </c>
      <c r="D1985" s="19">
        <v>44814</v>
      </c>
      <c r="E1985" s="20">
        <v>45436</v>
      </c>
      <c r="F1985" s="21">
        <v>5139.2</v>
      </c>
      <c r="G1985" s="21">
        <v>872</v>
      </c>
      <c r="H1985" s="21">
        <v>825.6</v>
      </c>
      <c r="I1985" s="18">
        <v>3426.72</v>
      </c>
      <c r="J1985" s="18">
        <v>6569.7439999999997</v>
      </c>
      <c r="K1985" s="18" t="s">
        <v>38</v>
      </c>
      <c r="L1985" s="18" t="s">
        <v>44</v>
      </c>
      <c r="M1985" s="18" t="s">
        <v>32</v>
      </c>
      <c r="N1985" s="22">
        <f t="shared" si="180"/>
        <v>0.16967621419676199</v>
      </c>
      <c r="O1985" s="22">
        <f t="shared" si="181"/>
        <v>0.94678899082568801</v>
      </c>
      <c r="P1985" s="23">
        <f t="shared" si="182"/>
        <v>3.9297247706422</v>
      </c>
      <c r="Q1985" s="23">
        <f t="shared" si="183"/>
        <v>4.1505813953488397</v>
      </c>
      <c r="R1985" s="22">
        <f t="shared" si="184"/>
        <v>0.917210627071952</v>
      </c>
      <c r="S1985" s="22">
        <f t="shared" si="185"/>
        <v>1.91721062707195</v>
      </c>
    </row>
    <row r="1986" spans="1:19">
      <c r="A1986" s="18" t="s">
        <v>2025</v>
      </c>
      <c r="B1986" s="18" t="s">
        <v>47</v>
      </c>
      <c r="C1986" s="18" t="s">
        <v>21</v>
      </c>
      <c r="D1986" s="19">
        <v>44818</v>
      </c>
      <c r="E1986" s="20">
        <v>45448</v>
      </c>
      <c r="F1986" s="21">
        <v>46302.400000000001</v>
      </c>
      <c r="G1986" s="21">
        <v>31078.400000000001</v>
      </c>
      <c r="H1986" s="21">
        <v>4588.8</v>
      </c>
      <c r="I1986" s="18">
        <v>486.464</v>
      </c>
      <c r="J1986" s="18">
        <v>1650.72</v>
      </c>
      <c r="K1986" s="18" t="s">
        <v>38</v>
      </c>
      <c r="L1986" s="18" t="s">
        <v>31</v>
      </c>
      <c r="M1986" s="18" t="s">
        <v>24</v>
      </c>
      <c r="N1986" s="22">
        <f t="shared" ref="N1986:N2001" si="186">G1986/F1986</f>
        <v>0.67120494833961097</v>
      </c>
      <c r="O1986" s="22">
        <f t="shared" ref="O1986:O2001" si="187">H1986/G1986</f>
        <v>0.147652388797364</v>
      </c>
      <c r="P1986" s="23">
        <f t="shared" ref="P1986:P2001" si="188">I1986/G1986</f>
        <v>1.5652800658978599E-2</v>
      </c>
      <c r="Q1986" s="23">
        <f t="shared" ref="Q1986:Q2001" si="189">I1986/H1986</f>
        <v>0.106011157601116</v>
      </c>
      <c r="R1986" s="22">
        <f t="shared" ref="R1986:R2001" si="190">(J1986-I1986)/I1986</f>
        <v>2.3933035126957001</v>
      </c>
      <c r="S1986" s="22">
        <f t="shared" ref="S1986:S2001" si="191">J1986/I1986</f>
        <v>3.3933035126957001</v>
      </c>
    </row>
    <row r="1987" spans="1:19">
      <c r="A1987" s="18" t="s">
        <v>2026</v>
      </c>
      <c r="B1987" s="18" t="s">
        <v>28</v>
      </c>
      <c r="C1987" s="18" t="s">
        <v>41</v>
      </c>
      <c r="D1987" s="19">
        <v>44985</v>
      </c>
      <c r="E1987" s="20">
        <v>45590</v>
      </c>
      <c r="F1987" s="21">
        <v>52480</v>
      </c>
      <c r="G1987" s="21">
        <v>7364.8</v>
      </c>
      <c r="H1987" s="21">
        <v>1430.4</v>
      </c>
      <c r="I1987" s="18">
        <v>4075.76</v>
      </c>
      <c r="J1987" s="18">
        <v>11109.984</v>
      </c>
      <c r="K1987" s="18" t="s">
        <v>43</v>
      </c>
      <c r="L1987" s="18" t="s">
        <v>44</v>
      </c>
      <c r="M1987" s="18" t="s">
        <v>24</v>
      </c>
      <c r="N1987" s="22">
        <f t="shared" si="186"/>
        <v>0.14033536585365899</v>
      </c>
      <c r="O1987" s="22">
        <f t="shared" si="187"/>
        <v>0.19422116011297</v>
      </c>
      <c r="P1987" s="23">
        <f t="shared" si="188"/>
        <v>0.55341081903106704</v>
      </c>
      <c r="Q1987" s="23">
        <f t="shared" si="189"/>
        <v>2.8493847874720402</v>
      </c>
      <c r="R1987" s="22">
        <f t="shared" si="190"/>
        <v>1.72586805896324</v>
      </c>
      <c r="S1987" s="22">
        <f t="shared" si="191"/>
        <v>2.7258680589632398</v>
      </c>
    </row>
    <row r="1988" spans="1:19">
      <c r="A1988" s="18" t="s">
        <v>2027</v>
      </c>
      <c r="B1988" s="18" t="s">
        <v>34</v>
      </c>
      <c r="C1988" s="18" t="s">
        <v>29</v>
      </c>
      <c r="D1988" s="19">
        <v>44714</v>
      </c>
      <c r="E1988" s="20">
        <v>45330</v>
      </c>
      <c r="F1988" s="21">
        <v>40158.400000000001</v>
      </c>
      <c r="G1988" s="21">
        <v>22088</v>
      </c>
      <c r="H1988" s="21">
        <v>9169.6</v>
      </c>
      <c r="I1988" s="18">
        <v>4649.2479999999996</v>
      </c>
      <c r="J1988" s="18">
        <v>16408.64</v>
      </c>
      <c r="K1988" s="18" t="s">
        <v>30</v>
      </c>
      <c r="L1988" s="18" t="s">
        <v>44</v>
      </c>
      <c r="M1988" s="18" t="s">
        <v>32</v>
      </c>
      <c r="N1988" s="22">
        <f t="shared" si="186"/>
        <v>0.55002191322363403</v>
      </c>
      <c r="O1988" s="22">
        <f t="shared" si="187"/>
        <v>0.41513944223107602</v>
      </c>
      <c r="P1988" s="23">
        <f t="shared" si="188"/>
        <v>0.21048750452734499</v>
      </c>
      <c r="Q1988" s="23">
        <f t="shared" si="189"/>
        <v>0.507028441807712</v>
      </c>
      <c r="R1988" s="22">
        <f t="shared" si="190"/>
        <v>2.5293105465658101</v>
      </c>
      <c r="S1988" s="22">
        <f t="shared" si="191"/>
        <v>3.5293105465658101</v>
      </c>
    </row>
    <row r="1989" spans="1:19">
      <c r="A1989" s="18" t="s">
        <v>2028</v>
      </c>
      <c r="B1989" s="18" t="s">
        <v>28</v>
      </c>
      <c r="C1989" s="18" t="s">
        <v>21</v>
      </c>
      <c r="D1989" s="19">
        <v>44831</v>
      </c>
      <c r="E1989" s="20">
        <v>45457</v>
      </c>
      <c r="F1989" s="21">
        <v>63348.800000000003</v>
      </c>
      <c r="G1989" s="21">
        <v>53097.599999999999</v>
      </c>
      <c r="H1989" s="21">
        <v>84.8</v>
      </c>
      <c r="I1989" s="18">
        <v>1255.04</v>
      </c>
      <c r="J1989" s="18">
        <v>3405.0079999999998</v>
      </c>
      <c r="K1989" s="18" t="s">
        <v>22</v>
      </c>
      <c r="L1989" s="18" t="s">
        <v>35</v>
      </c>
      <c r="M1989" s="18" t="s">
        <v>32</v>
      </c>
      <c r="N1989" s="22">
        <f t="shared" si="186"/>
        <v>0.83817846589043499</v>
      </c>
      <c r="O1989" s="22">
        <f t="shared" si="187"/>
        <v>1.59705900078346E-3</v>
      </c>
      <c r="P1989" s="23">
        <f t="shared" si="188"/>
        <v>2.3636473211595201E-2</v>
      </c>
      <c r="Q1989" s="23">
        <f t="shared" si="189"/>
        <v>14.8</v>
      </c>
      <c r="R1989" s="22">
        <f t="shared" si="190"/>
        <v>1.71306731259561</v>
      </c>
      <c r="S1989" s="22">
        <f t="shared" si="191"/>
        <v>2.71306731259561</v>
      </c>
    </row>
    <row r="1990" spans="1:19">
      <c r="A1990" s="18" t="s">
        <v>2029</v>
      </c>
      <c r="B1990" s="18" t="s">
        <v>47</v>
      </c>
      <c r="C1990" s="18" t="s">
        <v>29</v>
      </c>
      <c r="D1990" s="19">
        <v>44758</v>
      </c>
      <c r="E1990" s="20">
        <v>45373</v>
      </c>
      <c r="F1990" s="21">
        <v>2838.4</v>
      </c>
      <c r="G1990" s="21">
        <v>2585.6</v>
      </c>
      <c r="H1990" s="21">
        <v>1702.4</v>
      </c>
      <c r="I1990" s="18">
        <v>7238.4480000000003</v>
      </c>
      <c r="J1990" s="18">
        <v>20389.024000000001</v>
      </c>
      <c r="K1990" s="18" t="s">
        <v>22</v>
      </c>
      <c r="L1990" s="18" t="s">
        <v>50</v>
      </c>
      <c r="M1990" s="18" t="s">
        <v>32</v>
      </c>
      <c r="N1990" s="22">
        <f t="shared" si="186"/>
        <v>0.91093573844419395</v>
      </c>
      <c r="O1990" s="22">
        <f t="shared" si="187"/>
        <v>0.658415841584158</v>
      </c>
      <c r="P1990" s="23">
        <f t="shared" si="188"/>
        <v>2.7995235148514901</v>
      </c>
      <c r="Q1990" s="23">
        <f t="shared" si="189"/>
        <v>4.2519078947368403</v>
      </c>
      <c r="R1990" s="22">
        <f t="shared" si="190"/>
        <v>1.8167673512333</v>
      </c>
      <c r="S1990" s="22">
        <f t="shared" si="191"/>
        <v>2.8167673512332998</v>
      </c>
    </row>
    <row r="1991" spans="1:19">
      <c r="A1991" s="18" t="s">
        <v>2030</v>
      </c>
      <c r="B1991" s="18" t="s">
        <v>34</v>
      </c>
      <c r="C1991" s="18" t="s">
        <v>41</v>
      </c>
      <c r="D1991" s="19">
        <v>44823</v>
      </c>
      <c r="E1991" s="20">
        <v>45428</v>
      </c>
      <c r="F1991" s="21">
        <v>36168</v>
      </c>
      <c r="G1991" s="21">
        <v>11201.6</v>
      </c>
      <c r="H1991" s="21">
        <v>9552</v>
      </c>
      <c r="I1991" s="18">
        <v>6746.1440000000002</v>
      </c>
      <c r="J1991" s="18">
        <v>22514.576000000001</v>
      </c>
      <c r="K1991" s="18" t="s">
        <v>65</v>
      </c>
      <c r="L1991" s="18" t="s">
        <v>31</v>
      </c>
      <c r="M1991" s="18" t="s">
        <v>24</v>
      </c>
      <c r="N1991" s="22">
        <f t="shared" si="186"/>
        <v>0.30971024109710199</v>
      </c>
      <c r="O1991" s="22">
        <f t="shared" si="187"/>
        <v>0.85273532352521098</v>
      </c>
      <c r="P1991" s="23">
        <f t="shared" si="188"/>
        <v>0.60224825024996398</v>
      </c>
      <c r="Q1991" s="23">
        <f t="shared" si="189"/>
        <v>0.70625460636515902</v>
      </c>
      <c r="R1991" s="22">
        <f t="shared" si="190"/>
        <v>2.3373992609704102</v>
      </c>
      <c r="S1991" s="22">
        <f t="shared" si="191"/>
        <v>3.3373992609704102</v>
      </c>
    </row>
    <row r="1992" spans="1:19">
      <c r="A1992" s="18" t="s">
        <v>2031</v>
      </c>
      <c r="B1992" s="18" t="s">
        <v>47</v>
      </c>
      <c r="C1992" s="18" t="s">
        <v>29</v>
      </c>
      <c r="D1992" s="19">
        <v>44698</v>
      </c>
      <c r="E1992" s="20">
        <v>45306</v>
      </c>
      <c r="F1992" s="21">
        <v>31924.799999999999</v>
      </c>
      <c r="G1992" s="21">
        <v>4699.2</v>
      </c>
      <c r="H1992" s="21">
        <v>3216</v>
      </c>
      <c r="I1992" s="18">
        <v>7574.2879999999996</v>
      </c>
      <c r="J1992" s="18">
        <v>12553.168</v>
      </c>
      <c r="K1992" s="18" t="s">
        <v>22</v>
      </c>
      <c r="L1992" s="18" t="s">
        <v>35</v>
      </c>
      <c r="M1992" s="18" t="s">
        <v>32</v>
      </c>
      <c r="N1992" s="22">
        <f t="shared" si="186"/>
        <v>0.14719591038941501</v>
      </c>
      <c r="O1992" s="22">
        <f t="shared" si="187"/>
        <v>0.68437180796731401</v>
      </c>
      <c r="P1992" s="23">
        <f t="shared" si="188"/>
        <v>1.6118249914879099</v>
      </c>
      <c r="Q1992" s="23">
        <f t="shared" si="189"/>
        <v>2.3551890547263699</v>
      </c>
      <c r="R1992" s="22">
        <f t="shared" si="190"/>
        <v>0.65733967337920096</v>
      </c>
      <c r="S1992" s="22">
        <f t="shared" si="191"/>
        <v>1.6573396733792001</v>
      </c>
    </row>
    <row r="1993" spans="1:19">
      <c r="A1993" s="18" t="s">
        <v>2032</v>
      </c>
      <c r="B1993" s="18" t="s">
        <v>47</v>
      </c>
      <c r="C1993" s="18" t="s">
        <v>29</v>
      </c>
      <c r="D1993" s="19">
        <v>44934</v>
      </c>
      <c r="E1993" s="20">
        <v>45535</v>
      </c>
      <c r="F1993" s="21">
        <v>49363.199999999997</v>
      </c>
      <c r="G1993" s="21">
        <v>33644.800000000003</v>
      </c>
      <c r="H1993" s="21">
        <v>11419.2</v>
      </c>
      <c r="I1993" s="18">
        <v>3696.9119999999998</v>
      </c>
      <c r="J1993" s="18">
        <v>10366.575999999999</v>
      </c>
      <c r="K1993" s="18" t="s">
        <v>43</v>
      </c>
      <c r="L1993" s="18" t="s">
        <v>31</v>
      </c>
      <c r="M1993" s="18" t="s">
        <v>24</v>
      </c>
      <c r="N1993" s="22">
        <f t="shared" si="186"/>
        <v>0.68157655905613901</v>
      </c>
      <c r="O1993" s="22">
        <f t="shared" si="187"/>
        <v>0.33940460338596201</v>
      </c>
      <c r="P1993" s="23">
        <f t="shared" si="188"/>
        <v>0.109880635343352</v>
      </c>
      <c r="Q1993" s="23">
        <f t="shared" si="189"/>
        <v>0.32374527112231999</v>
      </c>
      <c r="R1993" s="22">
        <f t="shared" si="190"/>
        <v>1.80411759868777</v>
      </c>
      <c r="S1993" s="22">
        <f t="shared" si="191"/>
        <v>2.8041175986877702</v>
      </c>
    </row>
    <row r="1994" spans="1:19">
      <c r="A1994" s="18" t="s">
        <v>2033</v>
      </c>
      <c r="B1994" s="18" t="s">
        <v>47</v>
      </c>
      <c r="C1994" s="18" t="s">
        <v>21</v>
      </c>
      <c r="D1994" s="19">
        <v>44739</v>
      </c>
      <c r="E1994" s="20">
        <v>45352</v>
      </c>
      <c r="F1994" s="21">
        <v>59276.800000000003</v>
      </c>
      <c r="G1994" s="21">
        <v>27001.599999999999</v>
      </c>
      <c r="H1994" s="21">
        <v>7601.6</v>
      </c>
      <c r="I1994" s="18">
        <v>4526.0159999999996</v>
      </c>
      <c r="J1994" s="18">
        <v>15655.567999999999</v>
      </c>
      <c r="K1994" s="18" t="s">
        <v>38</v>
      </c>
      <c r="L1994" s="18" t="s">
        <v>31</v>
      </c>
      <c r="M1994" s="18" t="s">
        <v>32</v>
      </c>
      <c r="N1994" s="22">
        <f t="shared" si="186"/>
        <v>0.45551716691859201</v>
      </c>
      <c r="O1994" s="22">
        <f t="shared" si="187"/>
        <v>0.28152405783361001</v>
      </c>
      <c r="P1994" s="23">
        <f t="shared" si="188"/>
        <v>0.167620289168049</v>
      </c>
      <c r="Q1994" s="23">
        <f t="shared" si="189"/>
        <v>0.59540307303725504</v>
      </c>
      <c r="R1994" s="22">
        <f t="shared" si="190"/>
        <v>2.4590173786394001</v>
      </c>
      <c r="S1994" s="22">
        <f t="shared" si="191"/>
        <v>3.4590173786394001</v>
      </c>
    </row>
    <row r="1995" spans="1:19">
      <c r="A1995" s="18" t="s">
        <v>2034</v>
      </c>
      <c r="B1995" s="18" t="s">
        <v>26</v>
      </c>
      <c r="C1995" s="18" t="s">
        <v>29</v>
      </c>
      <c r="D1995" s="19">
        <v>44967</v>
      </c>
      <c r="E1995" s="20">
        <v>45594</v>
      </c>
      <c r="F1995" s="21">
        <v>13444.8</v>
      </c>
      <c r="G1995" s="21">
        <v>1259.2</v>
      </c>
      <c r="H1995" s="21">
        <v>388.8</v>
      </c>
      <c r="I1995" s="18">
        <v>5269.1840000000002</v>
      </c>
      <c r="J1995" s="18">
        <v>12203.056</v>
      </c>
      <c r="K1995" s="18" t="s">
        <v>22</v>
      </c>
      <c r="L1995" s="18" t="s">
        <v>31</v>
      </c>
      <c r="M1995" s="18" t="s">
        <v>24</v>
      </c>
      <c r="N1995" s="22">
        <f t="shared" si="186"/>
        <v>9.3657027252171898E-2</v>
      </c>
      <c r="O1995" s="22">
        <f t="shared" si="187"/>
        <v>0.30876747141041899</v>
      </c>
      <c r="P1995" s="23">
        <f t="shared" si="188"/>
        <v>4.1845489199491697</v>
      </c>
      <c r="Q1995" s="23">
        <f t="shared" si="189"/>
        <v>13.552427983539101</v>
      </c>
      <c r="R1995" s="22">
        <f t="shared" si="190"/>
        <v>1.3159289939390999</v>
      </c>
      <c r="S1995" s="22">
        <f t="shared" si="191"/>
        <v>2.3159289939390999</v>
      </c>
    </row>
    <row r="1996" spans="1:19">
      <c r="A1996" s="18" t="s">
        <v>2035</v>
      </c>
      <c r="B1996" s="18" t="s">
        <v>28</v>
      </c>
      <c r="C1996" s="18" t="s">
        <v>29</v>
      </c>
      <c r="D1996" s="19">
        <v>44888</v>
      </c>
      <c r="E1996" s="20">
        <v>45506</v>
      </c>
      <c r="F1996" s="21">
        <v>72044.800000000003</v>
      </c>
      <c r="G1996" s="21">
        <v>53483.199999999997</v>
      </c>
      <c r="H1996" s="21">
        <v>18400</v>
      </c>
      <c r="I1996" s="18">
        <v>5276.16</v>
      </c>
      <c r="J1996" s="18">
        <v>19789.12</v>
      </c>
      <c r="K1996" s="18" t="s">
        <v>38</v>
      </c>
      <c r="L1996" s="18" t="s">
        <v>35</v>
      </c>
      <c r="M1996" s="18" t="s">
        <v>32</v>
      </c>
      <c r="N1996" s="22">
        <f t="shared" si="186"/>
        <v>0.74236030914097895</v>
      </c>
      <c r="O1996" s="22">
        <f t="shared" si="187"/>
        <v>0.34403326652107602</v>
      </c>
      <c r="P1996" s="23">
        <f t="shared" si="188"/>
        <v>9.8650791276512995E-2</v>
      </c>
      <c r="Q1996" s="23">
        <f t="shared" si="189"/>
        <v>0.28674782608695698</v>
      </c>
      <c r="R1996" s="22">
        <f t="shared" si="190"/>
        <v>2.7506671518680301</v>
      </c>
      <c r="S1996" s="22">
        <f t="shared" si="191"/>
        <v>3.7506671518680301</v>
      </c>
    </row>
    <row r="1997" spans="1:19">
      <c r="A1997" s="18" t="s">
        <v>2036</v>
      </c>
      <c r="B1997" s="18" t="s">
        <v>34</v>
      </c>
      <c r="C1997" s="18" t="s">
        <v>48</v>
      </c>
      <c r="D1997" s="19">
        <v>44701</v>
      </c>
      <c r="E1997" s="20">
        <v>45325</v>
      </c>
      <c r="F1997" s="21">
        <v>44468.800000000003</v>
      </c>
      <c r="G1997" s="21">
        <v>40398.400000000001</v>
      </c>
      <c r="H1997" s="21">
        <v>12140.8</v>
      </c>
      <c r="I1997" s="18">
        <v>1424.2719999999999</v>
      </c>
      <c r="J1997" s="18">
        <v>5573.2479999999996</v>
      </c>
      <c r="K1997" s="18" t="s">
        <v>65</v>
      </c>
      <c r="L1997" s="18" t="s">
        <v>23</v>
      </c>
      <c r="M1997" s="18" t="s">
        <v>24</v>
      </c>
      <c r="N1997" s="22">
        <f t="shared" si="186"/>
        <v>0.90846616054402196</v>
      </c>
      <c r="O1997" s="22">
        <f t="shared" si="187"/>
        <v>0.30052675353479302</v>
      </c>
      <c r="P1997" s="23">
        <f t="shared" si="188"/>
        <v>3.5255653689254998E-2</v>
      </c>
      <c r="Q1997" s="23">
        <f t="shared" si="189"/>
        <v>0.117312862414338</v>
      </c>
      <c r="R1997" s="22">
        <f t="shared" si="190"/>
        <v>2.9130503162317298</v>
      </c>
      <c r="S1997" s="22">
        <f t="shared" si="191"/>
        <v>3.9130503162317298</v>
      </c>
    </row>
    <row r="1998" spans="1:19">
      <c r="A1998" s="18" t="s">
        <v>2037</v>
      </c>
      <c r="B1998" s="18" t="s">
        <v>26</v>
      </c>
      <c r="C1998" s="18" t="s">
        <v>21</v>
      </c>
      <c r="D1998" s="19">
        <v>44910</v>
      </c>
      <c r="E1998" s="20">
        <v>45520</v>
      </c>
      <c r="F1998" s="21">
        <v>49792</v>
      </c>
      <c r="G1998" s="21">
        <v>18830.400000000001</v>
      </c>
      <c r="H1998" s="21">
        <v>7768</v>
      </c>
      <c r="I1998" s="18">
        <v>5380.72</v>
      </c>
      <c r="J1998" s="18">
        <v>14687.552</v>
      </c>
      <c r="K1998" s="18" t="s">
        <v>22</v>
      </c>
      <c r="L1998" s="18" t="s">
        <v>44</v>
      </c>
      <c r="M1998" s="18" t="s">
        <v>32</v>
      </c>
      <c r="N1998" s="22">
        <f t="shared" si="186"/>
        <v>0.378181233933162</v>
      </c>
      <c r="O1998" s="22">
        <f t="shared" si="187"/>
        <v>0.41252442858356703</v>
      </c>
      <c r="P1998" s="23">
        <f t="shared" si="188"/>
        <v>0.28574645254482101</v>
      </c>
      <c r="Q1998" s="23">
        <f t="shared" si="189"/>
        <v>0.69267765190525199</v>
      </c>
      <c r="R1998" s="22">
        <f t="shared" si="190"/>
        <v>1.7296629447360199</v>
      </c>
      <c r="S1998" s="22">
        <f t="shared" si="191"/>
        <v>2.7296629447360199</v>
      </c>
    </row>
    <row r="1999" spans="1:19">
      <c r="A1999" s="18" t="s">
        <v>2038</v>
      </c>
      <c r="B1999" s="18" t="s">
        <v>47</v>
      </c>
      <c r="C1999" s="18" t="s">
        <v>29</v>
      </c>
      <c r="D1999" s="19">
        <v>44861</v>
      </c>
      <c r="E1999" s="20">
        <v>45480</v>
      </c>
      <c r="F1999" s="21">
        <v>13043.2</v>
      </c>
      <c r="G1999" s="21">
        <v>11891.2</v>
      </c>
      <c r="H1999" s="21">
        <v>3123.2</v>
      </c>
      <c r="I1999" s="18">
        <v>6669.12</v>
      </c>
      <c r="J1999" s="18">
        <v>9944.6880000000001</v>
      </c>
      <c r="K1999" s="18" t="s">
        <v>65</v>
      </c>
      <c r="L1999" s="18" t="s">
        <v>35</v>
      </c>
      <c r="M1999" s="18" t="s">
        <v>32</v>
      </c>
      <c r="N1999" s="22">
        <f t="shared" si="186"/>
        <v>0.91167811579980396</v>
      </c>
      <c r="O1999" s="22">
        <f t="shared" si="187"/>
        <v>0.26264800861141002</v>
      </c>
      <c r="P1999" s="23">
        <f t="shared" si="188"/>
        <v>0.56084499461786896</v>
      </c>
      <c r="Q1999" s="23">
        <f t="shared" si="189"/>
        <v>2.13534836065574</v>
      </c>
      <c r="R1999" s="22">
        <f t="shared" si="190"/>
        <v>0.49115445516050099</v>
      </c>
      <c r="S1999" s="22">
        <f t="shared" si="191"/>
        <v>1.4911544551605</v>
      </c>
    </row>
    <row r="2000" spans="1:19">
      <c r="A2000" s="18" t="s">
        <v>2039</v>
      </c>
      <c r="B2000" s="18" t="s">
        <v>28</v>
      </c>
      <c r="C2000" s="18" t="s">
        <v>21</v>
      </c>
      <c r="D2000" s="19">
        <v>44785</v>
      </c>
      <c r="E2000" s="20">
        <v>45408</v>
      </c>
      <c r="F2000" s="21">
        <v>61086.400000000001</v>
      </c>
      <c r="G2000" s="21">
        <v>45625.599999999999</v>
      </c>
      <c r="H2000" s="21">
        <v>42048</v>
      </c>
      <c r="I2000" s="18">
        <v>6828.3519999999999</v>
      </c>
      <c r="J2000" s="18">
        <v>18457.968000000001</v>
      </c>
      <c r="K2000" s="18" t="s">
        <v>43</v>
      </c>
      <c r="L2000" s="18" t="s">
        <v>44</v>
      </c>
      <c r="M2000" s="18" t="s">
        <v>32</v>
      </c>
      <c r="N2000" s="22">
        <f t="shared" si="186"/>
        <v>0.74690274758374997</v>
      </c>
      <c r="O2000" s="22">
        <f t="shared" si="187"/>
        <v>0.92158788048814699</v>
      </c>
      <c r="P2000" s="23">
        <f t="shared" si="188"/>
        <v>0.14966054145041399</v>
      </c>
      <c r="Q2000" s="23">
        <f t="shared" si="189"/>
        <v>0.162394216133942</v>
      </c>
      <c r="R2000" s="22">
        <f t="shared" si="190"/>
        <v>1.70313656940943</v>
      </c>
      <c r="S2000" s="22">
        <f t="shared" si="191"/>
        <v>2.70313656940943</v>
      </c>
    </row>
    <row r="2001" spans="1:19">
      <c r="A2001" s="18" t="s">
        <v>2040</v>
      </c>
      <c r="B2001" s="18" t="s">
        <v>26</v>
      </c>
      <c r="C2001" s="18" t="s">
        <v>21</v>
      </c>
      <c r="D2001" s="19">
        <v>44721</v>
      </c>
      <c r="E2001" s="20">
        <v>45340</v>
      </c>
      <c r="F2001" s="21">
        <v>3809.6</v>
      </c>
      <c r="G2001" s="21">
        <v>1168</v>
      </c>
      <c r="H2001" s="21">
        <v>403.2</v>
      </c>
      <c r="I2001" s="18">
        <v>6356.2240000000002</v>
      </c>
      <c r="J2001" s="18">
        <v>19246.351999999999</v>
      </c>
      <c r="K2001" s="18" t="s">
        <v>30</v>
      </c>
      <c r="L2001" s="18" t="s">
        <v>35</v>
      </c>
      <c r="M2001" s="18" t="s">
        <v>24</v>
      </c>
      <c r="N2001" s="22">
        <f t="shared" si="186"/>
        <v>0.306593868122638</v>
      </c>
      <c r="O2001" s="22">
        <f t="shared" si="187"/>
        <v>0.34520547945205499</v>
      </c>
      <c r="P2001" s="23">
        <f t="shared" si="188"/>
        <v>5.4419726027397299</v>
      </c>
      <c r="Q2001" s="23">
        <f t="shared" si="189"/>
        <v>15.764444444444401</v>
      </c>
      <c r="R2001" s="22">
        <f t="shared" si="190"/>
        <v>2.02795370333078</v>
      </c>
      <c r="S2001" s="22">
        <f t="shared" si="191"/>
        <v>3.02795370333078</v>
      </c>
    </row>
  </sheetData>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Q395"/>
  <sheetViews>
    <sheetView tabSelected="1" topLeftCell="A5" zoomScale="55" zoomScaleNormal="55" workbookViewId="0">
      <selection activeCell="K14" sqref="K14"/>
    </sheetView>
  </sheetViews>
  <sheetFormatPr defaultColWidth="8.61328125" defaultRowHeight="14.6"/>
  <cols>
    <col min="1" max="1" width="22.765625" bestFit="1" customWidth="1"/>
    <col min="2" max="2" width="23.53515625" bestFit="1" customWidth="1"/>
    <col min="3" max="3" width="26.07421875" bestFit="1" customWidth="1"/>
    <col min="4" max="4" width="32.61328125" bestFit="1" customWidth="1"/>
    <col min="5" max="5" width="24.921875" style="1" bestFit="1" customWidth="1"/>
    <col min="6" max="6" width="22" style="1" bestFit="1" customWidth="1"/>
    <col min="7" max="7" width="25.69140625" style="2" bestFit="1" customWidth="1"/>
    <col min="8" max="8" width="24.921875" style="3" bestFit="1" customWidth="1"/>
    <col min="9" max="9" width="18.3828125" style="1" customWidth="1"/>
    <col min="10" max="10" width="22.765625" style="1" bestFit="1" customWidth="1"/>
    <col min="11" max="11" width="24.921875" bestFit="1" customWidth="1"/>
    <col min="12" max="12" width="23.921875" bestFit="1" customWidth="1"/>
    <col min="13" max="17" width="22.61328125" bestFit="1" customWidth="1"/>
    <col min="18" max="19" width="17.69140625" bestFit="1" customWidth="1"/>
    <col min="20" max="20" width="12.07421875" bestFit="1" customWidth="1"/>
  </cols>
  <sheetData>
    <row r="5" spans="1:10">
      <c r="A5" s="27" t="s">
        <v>2</v>
      </c>
      <c r="B5" s="4" t="s">
        <v>2041</v>
      </c>
      <c r="C5" s="4" t="s">
        <v>2042</v>
      </c>
      <c r="D5" s="24" t="s">
        <v>2043</v>
      </c>
      <c r="E5" s="24" t="s">
        <v>2044</v>
      </c>
      <c r="F5" s="24" t="s">
        <v>2045</v>
      </c>
      <c r="G5" s="7" t="s">
        <v>2069</v>
      </c>
      <c r="H5" s="4" t="s">
        <v>2070</v>
      </c>
      <c r="I5" s="7" t="s">
        <v>2071</v>
      </c>
      <c r="J5" s="7" t="s">
        <v>2072</v>
      </c>
    </row>
    <row r="6" spans="1:10">
      <c r="A6" s="24" t="s">
        <v>41</v>
      </c>
      <c r="B6" s="4">
        <v>2028667.6800000006</v>
      </c>
      <c r="C6" s="4">
        <v>5296338.5759999994</v>
      </c>
      <c r="D6" s="6">
        <v>5372960.0000000019</v>
      </c>
      <c r="E6" s="6">
        <v>10558406.399999993</v>
      </c>
      <c r="F6" s="6">
        <v>20505220.799999986</v>
      </c>
      <c r="G6" s="33">
        <v>0.51491308008738923</v>
      </c>
      <c r="H6" s="4">
        <v>0.19213767714036864</v>
      </c>
      <c r="I6" s="7">
        <v>2.6107472545725172</v>
      </c>
      <c r="J6" s="33">
        <v>0.50887982489478767</v>
      </c>
    </row>
    <row r="7" spans="1:10">
      <c r="A7" s="24" t="s">
        <v>21</v>
      </c>
      <c r="B7" s="4">
        <v>2065317.5359999996</v>
      </c>
      <c r="C7" s="4">
        <v>5297396.4959999984</v>
      </c>
      <c r="D7" s="6">
        <v>5209179.2000000011</v>
      </c>
      <c r="E7" s="6">
        <v>10267545.599999994</v>
      </c>
      <c r="F7" s="6">
        <v>20882224</v>
      </c>
      <c r="G7" s="33">
        <v>0.49168831825575637</v>
      </c>
      <c r="H7" s="4">
        <v>0.20115007193150433</v>
      </c>
      <c r="I7" s="7">
        <v>2.5649307690766632</v>
      </c>
      <c r="J7" s="33">
        <v>0.50734415048519521</v>
      </c>
    </row>
    <row r="8" spans="1:10">
      <c r="A8" s="24" t="s">
        <v>29</v>
      </c>
      <c r="B8" s="4">
        <v>2040957.6960000007</v>
      </c>
      <c r="C8" s="4">
        <v>5343504.144000004</v>
      </c>
      <c r="D8" s="6">
        <v>4565849.6000000006</v>
      </c>
      <c r="E8" s="6">
        <v>9439471.9999999981</v>
      </c>
      <c r="F8" s="6">
        <v>19378836.800000001</v>
      </c>
      <c r="G8" s="33">
        <v>0.48710209479652555</v>
      </c>
      <c r="H8" s="4">
        <v>0.21621523915744451</v>
      </c>
      <c r="I8" s="7">
        <v>2.6181356695793081</v>
      </c>
      <c r="J8" s="33">
        <v>0.48369756274503506</v>
      </c>
    </row>
    <row r="9" spans="1:10">
      <c r="A9" s="24" t="s">
        <v>48</v>
      </c>
      <c r="B9" s="4">
        <v>2022255.3440000005</v>
      </c>
      <c r="C9" s="4">
        <v>5284499.8239999982</v>
      </c>
      <c r="D9" s="6">
        <v>5107663.9999999953</v>
      </c>
      <c r="E9" s="6">
        <v>10015913.600000005</v>
      </c>
      <c r="F9" s="6">
        <v>19425852.799999986</v>
      </c>
      <c r="G9" s="33">
        <v>0.51559711190645963</v>
      </c>
      <c r="H9" s="4">
        <v>0.20190423208123515</v>
      </c>
      <c r="I9" s="7">
        <v>2.6131713978054378</v>
      </c>
      <c r="J9" s="33">
        <v>0.50995487820501895</v>
      </c>
    </row>
    <row r="11" spans="1:10">
      <c r="E11"/>
      <c r="F11"/>
      <c r="G11"/>
      <c r="H11"/>
      <c r="I11"/>
      <c r="J11"/>
    </row>
    <row r="13" spans="1:10">
      <c r="E13" s="4"/>
      <c r="F13" s="4"/>
      <c r="G13" s="5"/>
    </row>
    <row r="14" spans="1:10">
      <c r="E14" s="4"/>
      <c r="F14" s="4"/>
      <c r="G14" s="5"/>
    </row>
    <row r="15" spans="1:10">
      <c r="E15" s="4"/>
      <c r="F15" s="4"/>
      <c r="G15" s="5"/>
    </row>
    <row r="16" spans="1:10">
      <c r="E16" s="4"/>
      <c r="F16" s="4"/>
      <c r="G16" s="5"/>
    </row>
    <row r="17" spans="5:7">
      <c r="E17" s="4"/>
      <c r="F17" s="4"/>
      <c r="G17" s="5"/>
    </row>
    <row r="18" spans="5:7">
      <c r="E18" s="4"/>
      <c r="F18" s="4"/>
      <c r="G18" s="5"/>
    </row>
    <row r="19" spans="5:7">
      <c r="E19" s="4"/>
      <c r="F19" s="4"/>
      <c r="G19" s="5"/>
    </row>
    <row r="20" spans="5:7">
      <c r="E20" s="4"/>
      <c r="F20" s="4"/>
      <c r="G20" s="5"/>
    </row>
    <row r="34" spans="1:17">
      <c r="A34" s="27" t="s">
        <v>11</v>
      </c>
      <c r="B34" s="24" t="s">
        <v>2043</v>
      </c>
      <c r="C34" s="4" t="s">
        <v>2041</v>
      </c>
      <c r="D34" s="4" t="s">
        <v>2042</v>
      </c>
      <c r="E34" s="7" t="s">
        <v>2046</v>
      </c>
      <c r="F34" s="7" t="s">
        <v>2068</v>
      </c>
      <c r="G34"/>
      <c r="I34" s="24"/>
      <c r="J34" s="27" t="s">
        <v>2</v>
      </c>
      <c r="K34" s="27" t="s">
        <v>2047</v>
      </c>
      <c r="L34" s="24"/>
      <c r="M34" s="24"/>
      <c r="N34" s="24"/>
      <c r="O34" s="24"/>
      <c r="P34" s="24"/>
      <c r="Q34" s="24"/>
    </row>
    <row r="35" spans="1:17">
      <c r="A35" s="24" t="s">
        <v>35</v>
      </c>
      <c r="B35" s="31">
        <v>4079350.4000000004</v>
      </c>
      <c r="C35" s="4">
        <v>1659941.4880000013</v>
      </c>
      <c r="D35" s="4">
        <v>4268392.5759999994</v>
      </c>
      <c r="E35" s="7">
        <v>0.5029053821220032</v>
      </c>
      <c r="F35" s="7">
        <v>2.5714114665227261</v>
      </c>
      <c r="G35"/>
      <c r="I35" s="24"/>
      <c r="J35" s="24" t="s">
        <v>41</v>
      </c>
      <c r="K35" s="24" t="s">
        <v>41</v>
      </c>
      <c r="L35" s="24" t="s">
        <v>21</v>
      </c>
      <c r="M35" s="24" t="s">
        <v>21</v>
      </c>
      <c r="N35" s="24" t="s">
        <v>29</v>
      </c>
      <c r="O35" s="24" t="s">
        <v>29</v>
      </c>
      <c r="P35" s="24" t="s">
        <v>48</v>
      </c>
      <c r="Q35" s="24" t="s">
        <v>48</v>
      </c>
    </row>
    <row r="36" spans="1:17">
      <c r="A36" s="24" t="s">
        <v>23</v>
      </c>
      <c r="B36" s="31">
        <v>4058723.2</v>
      </c>
      <c r="C36" s="4">
        <v>1542501.487999999</v>
      </c>
      <c r="D36" s="4">
        <v>4042096.7839999995</v>
      </c>
      <c r="E36" s="7">
        <v>0.51016600543771706</v>
      </c>
      <c r="F36" s="7">
        <v>2.6204816108417277</v>
      </c>
      <c r="G36"/>
      <c r="I36" s="27" t="s">
        <v>11</v>
      </c>
      <c r="J36" s="7" t="s">
        <v>2046</v>
      </c>
      <c r="K36" s="7" t="s">
        <v>2048</v>
      </c>
      <c r="L36" s="7" t="s">
        <v>2046</v>
      </c>
      <c r="M36" s="7" t="s">
        <v>2048</v>
      </c>
      <c r="N36" s="7" t="s">
        <v>2046</v>
      </c>
      <c r="O36" s="7" t="s">
        <v>2048</v>
      </c>
      <c r="P36" s="7" t="s">
        <v>2046</v>
      </c>
      <c r="Q36" s="7" t="s">
        <v>2048</v>
      </c>
    </row>
    <row r="37" spans="1:17">
      <c r="A37" s="24" t="s">
        <v>50</v>
      </c>
      <c r="B37" s="31">
        <v>4094043.1999999997</v>
      </c>
      <c r="C37" s="4">
        <v>1509773.5039999993</v>
      </c>
      <c r="D37" s="4">
        <v>3936338.0159999956</v>
      </c>
      <c r="E37" s="7">
        <v>0.51314118909527073</v>
      </c>
      <c r="F37" s="7">
        <v>2.607237446922368</v>
      </c>
      <c r="G37"/>
      <c r="I37" s="24" t="s">
        <v>35</v>
      </c>
      <c r="J37" s="7">
        <v>0.48777383745334785</v>
      </c>
      <c r="K37" s="7">
        <v>2.5057178908999549</v>
      </c>
      <c r="L37" s="7">
        <v>0.54927674028332329</v>
      </c>
      <c r="M37" s="7">
        <v>2.5594456146900177</v>
      </c>
      <c r="N37" s="7">
        <v>0.46997362455014008</v>
      </c>
      <c r="O37" s="7">
        <v>2.6948982951895979</v>
      </c>
      <c r="P37" s="7">
        <v>0.50830178715617769</v>
      </c>
      <c r="Q37" s="7">
        <v>2.531539777466036</v>
      </c>
    </row>
    <row r="38" spans="1:17">
      <c r="A38" s="24" t="s">
        <v>31</v>
      </c>
      <c r="B38" s="31">
        <v>3715900.7999999975</v>
      </c>
      <c r="C38" s="4">
        <v>1775945.8720000007</v>
      </c>
      <c r="D38" s="4">
        <v>4653910.4640000015</v>
      </c>
      <c r="E38" s="7">
        <v>0.48078217325968237</v>
      </c>
      <c r="F38" s="7">
        <v>2.6205249480711648</v>
      </c>
      <c r="G38"/>
      <c r="I38" s="24" t="s">
        <v>23</v>
      </c>
      <c r="J38" s="7">
        <v>0.53079856839385642</v>
      </c>
      <c r="K38" s="7">
        <v>2.7692734057509676</v>
      </c>
      <c r="L38" s="7">
        <v>0.47214045511176517</v>
      </c>
      <c r="M38" s="7">
        <v>2.5097926207534402</v>
      </c>
      <c r="N38" s="7">
        <v>0.52440327558804523</v>
      </c>
      <c r="O38" s="7">
        <v>2.6724659034258833</v>
      </c>
      <c r="P38" s="7">
        <v>0.52276237018669491</v>
      </c>
      <c r="Q38" s="7">
        <v>2.5749465361612955</v>
      </c>
    </row>
    <row r="39" spans="1:17">
      <c r="A39" s="24" t="s">
        <v>44</v>
      </c>
      <c r="B39" s="31">
        <v>4307635.1999999983</v>
      </c>
      <c r="C39" s="4">
        <v>1669035.904000002</v>
      </c>
      <c r="D39" s="4">
        <v>4321001.2000000039</v>
      </c>
      <c r="E39" s="7">
        <v>0.50637436845959982</v>
      </c>
      <c r="F39" s="7">
        <v>2.5889204597961717</v>
      </c>
      <c r="G39"/>
      <c r="I39" s="24" t="s">
        <v>50</v>
      </c>
      <c r="J39" s="7">
        <v>0.54332288308973986</v>
      </c>
      <c r="K39" s="7">
        <v>2.6253671094252247</v>
      </c>
      <c r="L39" s="7">
        <v>0.4765993558369383</v>
      </c>
      <c r="M39" s="7">
        <v>2.6322400866054574</v>
      </c>
      <c r="N39" s="7">
        <v>0.51740128863528656</v>
      </c>
      <c r="O39" s="7">
        <v>2.5422841251877863</v>
      </c>
      <c r="P39" s="7">
        <v>0.51332505492406155</v>
      </c>
      <c r="Q39" s="7">
        <v>2.6349804228772604</v>
      </c>
    </row>
    <row r="40" spans="1:17">
      <c r="A40" s="24" t="s">
        <v>2067</v>
      </c>
      <c r="B40" s="31">
        <v>20255652.799999997</v>
      </c>
      <c r="C40" s="4">
        <v>8157198.2560000019</v>
      </c>
      <c r="D40" s="4">
        <v>21221739.039999999</v>
      </c>
      <c r="E40" s="7">
        <v>0.50285452288456101</v>
      </c>
      <c r="F40" s="7">
        <v>2.6015965744599181</v>
      </c>
      <c r="G40"/>
      <c r="I40" s="24" t="s">
        <v>31</v>
      </c>
      <c r="J40" s="7">
        <v>0.48345333905492976</v>
      </c>
      <c r="K40" s="7">
        <v>2.6722934760906147</v>
      </c>
      <c r="L40" s="7">
        <v>0.51619603718574969</v>
      </c>
      <c r="M40" s="7">
        <v>2.5119199711830262</v>
      </c>
      <c r="N40" s="7">
        <v>0.4183412179428378</v>
      </c>
      <c r="O40" s="7">
        <v>2.6448938012791219</v>
      </c>
      <c r="P40" s="7">
        <v>0.50216431787530014</v>
      </c>
      <c r="Q40" s="7">
        <v>2.6639906863700902</v>
      </c>
    </row>
    <row r="41" spans="1:17">
      <c r="E41"/>
      <c r="F41"/>
      <c r="G41"/>
      <c r="H41"/>
      <c r="I41" s="24" t="s">
        <v>44</v>
      </c>
      <c r="J41" s="7">
        <v>0.50300050697677057</v>
      </c>
      <c r="K41" s="7">
        <v>2.5156192429942879</v>
      </c>
      <c r="L41" s="7">
        <v>0.5299531428814801</v>
      </c>
      <c r="M41" s="7">
        <v>2.6320455423812406</v>
      </c>
      <c r="N41" s="7">
        <v>0.49033627208177427</v>
      </c>
      <c r="O41" s="7">
        <v>2.5442428452711257</v>
      </c>
      <c r="P41" s="7">
        <v>0.50176435589186552</v>
      </c>
      <c r="Q41" s="7">
        <v>2.6674350312048292</v>
      </c>
    </row>
    <row r="42" spans="1:17">
      <c r="E42"/>
      <c r="F42"/>
      <c r="G42"/>
      <c r="I42"/>
      <c r="J42"/>
    </row>
    <row r="43" spans="1:17">
      <c r="A43" s="27" t="s">
        <v>12</v>
      </c>
      <c r="B43" s="24" t="s">
        <v>2073</v>
      </c>
      <c r="C43" s="4" t="s">
        <v>2041</v>
      </c>
      <c r="D43" s="4" t="s">
        <v>2042</v>
      </c>
      <c r="E43" s="7" t="s">
        <v>2046</v>
      </c>
      <c r="F43" s="7" t="s">
        <v>2068</v>
      </c>
      <c r="G43"/>
      <c r="I43"/>
      <c r="J43"/>
    </row>
    <row r="44" spans="1:17">
      <c r="A44" s="24" t="s">
        <v>32</v>
      </c>
      <c r="B44" s="31">
        <v>9917454.3999999911</v>
      </c>
      <c r="C44" s="4">
        <v>3973087.4720000029</v>
      </c>
      <c r="D44" s="4">
        <v>10418498.560000001</v>
      </c>
      <c r="E44" s="7">
        <v>0.5158741942598426</v>
      </c>
      <c r="F44" s="7">
        <v>2.6222676025694089</v>
      </c>
      <c r="G44"/>
      <c r="I44"/>
      <c r="J44"/>
    </row>
    <row r="45" spans="1:17">
      <c r="A45" s="24" t="s">
        <v>24</v>
      </c>
      <c r="B45" s="31">
        <v>10338198.400000019</v>
      </c>
      <c r="C45" s="4">
        <v>4184110.7839999963</v>
      </c>
      <c r="D45" s="4">
        <v>10803240.48</v>
      </c>
      <c r="E45" s="7">
        <v>0.49096773477818462</v>
      </c>
      <c r="F45" s="7">
        <v>2.5819680782142527</v>
      </c>
      <c r="G45"/>
      <c r="I45"/>
      <c r="J45"/>
    </row>
    <row r="46" spans="1:17">
      <c r="A46" s="24" t="s">
        <v>2067</v>
      </c>
      <c r="B46" s="31">
        <v>20255652.800000012</v>
      </c>
      <c r="C46" s="4">
        <v>8157198.2559999991</v>
      </c>
      <c r="D46" s="4">
        <v>21221739.039999999</v>
      </c>
      <c r="E46" s="7">
        <v>0.50285452288456023</v>
      </c>
      <c r="F46" s="7">
        <v>2.6015965744599145</v>
      </c>
      <c r="G46"/>
      <c r="I46"/>
      <c r="J46"/>
    </row>
    <row r="47" spans="1:17">
      <c r="E47"/>
      <c r="F47"/>
      <c r="G47"/>
      <c r="I47"/>
      <c r="J47"/>
    </row>
    <row r="48" spans="1:17">
      <c r="E48"/>
      <c r="F48"/>
      <c r="G48"/>
      <c r="I48"/>
      <c r="J48"/>
    </row>
    <row r="49" spans="1:10">
      <c r="A49" s="27" t="s">
        <v>10</v>
      </c>
      <c r="B49" s="24" t="s">
        <v>2075</v>
      </c>
      <c r="C49" s="24" t="s">
        <v>2076</v>
      </c>
      <c r="D49" s="24" t="s">
        <v>2077</v>
      </c>
      <c r="E49" s="7" t="s">
        <v>2046</v>
      </c>
      <c r="F49"/>
      <c r="G49"/>
      <c r="I49"/>
      <c r="J49"/>
    </row>
    <row r="50" spans="1:10">
      <c r="A50" s="24" t="s">
        <v>38</v>
      </c>
      <c r="B50" s="28">
        <v>3767998.399999999</v>
      </c>
      <c r="C50" s="28">
        <v>1483941.1039999996</v>
      </c>
      <c r="D50" s="28">
        <v>3966151.2959999992</v>
      </c>
      <c r="E50" s="7">
        <v>0.50775058418292629</v>
      </c>
      <c r="F50"/>
      <c r="G50"/>
      <c r="I50"/>
      <c r="J50"/>
    </row>
    <row r="51" spans="1:10">
      <c r="A51" s="24" t="s">
        <v>22</v>
      </c>
      <c r="B51" s="28">
        <v>4058095.9999999967</v>
      </c>
      <c r="C51" s="28">
        <v>1549941.4239999996</v>
      </c>
      <c r="D51" s="28">
        <v>3979002.9280000012</v>
      </c>
      <c r="E51" s="7">
        <v>0.5066227434223497</v>
      </c>
      <c r="F51"/>
      <c r="G51"/>
      <c r="I51"/>
      <c r="J51"/>
    </row>
    <row r="52" spans="1:10">
      <c r="A52" s="24" t="s">
        <v>30</v>
      </c>
      <c r="B52" s="28">
        <v>4634439.9999999981</v>
      </c>
      <c r="C52" s="28">
        <v>1820654.4319999991</v>
      </c>
      <c r="D52" s="28">
        <v>4734339.0879999995</v>
      </c>
      <c r="E52" s="7">
        <v>0.51532704437538635</v>
      </c>
      <c r="F52"/>
      <c r="G52"/>
      <c r="I52"/>
      <c r="J52"/>
    </row>
    <row r="53" spans="1:10">
      <c r="A53" s="24" t="s">
        <v>65</v>
      </c>
      <c r="B53" s="28">
        <v>3976862.4000000008</v>
      </c>
      <c r="C53" s="28">
        <v>1663272.2880000011</v>
      </c>
      <c r="D53" s="28">
        <v>4362287.84</v>
      </c>
      <c r="E53" s="7">
        <v>0.50532211415892203</v>
      </c>
      <c r="F53"/>
      <c r="G53"/>
      <c r="I53"/>
      <c r="J53"/>
    </row>
    <row r="54" spans="1:10">
      <c r="A54" s="24" t="s">
        <v>43</v>
      </c>
      <c r="B54" s="28">
        <v>3818255.9999999995</v>
      </c>
      <c r="C54" s="28">
        <v>1639389.0080000008</v>
      </c>
      <c r="D54" s="28">
        <v>4179957.8879999984</v>
      </c>
      <c r="E54" s="7">
        <v>0.47805147164876538</v>
      </c>
      <c r="F54"/>
      <c r="G54"/>
      <c r="I54"/>
      <c r="J54"/>
    </row>
    <row r="55" spans="1:10">
      <c r="A55" s="24" t="s">
        <v>2067</v>
      </c>
      <c r="B55" s="28">
        <v>20255652.799999993</v>
      </c>
      <c r="C55" s="28">
        <v>8157198.256000001</v>
      </c>
      <c r="D55" s="28">
        <v>21221739.039999999</v>
      </c>
      <c r="E55" s="7">
        <v>0.50285452288456034</v>
      </c>
      <c r="F55"/>
      <c r="G55"/>
      <c r="I55"/>
      <c r="J55"/>
    </row>
    <row r="56" spans="1:10">
      <c r="E56"/>
      <c r="F56"/>
      <c r="G56"/>
      <c r="I56"/>
      <c r="J56"/>
    </row>
    <row r="57" spans="1:10">
      <c r="E57"/>
      <c r="F57"/>
      <c r="G57"/>
      <c r="I57"/>
      <c r="J57"/>
    </row>
    <row r="58" spans="1:10">
      <c r="E58"/>
      <c r="F58"/>
      <c r="G58"/>
      <c r="I58"/>
      <c r="J58"/>
    </row>
    <row r="59" spans="1:10">
      <c r="E59"/>
      <c r="F59"/>
      <c r="G59"/>
      <c r="I59"/>
      <c r="J59"/>
    </row>
    <row r="60" spans="1:10">
      <c r="E60"/>
      <c r="F60"/>
      <c r="G60"/>
      <c r="I60"/>
      <c r="J60"/>
    </row>
    <row r="61" spans="1:10">
      <c r="E61"/>
      <c r="F61"/>
      <c r="G61"/>
    </row>
    <row r="62" spans="1:10">
      <c r="E62"/>
      <c r="F62"/>
      <c r="G62"/>
    </row>
    <row r="63" spans="1:10">
      <c r="E63"/>
      <c r="F63"/>
      <c r="G63"/>
    </row>
    <row r="64" spans="1:10">
      <c r="E64"/>
      <c r="F64"/>
      <c r="G64"/>
    </row>
    <row r="65" spans="1:10">
      <c r="E65"/>
      <c r="F65"/>
      <c r="G65"/>
    </row>
    <row r="66" spans="1:10">
      <c r="A66" s="27" t="s">
        <v>2049</v>
      </c>
      <c r="B66" s="27" t="s">
        <v>2050</v>
      </c>
      <c r="C66" s="24" t="s">
        <v>2051</v>
      </c>
      <c r="D66" s="24" t="s">
        <v>2045</v>
      </c>
      <c r="E66" s="24" t="s">
        <v>2044</v>
      </c>
      <c r="F66" s="24" t="s">
        <v>2043</v>
      </c>
      <c r="G66" s="4" t="s">
        <v>2041</v>
      </c>
      <c r="H66" s="4" t="s">
        <v>2042</v>
      </c>
      <c r="I66" s="7" t="s">
        <v>2052</v>
      </c>
      <c r="J66" s="7" t="s">
        <v>2048</v>
      </c>
    </row>
    <row r="67" spans="1:10">
      <c r="A67" s="24" t="s">
        <v>2053</v>
      </c>
      <c r="B67" s="24" t="s">
        <v>2054</v>
      </c>
      <c r="C67" s="28">
        <v>161</v>
      </c>
      <c r="D67" s="6">
        <v>6956924.8000000035</v>
      </c>
      <c r="E67" s="6">
        <v>3514444.8000000007</v>
      </c>
      <c r="F67" s="6">
        <v>1833777.6000000003</v>
      </c>
      <c r="G67" s="4">
        <v>683902.28799999994</v>
      </c>
      <c r="H67" s="4">
        <v>1720334.831999999</v>
      </c>
      <c r="I67" s="7">
        <v>0.52178301392015036</v>
      </c>
      <c r="J67" s="7">
        <v>2.5154687477811146</v>
      </c>
    </row>
    <row r="68" spans="1:10">
      <c r="A68" s="24" t="s">
        <v>2053</v>
      </c>
      <c r="B68" s="24" t="s">
        <v>2055</v>
      </c>
      <c r="C68" s="28">
        <v>187</v>
      </c>
      <c r="D68" s="6">
        <v>7032763.2000000011</v>
      </c>
      <c r="E68" s="6">
        <v>3475296.0000000005</v>
      </c>
      <c r="F68" s="6">
        <v>1792078.4000000001</v>
      </c>
      <c r="G68" s="4">
        <v>722118.4319999998</v>
      </c>
      <c r="H68" s="4">
        <v>1840556.0159999994</v>
      </c>
      <c r="I68" s="7">
        <v>0.51566209036582777</v>
      </c>
      <c r="J68" s="7">
        <v>2.5488284669626045</v>
      </c>
    </row>
    <row r="69" spans="1:10">
      <c r="A69" s="24" t="s">
        <v>2053</v>
      </c>
      <c r="B69" s="24" t="s">
        <v>2056</v>
      </c>
      <c r="C69" s="28">
        <v>203</v>
      </c>
      <c r="D69" s="6">
        <v>8278523.1999999993</v>
      </c>
      <c r="E69" s="6">
        <v>4329208.0000000009</v>
      </c>
      <c r="F69" s="6">
        <v>2119311.9999999995</v>
      </c>
      <c r="G69" s="4">
        <v>857106.87999999989</v>
      </c>
      <c r="H69" s="4">
        <v>2223957.3439999991</v>
      </c>
      <c r="I69" s="7">
        <v>0.48953804021428377</v>
      </c>
      <c r="J69" s="7">
        <v>2.5947258106246904</v>
      </c>
    </row>
    <row r="70" spans="1:10">
      <c r="A70" s="24" t="s">
        <v>2053</v>
      </c>
      <c r="B70" s="24" t="s">
        <v>2057</v>
      </c>
      <c r="C70" s="28">
        <v>212</v>
      </c>
      <c r="D70" s="6">
        <v>8944825.5999999978</v>
      </c>
      <c r="E70" s="6">
        <v>4725622.3999999966</v>
      </c>
      <c r="F70" s="6">
        <v>2509161.5999999982</v>
      </c>
      <c r="G70" s="4">
        <v>827670.5279999997</v>
      </c>
      <c r="H70" s="4">
        <v>2226743.6800000002</v>
      </c>
      <c r="I70" s="7">
        <v>0.53096955016973002</v>
      </c>
      <c r="J70" s="7">
        <v>2.6903744964566396</v>
      </c>
    </row>
    <row r="71" spans="1:10">
      <c r="A71" s="24" t="s">
        <v>2053</v>
      </c>
      <c r="B71" s="24" t="s">
        <v>2058</v>
      </c>
      <c r="C71" s="28">
        <v>180</v>
      </c>
      <c r="D71" s="6">
        <v>6938201.6000000024</v>
      </c>
      <c r="E71" s="6">
        <v>3533612.8000000035</v>
      </c>
      <c r="F71" s="6">
        <v>1781817.6000000003</v>
      </c>
      <c r="G71" s="4">
        <v>782170.70399999956</v>
      </c>
      <c r="H71" s="4">
        <v>2096703.3600000008</v>
      </c>
      <c r="I71" s="7">
        <v>0.50424811682819315</v>
      </c>
      <c r="J71" s="7">
        <v>2.6806211857303235</v>
      </c>
    </row>
    <row r="72" spans="1:10">
      <c r="A72" s="24" t="s">
        <v>2053</v>
      </c>
      <c r="B72" s="24" t="s">
        <v>2059</v>
      </c>
      <c r="C72" s="28">
        <v>215</v>
      </c>
      <c r="D72" s="6">
        <v>8242921.5999999996</v>
      </c>
      <c r="E72" s="6">
        <v>4164604.8000000026</v>
      </c>
      <c r="F72" s="6">
        <v>1820695.9999999995</v>
      </c>
      <c r="G72" s="4">
        <v>866676.67199999967</v>
      </c>
      <c r="H72" s="4">
        <v>2228698.2080000001</v>
      </c>
      <c r="I72" s="7">
        <v>0.4371833793208898</v>
      </c>
      <c r="J72" s="7">
        <v>2.5715451678847092</v>
      </c>
    </row>
    <row r="73" spans="1:10">
      <c r="A73" s="24" t="s">
        <v>2053</v>
      </c>
      <c r="B73" s="24" t="s">
        <v>2060</v>
      </c>
      <c r="C73" s="28">
        <v>193</v>
      </c>
      <c r="D73" s="6">
        <v>7725601.5999999996</v>
      </c>
      <c r="E73" s="6">
        <v>3750080.0000000009</v>
      </c>
      <c r="F73" s="6">
        <v>1995979.2</v>
      </c>
      <c r="G73" s="4">
        <v>785568.89599999972</v>
      </c>
      <c r="H73" s="4">
        <v>2016015.7760000001</v>
      </c>
      <c r="I73" s="7">
        <v>0.53224976533833934</v>
      </c>
      <c r="J73" s="7">
        <v>2.5663131346788974</v>
      </c>
    </row>
    <row r="74" spans="1:10">
      <c r="A74" s="24" t="s">
        <v>2053</v>
      </c>
      <c r="B74" s="24" t="s">
        <v>2061</v>
      </c>
      <c r="C74" s="28">
        <v>211</v>
      </c>
      <c r="D74" s="6">
        <v>8784820.8000000045</v>
      </c>
      <c r="E74" s="6">
        <v>4113835.2</v>
      </c>
      <c r="F74" s="6">
        <v>2054876.8</v>
      </c>
      <c r="G74" s="4">
        <v>862970.19199999992</v>
      </c>
      <c r="H74" s="4">
        <v>2201334.5599999987</v>
      </c>
      <c r="I74" s="7">
        <v>0.49950391790123239</v>
      </c>
      <c r="J74" s="7">
        <v>2.5508813402908346</v>
      </c>
    </row>
    <row r="75" spans="1:10">
      <c r="A75" s="24" t="s">
        <v>2062</v>
      </c>
      <c r="B75" s="24" t="s">
        <v>2063</v>
      </c>
      <c r="C75" s="28">
        <v>216</v>
      </c>
      <c r="D75" s="6">
        <v>8758396.7999999989</v>
      </c>
      <c r="E75" s="6">
        <v>4351980.8000000007</v>
      </c>
      <c r="F75" s="6">
        <v>2049019.1999999997</v>
      </c>
      <c r="G75" s="4">
        <v>848981.0079999998</v>
      </c>
      <c r="H75" s="4">
        <v>2308103.7919999999</v>
      </c>
      <c r="I75" s="7">
        <v>0.47082450363751588</v>
      </c>
      <c r="J75" s="7">
        <v>2.7186754123479764</v>
      </c>
    </row>
    <row r="76" spans="1:10">
      <c r="A76" s="24" t="s">
        <v>2062</v>
      </c>
      <c r="B76" s="24" t="s">
        <v>2064</v>
      </c>
      <c r="C76" s="28">
        <v>186</v>
      </c>
      <c r="D76" s="6">
        <v>7135956.8000000007</v>
      </c>
      <c r="E76" s="6">
        <v>3521830.4000000008</v>
      </c>
      <c r="F76" s="6">
        <v>1883961.5999999989</v>
      </c>
      <c r="G76" s="4">
        <v>761214.86399999971</v>
      </c>
      <c r="H76" s="4">
        <v>1967463.5680000007</v>
      </c>
      <c r="I76" s="7">
        <v>0.53493819577456048</v>
      </c>
      <c r="J76" s="7">
        <v>2.5846362979060289</v>
      </c>
    </row>
    <row r="77" spans="1:10">
      <c r="A77" s="24" t="s">
        <v>2062</v>
      </c>
      <c r="B77" s="24" t="s">
        <v>2065</v>
      </c>
      <c r="C77" s="28">
        <v>36</v>
      </c>
      <c r="D77" s="6">
        <v>1393198.4000000001</v>
      </c>
      <c r="E77" s="6">
        <v>800822.4</v>
      </c>
      <c r="F77" s="6">
        <v>414972.8000000001</v>
      </c>
      <c r="G77" s="4">
        <v>158817.79200000002</v>
      </c>
      <c r="H77" s="4">
        <v>391827.90399999998</v>
      </c>
      <c r="I77" s="7">
        <v>0.51818330755982867</v>
      </c>
      <c r="J77" s="7">
        <v>2.4671537052977035</v>
      </c>
    </row>
    <row r="78" spans="1:10">
      <c r="H78"/>
      <c r="I78"/>
    </row>
    <row r="79" spans="1:10">
      <c r="E79"/>
      <c r="F79"/>
      <c r="G79"/>
      <c r="H79"/>
      <c r="I79"/>
    </row>
    <row r="80" spans="1:10">
      <c r="E80"/>
      <c r="F80"/>
      <c r="G80"/>
      <c r="H80"/>
      <c r="I80"/>
    </row>
    <row r="81" spans="1:10">
      <c r="E81"/>
      <c r="F81"/>
      <c r="G81"/>
      <c r="H81"/>
      <c r="I81"/>
    </row>
    <row r="82" spans="1:10">
      <c r="A82" s="24" t="s">
        <v>2045</v>
      </c>
      <c r="B82" s="24" t="s">
        <v>2044</v>
      </c>
      <c r="C82" s="24" t="s">
        <v>2043</v>
      </c>
      <c r="D82" s="4" t="s">
        <v>2041</v>
      </c>
      <c r="E82" s="4" t="s">
        <v>2042</v>
      </c>
      <c r="F82" s="24" t="s">
        <v>2080</v>
      </c>
      <c r="G82" s="24" t="s">
        <v>2081</v>
      </c>
      <c r="H82"/>
      <c r="I82"/>
    </row>
    <row r="83" spans="1:10">
      <c r="A83" s="6">
        <v>80192134.400000095</v>
      </c>
      <c r="B83" s="6">
        <v>40281337.600000061</v>
      </c>
      <c r="C83" s="6">
        <v>20255652.800000001</v>
      </c>
      <c r="D83" s="4">
        <v>8157198.2559999917</v>
      </c>
      <c r="E83" s="4">
        <v>21221739.03999998</v>
      </c>
      <c r="F83" s="32">
        <v>0.50316246907861051</v>
      </c>
      <c r="G83" s="32">
        <v>2.5964181673842668</v>
      </c>
      <c r="H83"/>
      <c r="I83"/>
    </row>
    <row r="84" spans="1:10">
      <c r="H84"/>
      <c r="I84"/>
    </row>
    <row r="85" spans="1:10">
      <c r="E85"/>
      <c r="F85"/>
      <c r="G85"/>
      <c r="H85"/>
      <c r="I85"/>
    </row>
    <row r="86" spans="1:10">
      <c r="E86"/>
      <c r="F86"/>
      <c r="G86"/>
      <c r="H86"/>
      <c r="I86"/>
    </row>
    <row r="87" spans="1:10">
      <c r="A87" s="27" t="s">
        <v>2</v>
      </c>
      <c r="B87" s="7" t="s">
        <v>2078</v>
      </c>
      <c r="C87" s="7" t="s">
        <v>2079</v>
      </c>
      <c r="D87" s="7" t="s">
        <v>2048</v>
      </c>
      <c r="E87"/>
      <c r="F87" s="27" t="s">
        <v>2049</v>
      </c>
      <c r="G87" s="27" t="s">
        <v>2050</v>
      </c>
      <c r="H87" s="24" t="s">
        <v>2045</v>
      </c>
      <c r="I87" s="24" t="s">
        <v>2044</v>
      </c>
      <c r="J87" s="24" t="s">
        <v>2043</v>
      </c>
    </row>
    <row r="88" spans="1:10">
      <c r="A88" s="24" t="s">
        <v>41</v>
      </c>
      <c r="B88" s="7">
        <v>0.51491308008738923</v>
      </c>
      <c r="C88" s="7">
        <v>0.50887982489478767</v>
      </c>
      <c r="D88" s="7">
        <v>2.6107472545725172</v>
      </c>
      <c r="E88"/>
      <c r="F88" s="24" t="s">
        <v>2053</v>
      </c>
      <c r="G88" s="24" t="s">
        <v>2054</v>
      </c>
      <c r="H88" s="6">
        <v>6956924.8000000035</v>
      </c>
      <c r="I88" s="6">
        <v>3514444.8000000007</v>
      </c>
      <c r="J88" s="6">
        <v>1833777.6000000003</v>
      </c>
    </row>
    <row r="89" spans="1:10">
      <c r="A89" s="24" t="s">
        <v>21</v>
      </c>
      <c r="B89" s="7">
        <v>0.49168831825575637</v>
      </c>
      <c r="C89" s="7">
        <v>0.50734415048519521</v>
      </c>
      <c r="D89" s="7">
        <v>2.5649307690766632</v>
      </c>
      <c r="E89"/>
      <c r="F89" s="24" t="s">
        <v>2053</v>
      </c>
      <c r="G89" s="24" t="s">
        <v>2055</v>
      </c>
      <c r="H89" s="6">
        <v>7032763.2000000011</v>
      </c>
      <c r="I89" s="6">
        <v>3475296.0000000005</v>
      </c>
      <c r="J89" s="6">
        <v>1792078.4000000001</v>
      </c>
    </row>
    <row r="90" spans="1:10">
      <c r="A90" s="24" t="s">
        <v>29</v>
      </c>
      <c r="B90" s="7">
        <v>0.48710209479652555</v>
      </c>
      <c r="C90" s="7">
        <v>0.48369756274503506</v>
      </c>
      <c r="D90" s="7">
        <v>2.6181356695793081</v>
      </c>
      <c r="E90"/>
      <c r="F90" s="24" t="s">
        <v>2053</v>
      </c>
      <c r="G90" s="24" t="s">
        <v>2056</v>
      </c>
      <c r="H90" s="6">
        <v>8278523.1999999993</v>
      </c>
      <c r="I90" s="6">
        <v>4329208.0000000009</v>
      </c>
      <c r="J90" s="6">
        <v>2119311.9999999995</v>
      </c>
    </row>
    <row r="91" spans="1:10">
      <c r="A91" s="24" t="s">
        <v>48</v>
      </c>
      <c r="B91" s="7">
        <v>0.51559711190645963</v>
      </c>
      <c r="C91" s="7">
        <v>0.50995487820501895</v>
      </c>
      <c r="D91" s="7">
        <v>2.6131713978054378</v>
      </c>
      <c r="E91"/>
      <c r="F91" s="24" t="s">
        <v>2053</v>
      </c>
      <c r="G91" s="24" t="s">
        <v>2057</v>
      </c>
      <c r="H91" s="6">
        <v>8944825.5999999978</v>
      </c>
      <c r="I91" s="6">
        <v>4725622.3999999966</v>
      </c>
      <c r="J91" s="6">
        <v>2509161.5999999982</v>
      </c>
    </row>
    <row r="92" spans="1:10">
      <c r="A92" s="24" t="s">
        <v>2067</v>
      </c>
      <c r="B92" s="7">
        <v>0.50231033132346725</v>
      </c>
      <c r="C92" s="7">
        <v>0.50285452288456201</v>
      </c>
      <c r="D92" s="7">
        <v>2.6015965744599212</v>
      </c>
      <c r="E92"/>
      <c r="F92" s="24" t="s">
        <v>2053</v>
      </c>
      <c r="G92" s="24" t="s">
        <v>2058</v>
      </c>
      <c r="H92" s="6">
        <v>6938201.6000000024</v>
      </c>
      <c r="I92" s="6">
        <v>3533612.8000000035</v>
      </c>
      <c r="J92" s="6">
        <v>1781817.6000000003</v>
      </c>
    </row>
    <row r="93" spans="1:10">
      <c r="E93"/>
      <c r="F93" s="24" t="s">
        <v>2053</v>
      </c>
      <c r="G93" s="24" t="s">
        <v>2059</v>
      </c>
      <c r="H93" s="6">
        <v>8242921.5999999996</v>
      </c>
      <c r="I93" s="6">
        <v>4164604.8000000026</v>
      </c>
      <c r="J93" s="6">
        <v>1820695.9999999995</v>
      </c>
    </row>
    <row r="94" spans="1:10">
      <c r="E94"/>
      <c r="F94" s="24" t="s">
        <v>2053</v>
      </c>
      <c r="G94" s="24" t="s">
        <v>2060</v>
      </c>
      <c r="H94" s="6">
        <v>7725601.5999999996</v>
      </c>
      <c r="I94" s="6">
        <v>3750080.0000000009</v>
      </c>
      <c r="J94" s="6">
        <v>1995979.2</v>
      </c>
    </row>
    <row r="95" spans="1:10">
      <c r="A95" s="27" t="s">
        <v>2</v>
      </c>
      <c r="B95" s="24" t="s">
        <v>2045</v>
      </c>
      <c r="C95" s="24" t="s">
        <v>2043</v>
      </c>
      <c r="D95" s="4" t="s">
        <v>2066</v>
      </c>
      <c r="E95"/>
      <c r="F95" s="24" t="s">
        <v>2053</v>
      </c>
      <c r="G95" s="24" t="s">
        <v>2061</v>
      </c>
      <c r="H95" s="6">
        <v>8784820.8000000045</v>
      </c>
      <c r="I95" s="6">
        <v>4113835.2</v>
      </c>
      <c r="J95" s="6">
        <v>2054876.8</v>
      </c>
    </row>
    <row r="96" spans="1:10">
      <c r="A96" s="24" t="s">
        <v>41</v>
      </c>
      <c r="B96" s="6">
        <v>20505220.799999986</v>
      </c>
      <c r="C96" s="6">
        <v>5372960.0000000019</v>
      </c>
      <c r="D96" s="4">
        <v>2028667.6800000006</v>
      </c>
      <c r="E96"/>
      <c r="F96" s="24" t="s">
        <v>2062</v>
      </c>
      <c r="G96" s="24" t="s">
        <v>2063</v>
      </c>
      <c r="H96" s="6">
        <v>8758396.7999999989</v>
      </c>
      <c r="I96" s="6">
        <v>4351980.8000000007</v>
      </c>
      <c r="J96" s="6">
        <v>2049019.1999999997</v>
      </c>
    </row>
    <row r="97" spans="1:11">
      <c r="A97" s="24" t="s">
        <v>21</v>
      </c>
      <c r="B97" s="6">
        <v>20882224</v>
      </c>
      <c r="C97" s="6">
        <v>5209179.2000000011</v>
      </c>
      <c r="D97" s="4">
        <v>2065317.5359999996</v>
      </c>
      <c r="E97"/>
      <c r="F97" s="24" t="s">
        <v>2062</v>
      </c>
      <c r="G97" s="24" t="s">
        <v>2064</v>
      </c>
      <c r="H97" s="6">
        <v>7135956.8000000007</v>
      </c>
      <c r="I97" s="6">
        <v>3521830.4000000008</v>
      </c>
      <c r="J97" s="6">
        <v>1883961.5999999989</v>
      </c>
    </row>
    <row r="98" spans="1:11">
      <c r="A98" s="24" t="s">
        <v>29</v>
      </c>
      <c r="B98" s="6">
        <v>19378836.800000001</v>
      </c>
      <c r="C98" s="6">
        <v>4565849.6000000006</v>
      </c>
      <c r="D98" s="4">
        <v>2040957.6960000007</v>
      </c>
      <c r="E98"/>
      <c r="F98" s="24" t="s">
        <v>2062</v>
      </c>
      <c r="G98" s="24" t="s">
        <v>2065</v>
      </c>
      <c r="H98" s="6">
        <v>1393198.4000000001</v>
      </c>
      <c r="I98" s="6">
        <v>800822.4</v>
      </c>
      <c r="J98" s="6">
        <v>414972.8000000001</v>
      </c>
    </row>
    <row r="99" spans="1:11">
      <c r="A99" s="24" t="s">
        <v>48</v>
      </c>
      <c r="B99" s="6">
        <v>19425852.799999986</v>
      </c>
      <c r="C99" s="6">
        <v>5107663.9999999953</v>
      </c>
      <c r="D99" s="4">
        <v>2022255.3440000005</v>
      </c>
      <c r="E99"/>
      <c r="F99" s="24" t="s">
        <v>2067</v>
      </c>
      <c r="G99" s="24"/>
      <c r="H99" s="6">
        <v>80192134.400000021</v>
      </c>
      <c r="I99" s="6">
        <v>40281337.600000001</v>
      </c>
      <c r="J99" s="6">
        <v>20255652.799999997</v>
      </c>
    </row>
    <row r="100" spans="1:11">
      <c r="A100" s="24" t="s">
        <v>2067</v>
      </c>
      <c r="B100" s="6">
        <v>80192134.399999961</v>
      </c>
      <c r="C100" s="6">
        <v>20255652.800000001</v>
      </c>
      <c r="D100" s="4">
        <v>8157198.256000001</v>
      </c>
      <c r="E100"/>
    </row>
    <row r="101" spans="1:11">
      <c r="E101"/>
    </row>
    <row r="102" spans="1:11">
      <c r="E102"/>
    </row>
    <row r="103" spans="1:11">
      <c r="A103" s="27" t="s">
        <v>11</v>
      </c>
      <c r="B103" s="24" t="s">
        <v>2073</v>
      </c>
      <c r="C103" s="4" t="s">
        <v>2074</v>
      </c>
      <c r="E103" s="27" t="s">
        <v>12</v>
      </c>
      <c r="F103" s="24" t="s">
        <v>2073</v>
      </c>
      <c r="G103" s="24" t="s">
        <v>2074</v>
      </c>
      <c r="I103" s="26" t="s">
        <v>10</v>
      </c>
      <c r="J103" t="s">
        <v>2073</v>
      </c>
      <c r="K103" t="s">
        <v>2042</v>
      </c>
    </row>
    <row r="104" spans="1:11">
      <c r="A104" s="24" t="s">
        <v>35</v>
      </c>
      <c r="B104" s="6">
        <v>4079350.4000000004</v>
      </c>
      <c r="C104" s="4">
        <v>4268392.5759999994</v>
      </c>
      <c r="E104" s="24" t="s">
        <v>32</v>
      </c>
      <c r="F104" s="28">
        <v>9917454.3999999911</v>
      </c>
      <c r="G104" s="28">
        <v>10418498.560000001</v>
      </c>
      <c r="I104" s="29" t="s">
        <v>38</v>
      </c>
      <c r="J104" s="30">
        <v>3767998.399999999</v>
      </c>
      <c r="K104" s="30">
        <v>3966151.2959999992</v>
      </c>
    </row>
    <row r="105" spans="1:11">
      <c r="A105" s="24" t="s">
        <v>23</v>
      </c>
      <c r="B105" s="6">
        <v>4058723.2</v>
      </c>
      <c r="C105" s="4">
        <v>4042096.7839999995</v>
      </c>
      <c r="E105" s="24" t="s">
        <v>24</v>
      </c>
      <c r="F105" s="28">
        <v>10338198.400000019</v>
      </c>
      <c r="G105" s="28">
        <v>10803240.48</v>
      </c>
      <c r="I105" s="29" t="s">
        <v>22</v>
      </c>
      <c r="J105" s="30">
        <v>4058095.9999999967</v>
      </c>
      <c r="K105" s="30">
        <v>3979002.9280000012</v>
      </c>
    </row>
    <row r="106" spans="1:11">
      <c r="A106" s="24" t="s">
        <v>50</v>
      </c>
      <c r="B106" s="6">
        <v>4094043.1999999997</v>
      </c>
      <c r="C106" s="4">
        <v>3936338.0159999956</v>
      </c>
      <c r="E106" s="24" t="s">
        <v>2067</v>
      </c>
      <c r="F106" s="28">
        <v>20255652.800000012</v>
      </c>
      <c r="G106" s="28">
        <v>21221739.039999999</v>
      </c>
      <c r="I106" s="29" t="s">
        <v>30</v>
      </c>
      <c r="J106" s="30">
        <v>4634439.9999999981</v>
      </c>
      <c r="K106" s="30">
        <v>4734339.0879999995</v>
      </c>
    </row>
    <row r="107" spans="1:11">
      <c r="A107" s="24" t="s">
        <v>31</v>
      </c>
      <c r="B107" s="6">
        <v>3715900.7999999975</v>
      </c>
      <c r="C107" s="4">
        <v>4653910.4640000015</v>
      </c>
      <c r="E107"/>
      <c r="I107" s="29" t="s">
        <v>65</v>
      </c>
      <c r="J107" s="30">
        <v>3976862.4000000008</v>
      </c>
      <c r="K107" s="30">
        <v>4362287.84</v>
      </c>
    </row>
    <row r="108" spans="1:11">
      <c r="A108" s="24" t="s">
        <v>44</v>
      </c>
      <c r="B108" s="6">
        <v>4307635.1999999983</v>
      </c>
      <c r="C108" s="4">
        <v>4321001.2000000039</v>
      </c>
      <c r="E108"/>
      <c r="F108"/>
      <c r="G108"/>
      <c r="H108"/>
      <c r="I108" s="29" t="s">
        <v>43</v>
      </c>
      <c r="J108" s="30">
        <v>3818255.9999999995</v>
      </c>
      <c r="K108" s="30">
        <v>4179957.8879999984</v>
      </c>
    </row>
    <row r="109" spans="1:11">
      <c r="A109" s="24" t="s">
        <v>2067</v>
      </c>
      <c r="B109" s="6">
        <v>20255652.799999997</v>
      </c>
      <c r="C109" s="4">
        <v>21221739.039999999</v>
      </c>
      <c r="E109"/>
      <c r="F109"/>
      <c r="G109"/>
      <c r="H109"/>
      <c r="I109" s="29" t="s">
        <v>2067</v>
      </c>
      <c r="J109" s="30">
        <v>20255652.799999993</v>
      </c>
      <c r="K109" s="30">
        <v>21221739.039999999</v>
      </c>
    </row>
    <row r="110" spans="1:11">
      <c r="E110"/>
      <c r="F110"/>
      <c r="G110"/>
      <c r="H110"/>
      <c r="I110"/>
    </row>
    <row r="111" spans="1:11">
      <c r="E111"/>
      <c r="F111"/>
      <c r="G111"/>
      <c r="H111"/>
      <c r="I111"/>
    </row>
    <row r="112" spans="1:11">
      <c r="E112"/>
      <c r="F112"/>
      <c r="G112"/>
      <c r="H112"/>
      <c r="I112"/>
    </row>
    <row r="113" spans="5:9">
      <c r="E113"/>
      <c r="F113"/>
      <c r="G113"/>
      <c r="H113"/>
      <c r="I113"/>
    </row>
    <row r="114" spans="5:9">
      <c r="E114"/>
      <c r="F114"/>
      <c r="I114"/>
    </row>
    <row r="115" spans="5:9">
      <c r="E115"/>
      <c r="F115"/>
      <c r="I115"/>
    </row>
    <row r="116" spans="5:9">
      <c r="E116"/>
      <c r="F116"/>
      <c r="I116"/>
    </row>
    <row r="117" spans="5:9">
      <c r="E117"/>
      <c r="F117"/>
      <c r="I117"/>
    </row>
    <row r="118" spans="5:9">
      <c r="E118"/>
      <c r="F118"/>
      <c r="I118"/>
    </row>
    <row r="119" spans="5:9">
      <c r="E119"/>
      <c r="F119"/>
      <c r="I119"/>
    </row>
    <row r="120" spans="5:9">
      <c r="E120"/>
      <c r="F120"/>
      <c r="I120"/>
    </row>
    <row r="121" spans="5:9">
      <c r="E121"/>
      <c r="F121"/>
      <c r="G121"/>
      <c r="H121"/>
      <c r="I121"/>
    </row>
    <row r="122" spans="5:9">
      <c r="E122"/>
      <c r="F122"/>
      <c r="G122"/>
      <c r="H122"/>
      <c r="I122"/>
    </row>
    <row r="123" spans="5:9">
      <c r="E123"/>
      <c r="F123"/>
      <c r="G123"/>
      <c r="H123"/>
      <c r="I123"/>
    </row>
    <row r="124" spans="5:9">
      <c r="E124"/>
      <c r="F124"/>
      <c r="G124"/>
      <c r="H124"/>
      <c r="I124"/>
    </row>
    <row r="125" spans="5:9">
      <c r="E125"/>
      <c r="F125"/>
      <c r="G125"/>
      <c r="H125"/>
      <c r="I125"/>
    </row>
    <row r="126" spans="5:9">
      <c r="E126"/>
      <c r="F126"/>
      <c r="G126"/>
      <c r="H126"/>
      <c r="I126"/>
    </row>
    <row r="127" spans="5:9">
      <c r="E127"/>
      <c r="F127"/>
      <c r="G127"/>
      <c r="H127"/>
      <c r="I127"/>
    </row>
    <row r="128" spans="5:9">
      <c r="E128"/>
      <c r="F128"/>
      <c r="G128"/>
      <c r="H128"/>
      <c r="I128"/>
    </row>
    <row r="129" spans="5:9">
      <c r="E129"/>
      <c r="F129"/>
      <c r="G129"/>
      <c r="H129"/>
      <c r="I129"/>
    </row>
    <row r="130" spans="5:9">
      <c r="E130"/>
      <c r="F130"/>
      <c r="G130"/>
      <c r="H130"/>
      <c r="I130"/>
    </row>
    <row r="131" spans="5:9">
      <c r="E131"/>
      <c r="F131"/>
      <c r="G131"/>
      <c r="H131"/>
      <c r="I131"/>
    </row>
    <row r="132" spans="5:9">
      <c r="E132"/>
      <c r="F132"/>
      <c r="G132"/>
      <c r="H132"/>
      <c r="I132"/>
    </row>
    <row r="133" spans="5:9">
      <c r="E133"/>
      <c r="F133"/>
      <c r="G133"/>
    </row>
    <row r="134" spans="5:9">
      <c r="E134"/>
      <c r="F134"/>
      <c r="G134"/>
    </row>
    <row r="135" spans="5:9">
      <c r="E135"/>
      <c r="F135"/>
      <c r="G135"/>
    </row>
    <row r="136" spans="5:9">
      <c r="E136"/>
      <c r="F136"/>
      <c r="G136"/>
    </row>
    <row r="137" spans="5:9">
      <c r="E137"/>
      <c r="F137"/>
      <c r="G137"/>
    </row>
    <row r="138" spans="5:9">
      <c r="E138"/>
      <c r="F138"/>
      <c r="G138"/>
    </row>
    <row r="139" spans="5:9">
      <c r="E139"/>
      <c r="F139"/>
      <c r="G139"/>
    </row>
    <row r="140" spans="5:9">
      <c r="F140"/>
    </row>
    <row r="141" spans="5:9">
      <c r="F141"/>
    </row>
    <row r="142" spans="5:9">
      <c r="F142"/>
    </row>
    <row r="143" spans="5:9">
      <c r="F143"/>
    </row>
    <row r="144" spans="5:9">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6">
      <c r="F186"/>
    </row>
    <row r="187" spans="6:6">
      <c r="F187"/>
    </row>
    <row r="188" spans="6:6">
      <c r="F188"/>
    </row>
    <row r="189" spans="6:6">
      <c r="F189"/>
    </row>
    <row r="190" spans="6:6">
      <c r="F190"/>
    </row>
    <row r="191" spans="6:6">
      <c r="F191"/>
    </row>
    <row r="192" spans="6:6">
      <c r="F192"/>
    </row>
    <row r="193" spans="6:6">
      <c r="F193"/>
    </row>
    <row r="194" spans="6:6">
      <c r="F194"/>
    </row>
    <row r="195" spans="6:6">
      <c r="F195"/>
    </row>
    <row r="196" spans="6:6">
      <c r="F196"/>
    </row>
    <row r="197" spans="6:6">
      <c r="F197"/>
    </row>
    <row r="198" spans="6:6">
      <c r="F198"/>
    </row>
    <row r="199" spans="6:6">
      <c r="F199"/>
    </row>
    <row r="200" spans="6:6">
      <c r="F200"/>
    </row>
    <row r="201" spans="6:6">
      <c r="F201"/>
    </row>
    <row r="202" spans="6:6">
      <c r="F202"/>
    </row>
    <row r="203" spans="6:6">
      <c r="F203"/>
    </row>
    <row r="204" spans="6:6">
      <c r="F204"/>
    </row>
    <row r="205" spans="6:6">
      <c r="F205"/>
    </row>
    <row r="206" spans="6:6">
      <c r="F206"/>
    </row>
    <row r="207" spans="6:6">
      <c r="F207"/>
    </row>
    <row r="208" spans="6:6">
      <c r="F208"/>
    </row>
    <row r="209" spans="6:6">
      <c r="F209"/>
    </row>
    <row r="210" spans="6:6">
      <c r="F210"/>
    </row>
    <row r="211" spans="6:6">
      <c r="F211"/>
    </row>
    <row r="212" spans="6:6">
      <c r="F212"/>
    </row>
    <row r="213" spans="6:6">
      <c r="F213"/>
    </row>
    <row r="214" spans="6:6">
      <c r="F214"/>
    </row>
    <row r="215" spans="6:6">
      <c r="F215"/>
    </row>
    <row r="216" spans="6:6">
      <c r="F216"/>
    </row>
    <row r="217" spans="6:6">
      <c r="F217"/>
    </row>
    <row r="218" spans="6:6">
      <c r="F218"/>
    </row>
    <row r="219" spans="6:6">
      <c r="F219"/>
    </row>
    <row r="220" spans="6:6">
      <c r="F220"/>
    </row>
    <row r="221" spans="6:6">
      <c r="F221"/>
    </row>
    <row r="222" spans="6:6">
      <c r="F222"/>
    </row>
    <row r="223" spans="6:6">
      <c r="F223"/>
    </row>
    <row r="224" spans="6:6">
      <c r="F224"/>
    </row>
    <row r="225" spans="6:6">
      <c r="F225"/>
    </row>
    <row r="226" spans="6:6">
      <c r="F226"/>
    </row>
    <row r="227" spans="6:6">
      <c r="F227"/>
    </row>
    <row r="228" spans="6:6">
      <c r="F228"/>
    </row>
    <row r="229" spans="6:6">
      <c r="F229"/>
    </row>
    <row r="230" spans="6:6">
      <c r="F230"/>
    </row>
    <row r="231" spans="6:6">
      <c r="F231"/>
    </row>
    <row r="232" spans="6:6">
      <c r="F232"/>
    </row>
    <row r="233" spans="6:6">
      <c r="F233"/>
    </row>
    <row r="234" spans="6:6">
      <c r="F234"/>
    </row>
    <row r="235" spans="6:6">
      <c r="F235"/>
    </row>
    <row r="236" spans="6:6">
      <c r="F236"/>
    </row>
    <row r="237" spans="6:6">
      <c r="F237"/>
    </row>
    <row r="238" spans="6:6">
      <c r="F238"/>
    </row>
    <row r="239" spans="6:6">
      <c r="F239"/>
    </row>
    <row r="240" spans="6:6">
      <c r="F240"/>
    </row>
    <row r="241" spans="6:6">
      <c r="F241"/>
    </row>
    <row r="242" spans="6:6">
      <c r="F242"/>
    </row>
    <row r="243" spans="6:6">
      <c r="F243"/>
    </row>
    <row r="244" spans="6:6">
      <c r="F244"/>
    </row>
    <row r="245" spans="6:6">
      <c r="F245"/>
    </row>
    <row r="246" spans="6:6">
      <c r="F246"/>
    </row>
    <row r="247" spans="6:6">
      <c r="F247"/>
    </row>
    <row r="248" spans="6:6">
      <c r="F248"/>
    </row>
    <row r="249" spans="6:6">
      <c r="F249"/>
    </row>
    <row r="250" spans="6:6">
      <c r="F250"/>
    </row>
    <row r="251" spans="6:6">
      <c r="F251"/>
    </row>
    <row r="252" spans="6:6">
      <c r="F252"/>
    </row>
    <row r="253" spans="6:6">
      <c r="F253"/>
    </row>
    <row r="254" spans="6:6">
      <c r="F254"/>
    </row>
    <row r="255" spans="6:6">
      <c r="F255"/>
    </row>
    <row r="256" spans="6:6">
      <c r="F256"/>
    </row>
    <row r="257" spans="6:6">
      <c r="F257"/>
    </row>
    <row r="258" spans="6:6">
      <c r="F258"/>
    </row>
    <row r="259" spans="6:6">
      <c r="F259"/>
    </row>
    <row r="260" spans="6:6">
      <c r="F260"/>
    </row>
    <row r="261" spans="6:6">
      <c r="F261"/>
    </row>
    <row r="262" spans="6:6">
      <c r="F262"/>
    </row>
    <row r="263" spans="6:6">
      <c r="F263"/>
    </row>
    <row r="264" spans="6:6">
      <c r="F264"/>
    </row>
    <row r="265" spans="6:6">
      <c r="F265"/>
    </row>
    <row r="266" spans="6:6">
      <c r="F266"/>
    </row>
    <row r="267" spans="6:6">
      <c r="F267"/>
    </row>
    <row r="268" spans="6:6">
      <c r="F268"/>
    </row>
    <row r="269" spans="6:6">
      <c r="F269"/>
    </row>
    <row r="270" spans="6:6">
      <c r="F270"/>
    </row>
    <row r="271" spans="6:6">
      <c r="F271"/>
    </row>
    <row r="272" spans="6:6">
      <c r="F272"/>
    </row>
    <row r="273" spans="6:6">
      <c r="F273"/>
    </row>
    <row r="274" spans="6:6">
      <c r="F274"/>
    </row>
    <row r="275" spans="6:6">
      <c r="F275"/>
    </row>
    <row r="276" spans="6:6">
      <c r="F276"/>
    </row>
    <row r="277" spans="6:6">
      <c r="F277"/>
    </row>
    <row r="278" spans="6:6">
      <c r="F278"/>
    </row>
    <row r="279" spans="6:6">
      <c r="F279"/>
    </row>
    <row r="280" spans="6:6">
      <c r="F280"/>
    </row>
    <row r="281" spans="6:6">
      <c r="F281"/>
    </row>
    <row r="282" spans="6:6">
      <c r="F282"/>
    </row>
    <row r="283" spans="6:6">
      <c r="F283"/>
    </row>
    <row r="284" spans="6:6">
      <c r="F284"/>
    </row>
    <row r="285" spans="6:6">
      <c r="F285"/>
    </row>
    <row r="286" spans="6:6">
      <c r="F286"/>
    </row>
    <row r="287" spans="6:6">
      <c r="F287"/>
    </row>
    <row r="288" spans="6:6">
      <c r="F288"/>
    </row>
    <row r="289" spans="6:6">
      <c r="F289"/>
    </row>
    <row r="290" spans="6:6">
      <c r="F290"/>
    </row>
    <row r="291" spans="6:6">
      <c r="F291"/>
    </row>
    <row r="292" spans="6:6">
      <c r="F292"/>
    </row>
    <row r="293" spans="6:6">
      <c r="F293"/>
    </row>
    <row r="294" spans="6:6">
      <c r="F294"/>
    </row>
    <row r="295" spans="6:6">
      <c r="F295"/>
    </row>
    <row r="296" spans="6:6">
      <c r="F296"/>
    </row>
    <row r="297" spans="6:6">
      <c r="F297"/>
    </row>
    <row r="298" spans="6:6">
      <c r="F298"/>
    </row>
    <row r="299" spans="6:6">
      <c r="F299"/>
    </row>
    <row r="300" spans="6:6">
      <c r="F300"/>
    </row>
    <row r="301" spans="6:6">
      <c r="F301"/>
    </row>
    <row r="302" spans="6:6">
      <c r="F302"/>
    </row>
    <row r="303" spans="6:6">
      <c r="F303"/>
    </row>
    <row r="304" spans="6:6">
      <c r="F304"/>
    </row>
    <row r="305" spans="6:6">
      <c r="F305"/>
    </row>
    <row r="306" spans="6:6">
      <c r="F306"/>
    </row>
    <row r="307" spans="6:6">
      <c r="F307"/>
    </row>
    <row r="308" spans="6:6">
      <c r="F308"/>
    </row>
    <row r="309" spans="6:6">
      <c r="F309"/>
    </row>
    <row r="310" spans="6:6">
      <c r="F310"/>
    </row>
    <row r="311" spans="6:6">
      <c r="F311"/>
    </row>
    <row r="312" spans="6:6">
      <c r="F312"/>
    </row>
    <row r="313" spans="6:6">
      <c r="F313"/>
    </row>
    <row r="314" spans="6:6">
      <c r="F314"/>
    </row>
    <row r="315" spans="6:6">
      <c r="F315"/>
    </row>
    <row r="316" spans="6:6">
      <c r="F316"/>
    </row>
    <row r="317" spans="6:6">
      <c r="F317"/>
    </row>
    <row r="318" spans="6:6">
      <c r="F318"/>
    </row>
    <row r="319" spans="6:6">
      <c r="F319"/>
    </row>
    <row r="320" spans="6:6">
      <c r="F320"/>
    </row>
    <row r="321" spans="6:6">
      <c r="F321"/>
    </row>
    <row r="322" spans="6:6">
      <c r="F322"/>
    </row>
    <row r="323" spans="6:6">
      <c r="F323"/>
    </row>
    <row r="324" spans="6:6">
      <c r="F324"/>
    </row>
    <row r="325" spans="6:6">
      <c r="F325"/>
    </row>
    <row r="326" spans="6:6">
      <c r="F326"/>
    </row>
    <row r="327" spans="6:6">
      <c r="F327"/>
    </row>
    <row r="328" spans="6:6">
      <c r="F328"/>
    </row>
    <row r="329" spans="6:6">
      <c r="F329"/>
    </row>
    <row r="330" spans="6:6">
      <c r="F330"/>
    </row>
    <row r="331" spans="6:6">
      <c r="F331"/>
    </row>
    <row r="332" spans="6:6">
      <c r="F332"/>
    </row>
    <row r="333" spans="6:6">
      <c r="F333"/>
    </row>
    <row r="334" spans="6:6">
      <c r="F334"/>
    </row>
    <row r="335" spans="6:6">
      <c r="F335"/>
    </row>
    <row r="336" spans="6:6">
      <c r="F336"/>
    </row>
    <row r="337" spans="6:6">
      <c r="F337"/>
    </row>
    <row r="338" spans="6:6">
      <c r="F338"/>
    </row>
    <row r="339" spans="6:6">
      <c r="F339"/>
    </row>
    <row r="340" spans="6:6">
      <c r="F340"/>
    </row>
    <row r="341" spans="6:6">
      <c r="F341"/>
    </row>
    <row r="342" spans="6:6">
      <c r="F342"/>
    </row>
    <row r="343" spans="6:6">
      <c r="F343"/>
    </row>
    <row r="344" spans="6:6">
      <c r="F344"/>
    </row>
    <row r="345" spans="6:6">
      <c r="F345"/>
    </row>
    <row r="346" spans="6:6">
      <c r="F346"/>
    </row>
    <row r="347" spans="6:6">
      <c r="F347"/>
    </row>
    <row r="348" spans="6:6">
      <c r="F348"/>
    </row>
    <row r="349" spans="6:6">
      <c r="F349"/>
    </row>
    <row r="350" spans="6:6">
      <c r="F350"/>
    </row>
    <row r="351" spans="6:6">
      <c r="F351"/>
    </row>
    <row r="352" spans="6:6">
      <c r="F352"/>
    </row>
    <row r="353" spans="6:6">
      <c r="F353"/>
    </row>
    <row r="354" spans="6:6">
      <c r="F354"/>
    </row>
    <row r="355" spans="6:6">
      <c r="F355"/>
    </row>
    <row r="356" spans="6:6">
      <c r="F356"/>
    </row>
    <row r="357" spans="6:6">
      <c r="F357"/>
    </row>
    <row r="358" spans="6:6">
      <c r="F358"/>
    </row>
    <row r="359" spans="6:6">
      <c r="F359"/>
    </row>
    <row r="360" spans="6:6">
      <c r="F360"/>
    </row>
    <row r="361" spans="6:6">
      <c r="F361"/>
    </row>
    <row r="362" spans="6:6">
      <c r="F362"/>
    </row>
    <row r="363" spans="6:6">
      <c r="F363"/>
    </row>
    <row r="364" spans="6:6">
      <c r="F364"/>
    </row>
    <row r="365" spans="6:6">
      <c r="F365"/>
    </row>
    <row r="366" spans="6:6">
      <c r="F366"/>
    </row>
    <row r="367" spans="6:6">
      <c r="F367"/>
    </row>
    <row r="368" spans="6:6">
      <c r="F368"/>
    </row>
    <row r="369" spans="6:6">
      <c r="F369"/>
    </row>
    <row r="370" spans="6:6">
      <c r="F370"/>
    </row>
    <row r="371" spans="6:6">
      <c r="F371"/>
    </row>
    <row r="372" spans="6:6">
      <c r="F372"/>
    </row>
    <row r="373" spans="6:6">
      <c r="F373"/>
    </row>
    <row r="374" spans="6:6">
      <c r="F374"/>
    </row>
    <row r="375" spans="6:6">
      <c r="F375"/>
    </row>
    <row r="376" spans="6:6">
      <c r="F376"/>
    </row>
    <row r="377" spans="6:6">
      <c r="F377"/>
    </row>
    <row r="378" spans="6:6">
      <c r="F378"/>
    </row>
    <row r="379" spans="6:6">
      <c r="F379"/>
    </row>
    <row r="380" spans="6:6">
      <c r="F380"/>
    </row>
    <row r="381" spans="6:6">
      <c r="F381"/>
    </row>
    <row r="382" spans="6:6">
      <c r="F382"/>
    </row>
    <row r="383" spans="6:6">
      <c r="F383"/>
    </row>
    <row r="384" spans="6:6">
      <c r="F384"/>
    </row>
    <row r="385" spans="6:6">
      <c r="F385"/>
    </row>
    <row r="386" spans="6:6">
      <c r="F386"/>
    </row>
    <row r="387" spans="6:6">
      <c r="F387"/>
    </row>
    <row r="388" spans="6:6">
      <c r="F388"/>
    </row>
    <row r="389" spans="6:6">
      <c r="F389"/>
    </row>
    <row r="390" spans="6:6">
      <c r="F390"/>
    </row>
    <row r="391" spans="6:6">
      <c r="F391"/>
    </row>
    <row r="392" spans="6:6">
      <c r="F392"/>
    </row>
    <row r="393" spans="6:6">
      <c r="F393"/>
    </row>
    <row r="394" spans="6:6">
      <c r="F394"/>
    </row>
    <row r="395" spans="6:6">
      <c r="F395"/>
    </row>
  </sheetData>
  <conditionalFormatting sqref="A2068:A1048576 A5:A9 A11:A65">
    <cfRule type="top10" priority="36" rank="2"/>
  </conditionalFormatting>
  <conditionalFormatting sqref="B5">
    <cfRule type="top10" dxfId="42" priority="26" rank="1"/>
    <cfRule type="top10" dxfId="41" priority="29" rank="1"/>
    <cfRule type="top10" dxfId="40" priority="30" rank="1"/>
    <cfRule type="top10" dxfId="39" priority="4" rank="1"/>
  </conditionalFormatting>
  <conditionalFormatting sqref="F66">
    <cfRule type="top10" dxfId="38" priority="25" rank="1"/>
  </conditionalFormatting>
  <conditionalFormatting sqref="F67:F75">
    <cfRule type="top10" dxfId="37" priority="24" rank="1"/>
  </conditionalFormatting>
  <conditionalFormatting sqref="I5 I11">
    <cfRule type="top10" dxfId="36" priority="31" rank="1"/>
  </conditionalFormatting>
  <conditionalFormatting sqref="I5">
    <cfRule type="top10" dxfId="35" priority="28" bottom="1" rank="1"/>
    <cfRule type="top10" dxfId="34" priority="32" rank="1"/>
  </conditionalFormatting>
  <conditionalFormatting sqref="I34">
    <cfRule type="colorScale" priority="33">
      <colorScale>
        <cfvo type="min"/>
        <cfvo type="percentile" val="50"/>
        <cfvo type="max"/>
        <color rgb="FFF8696B"/>
        <color rgb="FFFCFCFF"/>
        <color rgb="FF63BE7B"/>
      </colorScale>
    </cfRule>
    <cfRule type="colorScale" priority="35">
      <colorScale>
        <cfvo type="min"/>
        <cfvo type="max"/>
        <color rgb="FFFCFCFF"/>
        <color rgb="FF63BE7B"/>
      </colorScale>
    </cfRule>
  </conditionalFormatting>
  <conditionalFormatting sqref="I67:I75">
    <cfRule type="top10" dxfId="33" priority="23" rank="1"/>
  </conditionalFormatting>
  <conditionalFormatting sqref="J5">
    <cfRule type="top10" dxfId="32" priority="27" rank="1"/>
  </conditionalFormatting>
  <conditionalFormatting sqref="J67:J75">
    <cfRule type="top10" dxfId="31" priority="22" rank="1"/>
  </conditionalFormatting>
  <conditionalFormatting sqref="T5">
    <cfRule type="top10" dxfId="30" priority="19" rank="1"/>
  </conditionalFormatting>
  <conditionalFormatting sqref="T5">
    <cfRule type="top10" dxfId="29" priority="16" bottom="1" rank="1"/>
    <cfRule type="top10" dxfId="28" priority="20" rank="1"/>
  </conditionalFormatting>
  <conditionalFormatting sqref="U5">
    <cfRule type="top10" dxfId="27" priority="15" rank="1"/>
  </conditionalFormatting>
  <conditionalFormatting sqref="B93">
    <cfRule type="top10" dxfId="26" priority="6" rank="1"/>
    <cfRule type="top10" dxfId="25" priority="9" rank="1"/>
    <cfRule type="top10" dxfId="24" priority="10" rank="1"/>
  </conditionalFormatting>
  <conditionalFormatting sqref="A93:A94">
    <cfRule type="top10" priority="40" rank="2"/>
  </conditionalFormatting>
  <conditionalFormatting sqref="A101:A102 A110:A111 A116:A117">
    <cfRule type="top10" priority="49" rank="2"/>
  </conditionalFormatting>
  <conditionalFormatting pivot="1" sqref="B6:B9">
    <cfRule type="top10" dxfId="23" priority="3" rank="1"/>
  </conditionalFormatting>
  <conditionalFormatting pivot="1" sqref="I6:I9">
    <cfRule type="top10" dxfId="22" priority="2" bottom="1" rank="1"/>
  </conditionalFormatting>
  <conditionalFormatting pivot="1" sqref="I6:I9">
    <cfRule type="top10" dxfId="0" priority="1" rank="1"/>
  </conditionalFormatting>
  <pageMargins left="0.75" right="0.75" top="1" bottom="1" header="0.5" footer="0.5"/>
  <drawing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40" zoomScaleNormal="40" workbookViewId="0">
      <selection activeCell="AI19" sqref="AI19"/>
    </sheetView>
  </sheetViews>
  <sheetFormatPr defaultColWidth="9.23046875" defaultRowHeight="14.6"/>
  <cols>
    <col min="1" max="16384" width="9.2304687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Performance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 Shehata</dc:creator>
  <cp:lastModifiedBy>Omnia Saeed</cp:lastModifiedBy>
  <dcterms:created xsi:type="dcterms:W3CDTF">2015-06-05T18:17:00Z</dcterms:created>
  <dcterms:modified xsi:type="dcterms:W3CDTF">2026-09-24T21:48:42Z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CalculationRule">
    <vt:i4>0</vt:i4>
  </property>
  <property fmtid="{D5CDD505-2E9C-101B-9397-08002B2CF9AE}" pid="4" name="KSOReadingLayout">
    <vt:bool>false</vt:bool>
  </property>
  <property fmtid="{D5CDD505-2E9C-101B-9397-08002B2CF9AE}" pid="5" name="ICV">
    <vt:lpwstr>AEF2A13E777E4FE08B7E669811E8722F_12</vt:lpwstr>
  </property>
</Properties>
</file>